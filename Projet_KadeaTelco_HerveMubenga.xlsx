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SES\Documents\COURS DATA ANALYTICS\reseau-kadea-telco-network-issues\"/>
    </mc:Choice>
  </mc:AlternateContent>
  <xr:revisionPtr revIDLastSave="0" documentId="13_ncr:1_{500ED234-3D97-4669-92B9-E60499BA7A40}" xr6:coauthVersionLast="47" xr6:coauthVersionMax="47" xr10:uidLastSave="{00000000-0000-0000-0000-000000000000}"/>
  <bookViews>
    <workbookView xWindow="-120" yWindow="-120" windowWidth="20730" windowHeight="11160" firstSheet="3" activeTab="4" xr2:uid="{D6E10AD5-1474-4D01-96EB-2AF48E3CACFD}"/>
  </bookViews>
  <sheets>
    <sheet name="Somme_Total_Heures_Indispo" sheetId="5" r:id="rId1"/>
    <sheet name="Sous-categorisation" sheetId="6" r:id="rId2"/>
    <sheet name="Moyenne Nbr abonnes impact" sheetId="7" r:id="rId3"/>
    <sheet name="Total remise ou perte" sheetId="11" r:id="rId4"/>
    <sheet name="Master_Final" sheetId="2" r:id="rId5"/>
    <sheet name="Master_Logs_reseau_registre" sheetId="3" r:id="rId6"/>
    <sheet name="Registre_maintenance_clean" sheetId="4" r:id="rId7"/>
    <sheet name="Feuil1" sheetId="1" r:id="rId8"/>
  </sheets>
  <definedNames>
    <definedName name="_xlcn.WorksheetConnection_Projet_KadeaTelco_HerveMubenga.xlsxClients_chun_clean1" hidden="1">Clients_chun_clean[]</definedName>
    <definedName name="DonnéesExternes_1" localSheetId="4" hidden="1">Master_Final!$A$1:$Q$749</definedName>
    <definedName name="DonnéesExternes_2" localSheetId="5" hidden="1">Master_Logs_reseau_registre!$A$1:$K$1074</definedName>
    <definedName name="DonnéesExternes_3" localSheetId="6" hidden="1">'Registre_maintenance_clean'!$A$1:$G$499</definedName>
  </definedNames>
  <calcPr calcId="191029"/>
  <pivotCaches>
    <pivotCache cacheId="49" r:id="rId9"/>
    <pivotCache cacheId="37" r:id="rId10"/>
    <pivotCache cacheId="61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lients_chun_clean" name="Clients_chun_clean" connection="WorksheetConnection_Projet_KadeaTelco_HerveMubenga.xlsx!Clients_chun_clean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2" l="1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9C3A68-316D-4205-88C9-D132A707C505}" keepAlive="1" name="Requête - Clients_chun" description="Connexion à la requête « Clients_chun » dans le classeur." type="5" refreshedVersion="8" background="1" saveData="1">
    <dbPr connection="Provider=Microsoft.Mashup.OleDb.1;Data Source=$Workbook$;Location=Clients_chun;Extended Properties=&quot;&quot;" command="SELECT * FROM [Clients_chun]"/>
  </connection>
  <connection id="2" xr16:uid="{6ECCC57B-59D8-4A53-A8C7-23DCECDC88B2}" keepAlive="1" name="Requête - Logs_reseau_clean" description="Connexion à la requête « Logs_reseau_clean » dans le classeur." type="5" refreshedVersion="8" background="1" saveData="1">
    <dbPr connection="Provider=Microsoft.Mashup.OleDb.1;Data Source=$Workbook$;Location=Logs_reseau_clean;Extended Properties=&quot;&quot;" command="SELECT * FROM [Logs_reseau_clean]"/>
  </connection>
  <connection id="3" xr16:uid="{11646D15-0489-44A2-988F-9BA4D260048F}" keepAlive="1" name="Requête - Registre_maintenance_clean" description="Connexion à la requête « Registre_maintenance_clean » dans le classeur." type="5" refreshedVersion="8" background="1" saveData="1">
    <dbPr connection="Provider=Microsoft.Mashup.OleDb.1;Data Source=$Workbook$;Location=Registre_maintenance_clean;Extended Properties=&quot;&quot;" command="SELECT * FROM [Registre_maintenance_clean]"/>
  </connection>
  <connection id="4" xr16:uid="{5924B871-1021-4FFD-BFF2-2B7C5466E30F}" keepAlive="1" name="ThisWorkbookDataModel" description="Modèle de donnée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74C35427-7AAB-4F09-9BCB-1BFB3D176E03}" name="WorksheetConnection_Projet_KadeaTelco_HerveMubenga.xlsx!Clients_chun_clean" type="102" refreshedVersion="8" minRefreshableVersion="5">
    <extLst>
      <ext xmlns:x15="http://schemas.microsoft.com/office/spreadsheetml/2010/11/main" uri="{DE250136-89BD-433C-8126-D09CA5730AF9}">
        <x15:connection id="Clients_chun_clean" autoDelete="1">
          <x15:rangePr sourceName="_xlcn.WorksheetConnection_Projet_KadeaTelco_HerveMubenga.xlsxClients_chun_clean1"/>
        </x15:connection>
      </ext>
    </extLst>
  </connection>
</connections>
</file>

<file path=xl/sharedStrings.xml><?xml version="1.0" encoding="utf-8"?>
<sst xmlns="http://schemas.openxmlformats.org/spreadsheetml/2006/main" count="16273" uniqueCount="1710">
  <si>
    <t>Source.Name</t>
  </si>
  <si>
    <t>ID_Client</t>
  </si>
  <si>
    <t>Province_Client</t>
  </si>
  <si>
    <t>Anciennete_Mois</t>
  </si>
  <si>
    <t>Type_Forfait</t>
  </si>
  <si>
    <t>Duree_Cumulee_Panne_Min</t>
  </si>
  <si>
    <t>Facture_Mensuelle</t>
  </si>
  <si>
    <t>Plaintes_Service_Client</t>
  </si>
  <si>
    <t>Clients_Churn_Part_01.xlsx</t>
  </si>
  <si>
    <t>CLI-01147</t>
  </si>
  <si>
    <t>Ituri</t>
  </si>
  <si>
    <t>Premium 5G 150Go</t>
  </si>
  <si>
    <t>CLI-00894</t>
  </si>
  <si>
    <t>Tshuapa</t>
  </si>
  <si>
    <t>Pro Monde</t>
  </si>
  <si>
    <t>CLI-00865</t>
  </si>
  <si>
    <t>Mongala</t>
  </si>
  <si>
    <t>CLI-01325</t>
  </si>
  <si>
    <t>Haut-Lomami</t>
  </si>
  <si>
    <t>Bloqué 5Go</t>
  </si>
  <si>
    <t>CLI-01855</t>
  </si>
  <si>
    <t>Sud-Kivu</t>
  </si>
  <si>
    <t>Illimité 50Go</t>
  </si>
  <si>
    <t>CLI-00076</t>
  </si>
  <si>
    <t>Haut-Katanga</t>
  </si>
  <si>
    <t>CLI-00414</t>
  </si>
  <si>
    <t>Bas-Uele</t>
  </si>
  <si>
    <t>CLI-00327</t>
  </si>
  <si>
    <t>CLI-00559</t>
  </si>
  <si>
    <t>Kasai</t>
  </si>
  <si>
    <t>CLI-00280</t>
  </si>
  <si>
    <t>Sud-Ubangi</t>
  </si>
  <si>
    <t>CLI-00060</t>
  </si>
  <si>
    <t>Kasai-Central</t>
  </si>
  <si>
    <t>CLI-00530</t>
  </si>
  <si>
    <t>Sankuru</t>
  </si>
  <si>
    <t>CLI-01618</t>
  </si>
  <si>
    <t>Tanganyika</t>
  </si>
  <si>
    <t>CLI-01646</t>
  </si>
  <si>
    <t>CLI-00569</t>
  </si>
  <si>
    <t>Kwango</t>
  </si>
  <si>
    <t>CLI-01349</t>
  </si>
  <si>
    <t>CLI-01128</t>
  </si>
  <si>
    <t>CLI-00361</t>
  </si>
  <si>
    <t>Mai-Ndombe</t>
  </si>
  <si>
    <t>CLI-01320</t>
  </si>
  <si>
    <t>CLI-01746</t>
  </si>
  <si>
    <t>CLI-00087</t>
  </si>
  <si>
    <t>CLI-01974</t>
  </si>
  <si>
    <t>CLI-01480</t>
  </si>
  <si>
    <t>CLI-00996</t>
  </si>
  <si>
    <t>Kwilu</t>
  </si>
  <si>
    <t>CLI-01603</t>
  </si>
  <si>
    <t>CLI-00041</t>
  </si>
  <si>
    <t>CLI-00114</t>
  </si>
  <si>
    <t>CLI-01761</t>
  </si>
  <si>
    <t>CLI-01837</t>
  </si>
  <si>
    <t>Kasai-Oriental</t>
  </si>
  <si>
    <t>CLI-00172</t>
  </si>
  <si>
    <t>CLI-00643</t>
  </si>
  <si>
    <t>Equateur</t>
  </si>
  <si>
    <t>CLI-01233</t>
  </si>
  <si>
    <t>Kongo-Central</t>
  </si>
  <si>
    <t>CLI-00611</t>
  </si>
  <si>
    <t>Kinshasa</t>
  </si>
  <si>
    <t>CLI-01776</t>
  </si>
  <si>
    <t>CLI-00131</t>
  </si>
  <si>
    <t>Lomami</t>
  </si>
  <si>
    <t>CLI-01845</t>
  </si>
  <si>
    <t>CLI-01957</t>
  </si>
  <si>
    <t>CLI-00834</t>
  </si>
  <si>
    <t>CLI-01972</t>
  </si>
  <si>
    <t>CLI-00745</t>
  </si>
  <si>
    <t>Tshopo</t>
  </si>
  <si>
    <t>CLI-01376</t>
  </si>
  <si>
    <t>CLI-01347</t>
  </si>
  <si>
    <t>CLI-01814</t>
  </si>
  <si>
    <t>CLI-00185</t>
  </si>
  <si>
    <t>Maniema</t>
  </si>
  <si>
    <t>CLI-00813</t>
  </si>
  <si>
    <t>CLI-01932</t>
  </si>
  <si>
    <t>CLI-01720</t>
  </si>
  <si>
    <t>CLI-01484</t>
  </si>
  <si>
    <t>CLI-01726</t>
  </si>
  <si>
    <t>CLI-00288</t>
  </si>
  <si>
    <t>Clients_Churn_Part_02.xlsx</t>
  </si>
  <si>
    <t>CLI-00484</t>
  </si>
  <si>
    <t>CLI-00230</t>
  </si>
  <si>
    <t>CLI-01170</t>
  </si>
  <si>
    <t>Nord-Ubangi</t>
  </si>
  <si>
    <t>CLI-01505</t>
  </si>
  <si>
    <t>CLI-01025</t>
  </si>
  <si>
    <t>CLI-01911</t>
  </si>
  <si>
    <t>CLI-00248</t>
  </si>
  <si>
    <t>CLI-01069</t>
  </si>
  <si>
    <t>CLI-01361</t>
  </si>
  <si>
    <t>CLI-01698</t>
  </si>
  <si>
    <t>CLI-01189</t>
  </si>
  <si>
    <t>CLI-01588</t>
  </si>
  <si>
    <t>CLI-01908</t>
  </si>
  <si>
    <t>CLI-01076</t>
  </si>
  <si>
    <t>CLI-00516</t>
  </si>
  <si>
    <t>CLI-01017</t>
  </si>
  <si>
    <t>CLI-01812</t>
  </si>
  <si>
    <t>CLI-01964</t>
  </si>
  <si>
    <t>CLI-00488</t>
  </si>
  <si>
    <t>CLI-01229</t>
  </si>
  <si>
    <t>CLI-00251</t>
  </si>
  <si>
    <t>CLI-01584</t>
  </si>
  <si>
    <t>CLI-01653</t>
  </si>
  <si>
    <t>CLI-00642</t>
  </si>
  <si>
    <t>CLI-00675</t>
  </si>
  <si>
    <t>CLI-01705</t>
  </si>
  <si>
    <t>CLI-01197</t>
  </si>
  <si>
    <t>CLI-01510</t>
  </si>
  <si>
    <t>CLI-00799</t>
  </si>
  <si>
    <t>CLI-01651</t>
  </si>
  <si>
    <t>CLI-01533</t>
  </si>
  <si>
    <t>CLI-01524</t>
  </si>
  <si>
    <t>CLI-01950</t>
  </si>
  <si>
    <t>CLI-01916</t>
  </si>
  <si>
    <t>CLI-00867</t>
  </si>
  <si>
    <t>CLI-00447</t>
  </si>
  <si>
    <t>CLI-00296</t>
  </si>
  <si>
    <t>CLI-00219</t>
  </si>
  <si>
    <t>CLI-00359</t>
  </si>
  <si>
    <t>CLI-00439</t>
  </si>
  <si>
    <t>Haut-Uele</t>
  </si>
  <si>
    <t>CLI-00563</t>
  </si>
  <si>
    <t>CLI-00901</t>
  </si>
  <si>
    <t>CLI-00837</t>
  </si>
  <si>
    <t>Nord-Kivu</t>
  </si>
  <si>
    <t>CLI-00521</t>
  </si>
  <si>
    <t>CLI-01768</t>
  </si>
  <si>
    <t>CLI-01208</t>
  </si>
  <si>
    <t>CLI-00115</t>
  </si>
  <si>
    <t>CLI-01005</t>
  </si>
  <si>
    <t>Lualaba</t>
  </si>
  <si>
    <t>CLI-01093</t>
  </si>
  <si>
    <t>CLI-00768</t>
  </si>
  <si>
    <t>Clients_Churn_Part_03.xlsx</t>
  </si>
  <si>
    <t>CLI-01433</t>
  </si>
  <si>
    <t>CLI-00232</t>
  </si>
  <si>
    <t>CLI-00649</t>
  </si>
  <si>
    <t>CLI-01118</t>
  </si>
  <si>
    <t>CLI-00868</t>
  </si>
  <si>
    <t>CLI-00973</t>
  </si>
  <si>
    <t>CLI-01399</t>
  </si>
  <si>
    <t>CLI-00505</t>
  </si>
  <si>
    <t>CLI-01986</t>
  </si>
  <si>
    <t>CLI-01802</t>
  </si>
  <si>
    <t>CLI-01607</t>
  </si>
  <si>
    <t>CLI-00297</t>
  </si>
  <si>
    <t>CLI-00744</t>
  </si>
  <si>
    <t>CLI-00974</t>
  </si>
  <si>
    <t>CLI-01466</t>
  </si>
  <si>
    <t>CLI-00754</t>
  </si>
  <si>
    <t>CLI-01683</t>
  </si>
  <si>
    <t>CLI-00632</t>
  </si>
  <si>
    <t>CLI-00044</t>
  </si>
  <si>
    <t>CLI-01322</t>
  </si>
  <si>
    <t>CLI-01854</t>
  </si>
  <si>
    <t>CLI-01241</t>
  </si>
  <si>
    <t>CLI-00072</t>
  </si>
  <si>
    <t>CLI-01724</t>
  </si>
  <si>
    <t>CLI-01515</t>
  </si>
  <si>
    <t>CLI-01357</t>
  </si>
  <si>
    <t>CLI-01637</t>
  </si>
  <si>
    <t>CLI-00112</t>
  </si>
  <si>
    <t>CLI-01415</t>
  </si>
  <si>
    <t>CLI-01616</t>
  </si>
  <si>
    <t>CLI-01960</t>
  </si>
  <si>
    <t>CLI-00491</t>
  </si>
  <si>
    <t>CLI-00519</t>
  </si>
  <si>
    <t>CLI-00788</t>
  </si>
  <si>
    <t>CLI-00634</t>
  </si>
  <si>
    <t>CLI-01309</t>
  </si>
  <si>
    <t>CLI-01435</t>
  </si>
  <si>
    <t>CLI-01888</t>
  </si>
  <si>
    <t>CLI-01850</t>
  </si>
  <si>
    <t>CLI-01664</t>
  </si>
  <si>
    <t>CLI-01404</t>
  </si>
  <si>
    <t>CLI-00250</t>
  </si>
  <si>
    <t>CLI-01096</t>
  </si>
  <si>
    <t>CLI-01967</t>
  </si>
  <si>
    <t>CLI-00485</t>
  </si>
  <si>
    <t>CLI-01757</t>
  </si>
  <si>
    <t>CLI-00907</t>
  </si>
  <si>
    <t>CLI-00796</t>
  </si>
  <si>
    <t>CLI-00017</t>
  </si>
  <si>
    <t>Clients_Churn_Part_04.xlsx</t>
  </si>
  <si>
    <t>CLI-00805</t>
  </si>
  <si>
    <t>CLI-00524</t>
  </si>
  <si>
    <t>CLI-00617</t>
  </si>
  <si>
    <t>CLI-01933</t>
  </si>
  <si>
    <t>CLI-01685</t>
  </si>
  <si>
    <t>CLI-01550</t>
  </si>
  <si>
    <t>CLI-00483</t>
  </si>
  <si>
    <t>CLI-00610</t>
  </si>
  <si>
    <t>CLI-00431</t>
  </si>
  <si>
    <t>CLI-01973</t>
  </si>
  <si>
    <t>CLI-01824</t>
  </si>
  <si>
    <t>CLI-00329</t>
  </si>
  <si>
    <t>CLI-00899</t>
  </si>
  <si>
    <t>CLI-01294</t>
  </si>
  <si>
    <t>CLI-00650</t>
  </si>
  <si>
    <t>CLI-01891</t>
  </si>
  <si>
    <t>CLI-01860</t>
  </si>
  <si>
    <t>CLI-01571</t>
  </si>
  <si>
    <t>CLI-01982</t>
  </si>
  <si>
    <t>CLI-00833</t>
  </si>
  <si>
    <t>CLI-01617</t>
  </si>
  <si>
    <t>CLI-00070</t>
  </si>
  <si>
    <t>CLI-00562</t>
  </si>
  <si>
    <t>CLI-01775</t>
  </si>
  <si>
    <t>CLI-00165</t>
  </si>
  <si>
    <t>CLI-01686</t>
  </si>
  <si>
    <t>CLI-01597</t>
  </si>
  <si>
    <t>CLI-01007</t>
  </si>
  <si>
    <t>CLI-00965</t>
  </si>
  <si>
    <t>CLI-01923</t>
  </si>
  <si>
    <t>CLI-00846</t>
  </si>
  <si>
    <t>CLI-01723</t>
  </si>
  <si>
    <t>CLI-00682</t>
  </si>
  <si>
    <t>CLI-01470</t>
  </si>
  <si>
    <t>CLI-00866</t>
  </si>
  <si>
    <t>CLI-01796</t>
  </si>
  <si>
    <t>CLI-01680</t>
  </si>
  <si>
    <t>CLI-00206</t>
  </si>
  <si>
    <t>CLI-01689</t>
  </si>
  <si>
    <t>CLI-01839</t>
  </si>
  <si>
    <t>CLI-01431</t>
  </si>
  <si>
    <t>CLI-00535</t>
  </si>
  <si>
    <t>CLI-01037</t>
  </si>
  <si>
    <t>CLI-00136</t>
  </si>
  <si>
    <t>CLI-00721</t>
  </si>
  <si>
    <t>CLI-00862</t>
  </si>
  <si>
    <t>CLI-01234</t>
  </si>
  <si>
    <t>CLI-01494</t>
  </si>
  <si>
    <t>CLI-01666</t>
  </si>
  <si>
    <t>CLI-01122</t>
  </si>
  <si>
    <t>Clients_Churn_Part_05.xlsx</t>
  </si>
  <si>
    <t>CLI-01511</t>
  </si>
  <si>
    <t>CLI-00670</t>
  </si>
  <si>
    <t>CLI-00929</t>
  </si>
  <si>
    <t>CLI-01424</t>
  </si>
  <si>
    <t>CLI-00057</t>
  </si>
  <si>
    <t>CLI-01561</t>
  </si>
  <si>
    <t>CLI-00107</t>
  </si>
  <si>
    <t>CLI-01314</t>
  </si>
  <si>
    <t>CLI-01793</t>
  </si>
  <si>
    <t>CLI-00377</t>
  </si>
  <si>
    <t>CLI-01291</t>
  </si>
  <si>
    <t>CLI-00909</t>
  </si>
  <si>
    <t>CLI-01621</t>
  </si>
  <si>
    <t>CLI-01313</t>
  </si>
  <si>
    <t>CLI-00279</t>
  </si>
  <si>
    <t>CLI-00007</t>
  </si>
  <si>
    <t>CLI-00821</t>
  </si>
  <si>
    <t>CLI-00410</t>
  </si>
  <si>
    <t>CLI-01287</t>
  </si>
  <si>
    <t>CLI-00626</t>
  </si>
  <si>
    <t>CLI-01970</t>
  </si>
  <si>
    <t>CLI-01180</t>
  </si>
  <si>
    <t>CLI-00169</t>
  </si>
  <si>
    <t>CLI-00227</t>
  </si>
  <si>
    <t>CLI-00324</t>
  </si>
  <si>
    <t>CLI-00512</t>
  </si>
  <si>
    <t>CLI-01058</t>
  </si>
  <si>
    <t>CLI-01462</t>
  </si>
  <si>
    <t>CLI-01573</t>
  </si>
  <si>
    <t>CLI-01702</t>
  </si>
  <si>
    <t>CLI-01330</t>
  </si>
  <si>
    <t>CLI-01563</t>
  </si>
  <si>
    <t>CLI-00267</t>
  </si>
  <si>
    <t>CLI-01735</t>
  </si>
  <si>
    <t>CLI-01217</t>
  </si>
  <si>
    <t>CLI-01405</t>
  </si>
  <si>
    <t>CLI-00841</t>
  </si>
  <si>
    <t>CLI-01624</t>
  </si>
  <si>
    <t>CLI-00655</t>
  </si>
  <si>
    <t>CLI-00925</t>
  </si>
  <si>
    <t>CLI-00980</t>
  </si>
  <si>
    <t>CLI-01506</t>
  </si>
  <si>
    <t>CLI-00274</t>
  </si>
  <si>
    <t>CLI-00534</t>
  </si>
  <si>
    <t>CLI-00356</t>
  </si>
  <si>
    <t>CLI-01408</t>
  </si>
  <si>
    <t>CLI-01215</t>
  </si>
  <si>
    <t>CLI-01694</t>
  </si>
  <si>
    <t>CLI-00671</t>
  </si>
  <si>
    <t>CLI-01638</t>
  </si>
  <si>
    <t>Clients_Churn_Part_06.xlsx</t>
  </si>
  <si>
    <t>CLI-00578</t>
  </si>
  <si>
    <t>CLI-00407</t>
  </si>
  <si>
    <t>CLI-00173</t>
  </si>
  <si>
    <t>CLI-00849</t>
  </si>
  <si>
    <t>CLI-00753</t>
  </si>
  <si>
    <t>CLI-00373</t>
  </si>
  <si>
    <t>CLI-00806</t>
  </si>
  <si>
    <t>CLI-00773</t>
  </si>
  <si>
    <t>CLI-01169</t>
  </si>
  <si>
    <t>CLI-00460</t>
  </si>
  <si>
    <t>CLI-00043</t>
  </si>
  <si>
    <t>CLI-00048</t>
  </si>
  <si>
    <t>CLI-01144</t>
  </si>
  <si>
    <t>CLI-01326</t>
  </si>
  <si>
    <t>CLI-01254</t>
  </si>
  <si>
    <t>CLI-01284</t>
  </si>
  <si>
    <t>CLI-00469</t>
  </si>
  <si>
    <t>CLI-00183</t>
  </si>
  <si>
    <t>CLI-00948</t>
  </si>
  <si>
    <t>CLI-01749</t>
  </si>
  <si>
    <t>CLI-00537</t>
  </si>
  <si>
    <t>CLI-01437</t>
  </si>
  <si>
    <t>CLI-00346</t>
  </si>
  <si>
    <t>CLI-00102</t>
  </si>
  <si>
    <t>CLI-00822</t>
  </si>
  <si>
    <t>CLI-01266</t>
  </si>
  <si>
    <t>CLI-00879</t>
  </si>
  <si>
    <t>CLI-01230</t>
  </si>
  <si>
    <t>CLI-00533</t>
  </si>
  <si>
    <t>CLI-00306</t>
  </si>
  <si>
    <t>CLI-01732</t>
  </si>
  <si>
    <t>CLI-01885</t>
  </si>
  <si>
    <t>CLI-00349</t>
  </si>
  <si>
    <t>CLI-01162</t>
  </si>
  <si>
    <t>CLI-00241</t>
  </si>
  <si>
    <t>CLI-00029</t>
  </si>
  <si>
    <t>CLI-01472</t>
  </si>
  <si>
    <t>CLI-01077</t>
  </si>
  <si>
    <t>CLI-00892</t>
  </si>
  <si>
    <t>CLI-01929</t>
  </si>
  <si>
    <t>CLI-00930</t>
  </si>
  <si>
    <t>CLI-01695</t>
  </si>
  <si>
    <t>CLI-01380</t>
  </si>
  <si>
    <t>CLI-01013</t>
  </si>
  <si>
    <t>CLI-00243</t>
  </si>
  <si>
    <t>CLI-01740</t>
  </si>
  <si>
    <t>CLI-01773</t>
  </si>
  <si>
    <t>CLI-00417</t>
  </si>
  <si>
    <t>CLI-00391</t>
  </si>
  <si>
    <t>Clients_Churn_Part_07.xlsx</t>
  </si>
  <si>
    <t>CLI-01835</t>
  </si>
  <si>
    <t>CLI-01602</t>
  </si>
  <si>
    <t>CLI-00546</t>
  </si>
  <si>
    <t>CLI-00590</t>
  </si>
  <si>
    <t>CLI-01529</t>
  </si>
  <si>
    <t>CLI-01706</t>
  </si>
  <si>
    <t>CLI-00783</t>
  </si>
  <si>
    <t>CLI-01906</t>
  </si>
  <si>
    <t>CLI-00884</t>
  </si>
  <si>
    <t>CLI-00424</t>
  </si>
  <si>
    <t>CLI-01931</t>
  </si>
  <si>
    <t>CLI-00442</t>
  </si>
  <si>
    <t>CLI-01688</t>
  </si>
  <si>
    <t>CLI-00580</t>
  </si>
  <si>
    <t>CLI-01489</t>
  </si>
  <si>
    <t>CLI-01387</t>
  </si>
  <si>
    <t>CLI-00388</t>
  </si>
  <si>
    <t>CLI-00857</t>
  </si>
  <si>
    <t>CLI-00370</t>
  </si>
  <si>
    <t>CLI-01938</t>
  </si>
  <si>
    <t>CLI-01623</t>
  </si>
  <si>
    <t>CLI-00299</t>
  </si>
  <si>
    <t>CLI-00059</t>
  </si>
  <si>
    <t>CLI-00595</t>
  </si>
  <si>
    <t>CLI-01729</t>
  </si>
  <si>
    <t>CLI-01844</t>
  </si>
  <si>
    <t>CLI-01877</t>
  </si>
  <si>
    <t>CLI-00924</t>
  </si>
  <si>
    <t>CLI-00509</t>
  </si>
  <si>
    <t>CLI-00758</t>
  </si>
  <si>
    <t>CLI-01194</t>
  </si>
  <si>
    <t>CLI-01402</t>
  </si>
  <si>
    <t>CLI-01736</t>
  </si>
  <si>
    <t>CLI-00939</t>
  </si>
  <si>
    <t>CLI-00176</t>
  </si>
  <si>
    <t>CLI-00022</t>
  </si>
  <si>
    <t>CLI-00961</t>
  </si>
  <si>
    <t>CLI-00273</t>
  </si>
  <si>
    <t>CLI-00663</t>
  </si>
  <si>
    <t>CLI-01420</t>
  </si>
  <si>
    <t>CLI-00815</t>
  </si>
  <si>
    <t>CLI-01407</t>
  </si>
  <si>
    <t>CLI-00435</t>
  </si>
  <si>
    <t>CLI-01461</t>
  </si>
  <si>
    <t>CLI-00786</t>
  </si>
  <si>
    <t>CLI-01451</t>
  </si>
  <si>
    <t>CLI-01917</t>
  </si>
  <si>
    <t>CLI-01508</t>
  </si>
  <si>
    <t>CLI-01224</t>
  </si>
  <si>
    <t>CLI-00525</t>
  </si>
  <si>
    <t>Clients_Churn_Part_08.xlsx</t>
  </si>
  <si>
    <t>CLI-00150</t>
  </si>
  <si>
    <t>CLI-00196</t>
  </si>
  <si>
    <t>CLI-01141</t>
  </si>
  <si>
    <t>CLI-00121</t>
  </si>
  <si>
    <t>CLI-01794</t>
  </si>
  <si>
    <t>CLI-01818</t>
  </si>
  <si>
    <t>CLI-00481</t>
  </si>
  <si>
    <t>CLI-01822</t>
  </si>
  <si>
    <t>CLI-00726</t>
  </si>
  <si>
    <t>CLI-01242</t>
  </si>
  <si>
    <t>CLI-01374</t>
  </si>
  <si>
    <t>CLI-01226</t>
  </si>
  <si>
    <t>CLI-01454</t>
  </si>
  <si>
    <t>CLI-01920</t>
  </si>
  <si>
    <t>CLI-00094</t>
  </si>
  <si>
    <t>CLI-00011</t>
  </si>
  <si>
    <t>CLI-00520</t>
  </si>
  <si>
    <t>CLI-01034</t>
  </si>
  <si>
    <t>CLI-01270</t>
  </si>
  <si>
    <t>CLI-00781</t>
  </si>
  <si>
    <t>CLI-00620</t>
  </si>
  <si>
    <t>CLI-00809</t>
  </si>
  <si>
    <t>CLI-01375</t>
  </si>
  <si>
    <t>CLI-00760</t>
  </si>
  <si>
    <t>CLI-00271</t>
  </si>
  <si>
    <t>CLI-01146</t>
  </si>
  <si>
    <t>CLI-00085</t>
  </si>
  <si>
    <t>CLI-01940</t>
  </si>
  <si>
    <t>CLI-00368</t>
  </si>
  <si>
    <t>CLI-01880</t>
  </si>
  <si>
    <t>CLI-00348</t>
  </si>
  <si>
    <t>CLI-01032</t>
  </si>
  <si>
    <t>CLI-01010</t>
  </si>
  <si>
    <t>CLI-00695</t>
  </si>
  <si>
    <t>CLI-00959</t>
  </si>
  <si>
    <t>CLI-01626</t>
  </si>
  <si>
    <t>CLI-00184</t>
  </si>
  <si>
    <t>CLI-01836</t>
  </si>
  <si>
    <t>CLI-01455</t>
  </si>
  <si>
    <t>CLI-01087</t>
  </si>
  <si>
    <t>CLI-00887</t>
  </si>
  <si>
    <t>CLI-00291</t>
  </si>
  <si>
    <t>CLI-01788</t>
  </si>
  <si>
    <t>CLI-00240</t>
  </si>
  <si>
    <t>CLI-01927</t>
  </si>
  <si>
    <t>CLI-00091</t>
  </si>
  <si>
    <t>CLI-00262</t>
  </si>
  <si>
    <t>CLI-01023</t>
  </si>
  <si>
    <t>CLI-00576</t>
  </si>
  <si>
    <t>CLI-01532</t>
  </si>
  <si>
    <t>Clients_Churn_Part_09.xlsx</t>
  </si>
  <si>
    <t>CLI-00739</t>
  </si>
  <si>
    <t>CLI-00881</t>
  </si>
  <si>
    <t>CLI-01687</t>
  </si>
  <si>
    <t>CLI-00540</t>
  </si>
  <si>
    <t>CLI-01256</t>
  </si>
  <si>
    <t>CLI-01560</t>
  </si>
  <si>
    <t>CLI-00541</t>
  </si>
  <si>
    <t>CLI-01059</t>
  </si>
  <si>
    <t>CLI-01606</t>
  </si>
  <si>
    <t>CLI-00893</t>
  </si>
  <si>
    <t>CLI-00338</t>
  </si>
  <si>
    <t>CLI-00647</t>
  </si>
  <si>
    <t>CLI-01821</t>
  </si>
  <si>
    <t>CLI-01823</t>
  </si>
  <si>
    <t>CLI-01565</t>
  </si>
  <si>
    <t>CLI-00310</t>
  </si>
  <si>
    <t>CLI-01139</t>
  </si>
  <si>
    <t>CLI-01959</t>
  </si>
  <si>
    <t>CLI-01304</t>
  </si>
  <si>
    <t>CLI-00902</t>
  </si>
  <si>
    <t>CLI-00109</t>
  </si>
  <si>
    <t>CLI-00387</t>
  </si>
  <si>
    <t>CLI-00305</t>
  </si>
  <si>
    <t>CLI-01873</t>
  </si>
  <si>
    <t>CLI-00471</t>
  </si>
  <si>
    <t>CLI-00376</t>
  </si>
  <si>
    <t>CLI-00074</t>
  </si>
  <si>
    <t>CLI-00964</t>
  </si>
  <si>
    <t>CLI-01721</t>
  </si>
  <si>
    <t>CLI-00335</t>
  </si>
  <si>
    <t>CLI-01446</t>
  </si>
  <si>
    <t>CLI-00957</t>
  </si>
  <si>
    <t>CLI-01999</t>
  </si>
  <si>
    <t>CLI-00238</t>
  </si>
  <si>
    <t>CLI-01014</t>
  </si>
  <si>
    <t>CLI-00084</t>
  </si>
  <si>
    <t>CLI-00905</t>
  </si>
  <si>
    <t>CLI-00731</t>
  </si>
  <si>
    <t>CLI-01453</t>
  </si>
  <si>
    <t>CLI-01149</t>
  </si>
  <si>
    <t>CLI-00994</t>
  </si>
  <si>
    <t>CLI-00938</t>
  </si>
  <si>
    <t>CLI-01988</t>
  </si>
  <si>
    <t>CLI-00231</t>
  </si>
  <si>
    <t>CLI-01475</t>
  </si>
  <si>
    <t>CLI-00304</t>
  </si>
  <si>
    <t>CLI-00254</t>
  </si>
  <si>
    <t>CLI-00716</t>
  </si>
  <si>
    <t>CLI-00192</t>
  </si>
  <si>
    <t>CLI-00418</t>
  </si>
  <si>
    <t>Clients_Churn_Part_10.xlsx</t>
  </si>
  <si>
    <t>CLI-00582</t>
  </si>
  <si>
    <t>CLI-01682</t>
  </si>
  <si>
    <t>CLI-00345</t>
  </si>
  <si>
    <t>CLI-01536</t>
  </si>
  <si>
    <t>CLI-01042</t>
  </si>
  <si>
    <t>CLI-01992</t>
  </si>
  <si>
    <t>CLI-01154</t>
  </si>
  <si>
    <t>CLI-01359</t>
  </si>
  <si>
    <t>CLI-01200</t>
  </si>
  <si>
    <t>CLI-01658</t>
  </si>
  <si>
    <t>CLI-01196</t>
  </si>
  <si>
    <t>CLI-00009</t>
  </si>
  <si>
    <t>CLI-01078</t>
  </si>
  <si>
    <t>CLI-01741</t>
  </si>
  <si>
    <t>CLI-01549</t>
  </si>
  <si>
    <t>CLI-00853</t>
  </si>
  <si>
    <t>CLI-00158</t>
  </si>
  <si>
    <t>CLI-01893</t>
  </si>
  <si>
    <t>CLI-01021</t>
  </si>
  <si>
    <t>CLI-01846</t>
  </si>
  <si>
    <t>CLI-00194</t>
  </si>
  <si>
    <t>CLI-00674</t>
  </si>
  <si>
    <t>CLI-00054</t>
  </si>
  <si>
    <t>CLI-00583</t>
  </si>
  <si>
    <t>CLI-01396</t>
  </si>
  <si>
    <t>CLI-01394</t>
  </si>
  <si>
    <t>CLI-01858</t>
  </si>
  <si>
    <t>CLI-00808</t>
  </si>
  <si>
    <t>CLI-00766</t>
  </si>
  <si>
    <t>CLI-01210</t>
  </si>
  <si>
    <t>CLI-00218</t>
  </si>
  <si>
    <t>CLI-01662</t>
  </si>
  <si>
    <t>CLI-00315</t>
  </si>
  <si>
    <t>CLI-01990</t>
  </si>
  <si>
    <t>CLI-00167</t>
  </si>
  <si>
    <t>CLI-00943</t>
  </si>
  <si>
    <t>CLI-01450</t>
  </si>
  <si>
    <t>CLI-01351</t>
  </si>
  <si>
    <t>CLI-00983</t>
  </si>
  <si>
    <t>CLI-01709</t>
  </si>
  <si>
    <t>CLI-01782</t>
  </si>
  <si>
    <t>CLI-00552</t>
  </si>
  <si>
    <t>CLI-01766</t>
  </si>
  <si>
    <t>CLI-01348</t>
  </si>
  <si>
    <t>CLI-00012</t>
  </si>
  <si>
    <t>CLI-01926</t>
  </si>
  <si>
    <t>CLI-00090</t>
  </si>
  <si>
    <t>CLI-01344</t>
  </si>
  <si>
    <t>CLI-01275</t>
  </si>
  <si>
    <t>CLI-00928</t>
  </si>
  <si>
    <t>Clients_Churn_Part_11.xlsx</t>
  </si>
  <si>
    <t>CLI-00666</t>
  </si>
  <si>
    <t>CLI-01499</t>
  </si>
  <si>
    <t>CLI-01166</t>
  </si>
  <si>
    <t>CLI-00265</t>
  </si>
  <si>
    <t>CLI-00433</t>
  </si>
  <si>
    <t>CLI-00100</t>
  </si>
  <si>
    <t>CLI-01319</t>
  </si>
  <si>
    <t>CLI-01598</t>
  </si>
  <si>
    <t>CLI-00662</t>
  </si>
  <si>
    <t>CLI-01979</t>
  </si>
  <si>
    <t>CLI-00145</t>
  </si>
  <si>
    <t>CLI-01121</t>
  </si>
  <si>
    <t>CLI-01804</t>
  </si>
  <si>
    <t>CLI-00782</t>
  </si>
  <si>
    <t>CLI-00190</t>
  </si>
  <si>
    <t>CLI-00817</t>
  </si>
  <si>
    <t>CLI-00523</t>
  </si>
  <si>
    <t>CLI-00365</t>
  </si>
  <si>
    <t>CLI-00492</t>
  </si>
  <si>
    <t>CLI-01485</t>
  </si>
  <si>
    <t>CLI-01719</t>
  </si>
  <si>
    <t>CLI-01739</t>
  </si>
  <si>
    <t>CLI-00427</t>
  </si>
  <si>
    <t>CLI-00334</t>
  </si>
  <si>
    <t>CLI-01852</t>
  </si>
  <si>
    <t>CLI-00825</t>
  </si>
  <si>
    <t>CLI-00584</t>
  </si>
  <si>
    <t>CLI-01668</t>
  </si>
  <si>
    <t>CLI-01340</t>
  </si>
  <si>
    <t>CLI-00316</t>
  </si>
  <si>
    <t>CLI-00247</t>
  </si>
  <si>
    <t>CLI-00612</t>
  </si>
  <si>
    <t>CLI-01006</t>
  </si>
  <si>
    <t>CLI-00886</t>
  </si>
  <si>
    <t>CLI-00636</t>
  </si>
  <si>
    <t>CLI-01403</t>
  </si>
  <si>
    <t>CLI-01236</t>
  </si>
  <si>
    <t>CLI-00269</t>
  </si>
  <si>
    <t>CLI-00736</t>
  </si>
  <si>
    <t>CLI-01363</t>
  </si>
  <si>
    <t>CLI-00197</t>
  </si>
  <si>
    <t>CLI-01981</t>
  </si>
  <si>
    <t>CLI-01050</t>
  </si>
  <si>
    <t>CLI-01783</t>
  </si>
  <si>
    <t>CLI-01003</t>
  </si>
  <si>
    <t>CLI-00913</t>
  </si>
  <si>
    <t>CLI-00795</t>
  </si>
  <si>
    <t>CLI-00976</t>
  </si>
  <si>
    <t>CLI-00550</t>
  </si>
  <si>
    <t>CLI-01544</t>
  </si>
  <si>
    <t>Clients_Churn_Part_12.xlsx</t>
  </si>
  <si>
    <t>CLI-01722</t>
  </si>
  <si>
    <t>CLI-01654</t>
  </si>
  <si>
    <t>CLI-01847</t>
  </si>
  <si>
    <t>CLI-01816</t>
  </si>
  <si>
    <t>CLI-00755</t>
  </si>
  <si>
    <t>CLI-01258</t>
  </si>
  <si>
    <t>CLI-00382</t>
  </si>
  <si>
    <t>CLI-00890</t>
  </si>
  <si>
    <t>CLI-01292</t>
  </si>
  <si>
    <t>CLI-00873</t>
  </si>
  <si>
    <t>CLI-00191</t>
  </si>
  <si>
    <t>CLI-00083</t>
  </si>
  <si>
    <t>CLI-01052</t>
  </si>
  <si>
    <t>CLI-00700</t>
  </si>
  <si>
    <t>CLI-00950</t>
  </si>
  <si>
    <t>CLI-01386</t>
  </si>
  <si>
    <t>CLI-01704</t>
  </si>
  <si>
    <t>CLI-01327</t>
  </si>
  <si>
    <t>CLI-01406</t>
  </si>
  <si>
    <t>CLI-00318</t>
  </si>
  <si>
    <t>CLI-01015</t>
  </si>
  <si>
    <t>CLI-01080</t>
  </si>
  <si>
    <t>CLI-01290</t>
  </si>
  <si>
    <t>CLI-01473</t>
  </si>
  <si>
    <t>CLI-01075</t>
  </si>
  <si>
    <t>CLI-01971</t>
  </si>
  <si>
    <t>CLI-00596</t>
  </si>
  <si>
    <t>CLI-01871</t>
  </si>
  <si>
    <t>CLI-00896</t>
  </si>
  <si>
    <t>CLI-00163</t>
  </si>
  <si>
    <t>CLI-00979</t>
  </si>
  <si>
    <t>CLI-00616</t>
  </si>
  <si>
    <t>CLI-01578</t>
  </si>
  <si>
    <t>CLI-01604</t>
  </si>
  <si>
    <t>CLI-01669</t>
  </si>
  <si>
    <t>CLI-01419</t>
  </si>
  <si>
    <t>CLI-00510</t>
  </si>
  <si>
    <t>CLI-01072</t>
  </si>
  <si>
    <t>CLI-00876</t>
  </si>
  <si>
    <t>CLI-00606</t>
  </si>
  <si>
    <t>CLI-01165</t>
  </si>
  <si>
    <t>CLI-00098</t>
  </si>
  <si>
    <t>CLI-01129</t>
  </si>
  <si>
    <t>CLI-00157</t>
  </si>
  <si>
    <t>CLI-00093</t>
  </si>
  <si>
    <t>CLI-01438</t>
  </si>
  <si>
    <t>CLI-00221</t>
  </si>
  <si>
    <t>CLI-01046</t>
  </si>
  <si>
    <t>CLI-00871</t>
  </si>
  <si>
    <t>CLI-01820</t>
  </si>
  <si>
    <t>Clients_Churn_Part_13.xlsx</t>
  </si>
  <si>
    <t>CLI-01530</t>
  </si>
  <si>
    <t>CLI-00952</t>
  </si>
  <si>
    <t>CLI-01354</t>
  </si>
  <si>
    <t>CLI-01410</t>
  </si>
  <si>
    <t>CLI-01868</t>
  </si>
  <si>
    <t>CLI-00728</t>
  </si>
  <si>
    <t>CLI-00522</t>
  </si>
  <si>
    <t>CLI-01542</t>
  </si>
  <si>
    <t>CLI-00168</t>
  </si>
  <si>
    <t>CLI-01619</t>
  </si>
  <si>
    <t>CLI-00034</t>
  </si>
  <si>
    <t>CLI-00234</t>
  </si>
  <si>
    <t>CLI-01355</t>
  </si>
  <si>
    <t>CLI-01731</t>
  </si>
  <si>
    <t>CLI-01622</t>
  </si>
  <si>
    <t>CLI-00374</t>
  </si>
  <si>
    <t>CLI-01861</t>
  </si>
  <si>
    <t>CLI-01432</t>
  </si>
  <si>
    <t>CLI-00171</t>
  </si>
  <si>
    <t>CLI-01535</t>
  </si>
  <si>
    <t>CLI-01843</t>
  </si>
  <si>
    <t>CLI-01780</t>
  </si>
  <si>
    <t>CLI-01203</t>
  </si>
  <si>
    <t>CLI-00932</t>
  </si>
  <si>
    <t>CLI-01373</t>
  </si>
  <si>
    <t>CLI-00922</t>
  </si>
  <si>
    <t>CLI-01278</t>
  </si>
  <si>
    <t>CLI-00543</t>
  </si>
  <si>
    <t>CLI-01728</t>
  </si>
  <si>
    <t>CLI-00384</t>
  </si>
  <si>
    <t>CLI-01496</t>
  </si>
  <si>
    <t>CLI-00380</t>
  </si>
  <si>
    <t>CLI-00161</t>
  </si>
  <si>
    <t>CLI-01238</t>
  </si>
  <si>
    <t>CLI-00532</t>
  </si>
  <si>
    <t>CLI-01520</t>
  </si>
  <si>
    <t>CLI-00889</t>
  </si>
  <si>
    <t>CLI-01095</t>
  </si>
  <si>
    <t>CLI-00037</t>
  </si>
  <si>
    <t>CLI-01759</t>
  </si>
  <si>
    <t>CLI-01629</t>
  </si>
  <si>
    <t>CLI-00239</t>
  </si>
  <si>
    <t>CLI-00028</t>
  </si>
  <si>
    <t>CLI-00352</t>
  </si>
  <si>
    <t>CLI-01503</t>
  </si>
  <si>
    <t>CLI-00978</t>
  </si>
  <si>
    <t>CLI-01876</t>
  </si>
  <si>
    <t>CLI-00830</t>
  </si>
  <si>
    <t>CLI-01507</t>
  </si>
  <si>
    <t>CLI-01969</t>
  </si>
  <si>
    <t>Clients_Churn_Part_14.xlsx</t>
  </si>
  <si>
    <t>CLI-00997</t>
  </si>
  <si>
    <t>CLI-00621</t>
  </si>
  <si>
    <t>CLI-01267</t>
  </si>
  <si>
    <t>CLI-01264</t>
  </si>
  <si>
    <t>CLI-01600</t>
  </si>
  <si>
    <t>CLI-01360</t>
  </si>
  <si>
    <t>CLI-01630</t>
  </si>
  <si>
    <t>CLI-00180</t>
  </si>
  <si>
    <t>CLI-00257</t>
  </si>
  <si>
    <t>CLI-00277</t>
  </si>
  <si>
    <t>CLI-01714</t>
  </si>
  <si>
    <t>CLI-01701</t>
  </si>
  <si>
    <t>CLI-01949</t>
  </si>
  <si>
    <t>CLI-00033</t>
  </si>
  <si>
    <t>CLI-00386</t>
  </si>
  <si>
    <t>CLI-00055</t>
  </si>
  <si>
    <t>CLI-00429</t>
  </si>
  <si>
    <t>CLI-00986</t>
  </si>
  <si>
    <t>CLI-01329</t>
  </si>
  <si>
    <t>CLI-00298</t>
  </si>
  <si>
    <t>CLI-00496</t>
  </si>
  <si>
    <t>CLI-01591</t>
  </si>
  <si>
    <t>CLI-01283</t>
  </si>
  <si>
    <t>CLI-01104</t>
  </si>
  <si>
    <t>CLI-01339</t>
  </si>
  <si>
    <t>CLI-00177</t>
  </si>
  <si>
    <t>CLI-01848</t>
  </si>
  <si>
    <t>CLI-01436</t>
  </si>
  <si>
    <t>CLI-01555</t>
  </si>
  <si>
    <t>CLI-00971</t>
  </si>
  <si>
    <t>CLI-01998</t>
  </si>
  <si>
    <t>CLI-00045</t>
  </si>
  <si>
    <t>CLI-01543</t>
  </si>
  <si>
    <t>CLI-00341</t>
  </si>
  <si>
    <t>CLI-00313</t>
  </si>
  <si>
    <t>CLI-00912</t>
  </si>
  <si>
    <t>CLI-01595</t>
  </si>
  <si>
    <t>CLI-00966</t>
  </si>
  <si>
    <t>CLI-01975</t>
  </si>
  <si>
    <t>CLI-00921</t>
  </si>
  <si>
    <t>CLI-01199</t>
  </si>
  <si>
    <t>CLI-00497</t>
  </si>
  <si>
    <t>CLI-00413</t>
  </si>
  <si>
    <t>CLI-00604</t>
  </si>
  <si>
    <t>CLI-01167</t>
  </si>
  <si>
    <t>CLI-00803</t>
  </si>
  <si>
    <t>CLI-00105</t>
  </si>
  <si>
    <t>CLI-00684</t>
  </si>
  <si>
    <t>CLI-01851</t>
  </si>
  <si>
    <t>CLI-00211</t>
  </si>
  <si>
    <t>Clients_Churn_Part_15.xlsx</t>
  </si>
  <si>
    <t>CLI-01442</t>
  </si>
  <si>
    <t>CLI-00885</t>
  </si>
  <si>
    <t>CLI-00852</t>
  </si>
  <si>
    <t>CLI-01016</t>
  </si>
  <si>
    <t>CLI-01186</t>
  </si>
  <si>
    <t>CLI-01221</t>
  </si>
  <si>
    <t>CLI-01136</t>
  </si>
  <si>
    <t>CLI-01797</t>
  </si>
  <si>
    <t>CLI-01995</t>
  </si>
  <si>
    <t>CLI-00999</t>
  </si>
  <si>
    <t>CLI-00819</t>
  </si>
  <si>
    <t>CLI-01977</t>
  </si>
  <si>
    <t>CLI-01765</t>
  </si>
  <si>
    <t>CLI-01211</t>
  </si>
  <si>
    <t>CLI-01253</t>
  </si>
  <si>
    <t>CLI-01000</t>
  </si>
  <si>
    <t>CLI-00475</t>
  </si>
  <si>
    <t>CLI-00125</t>
  </si>
  <si>
    <t>CLI-01082</t>
  </si>
  <si>
    <t>CLI-00039</t>
  </si>
  <si>
    <t>CLI-01832</t>
  </si>
  <si>
    <t>CLI-01181</t>
  </si>
  <si>
    <t>CLI-01589</t>
  </si>
  <si>
    <t>CLI-01134</t>
  </si>
  <si>
    <t>CLI-01966</t>
  </si>
  <si>
    <t>CLI-00549</t>
  </si>
  <si>
    <t>CLI-00855</t>
  </si>
  <si>
    <t>CLI-00970</t>
  </si>
  <si>
    <t>CLI-01890</t>
  </si>
  <si>
    <t>CLI-01566</t>
  </si>
  <si>
    <t>CLI-00711</t>
  </si>
  <si>
    <t>CLI-00919</t>
  </si>
  <si>
    <t>CLI-01568</t>
  </si>
  <si>
    <t>CLI-01479</t>
  </si>
  <si>
    <t>CLI-00331</t>
  </si>
  <si>
    <t>CLI-01697</t>
  </si>
  <si>
    <t>CLI-00394</t>
  </si>
  <si>
    <t>CLI-00962</t>
  </si>
  <si>
    <t>CLI-00705</t>
  </si>
  <si>
    <t>CLI-00898</t>
  </si>
  <si>
    <t>CLI-00476</t>
  </si>
  <si>
    <t>CLI-01040</t>
  </si>
  <si>
    <t>CLI-00450</t>
  </si>
  <si>
    <t>CLI-01204</t>
  </si>
  <si>
    <t>CLI-01830</t>
  </si>
  <si>
    <t>CLI-01488</t>
  </si>
  <si>
    <t>CLI-00960</t>
  </si>
  <si>
    <t>CLI-01463</t>
  </si>
  <si>
    <t>CLI-00601</t>
  </si>
  <si>
    <t>CLI-00800</t>
  </si>
  <si>
    <t>Date_Panne</t>
  </si>
  <si>
    <t>Heure_Panne</t>
  </si>
  <si>
    <t>Cell_ID</t>
  </si>
  <si>
    <t>Duree_Panne_Min</t>
  </si>
  <si>
    <t>Statut_Resolution</t>
  </si>
  <si>
    <t>Logs_Reseau_Part_01.xlsx</t>
  </si>
  <si>
    <t>ANT-0465</t>
  </si>
  <si>
    <t>Résolu</t>
  </si>
  <si>
    <t>ANT-0004</t>
  </si>
  <si>
    <t>ANT-0977</t>
  </si>
  <si>
    <t>Non Résolu</t>
  </si>
  <si>
    <t>ANT-0740</t>
  </si>
  <si>
    <t>En Cours</t>
  </si>
  <si>
    <t>ANT-0897</t>
  </si>
  <si>
    <t>ANT-0737</t>
  </si>
  <si>
    <t>ANT-0270</t>
  </si>
  <si>
    <t>ANT-0996</t>
  </si>
  <si>
    <t>ANT-0513</t>
  </si>
  <si>
    <t>ANT-0781</t>
  </si>
  <si>
    <t>ANT-0183</t>
  </si>
  <si>
    <t>ANT-0520</t>
  </si>
  <si>
    <t>ANT-0935</t>
  </si>
  <si>
    <t>ANT-0892</t>
  </si>
  <si>
    <t>ANT-0641</t>
  </si>
  <si>
    <t>ANT-0306</t>
  </si>
  <si>
    <t>ANT-0862</t>
  </si>
  <si>
    <t>ANT-0655</t>
  </si>
  <si>
    <t>ANT-0624</t>
  </si>
  <si>
    <t>ANT-0204</t>
  </si>
  <si>
    <t>ANT-0157</t>
  </si>
  <si>
    <t>ANT-0383</t>
  </si>
  <si>
    <t>ANT-0166</t>
  </si>
  <si>
    <t>ANT-0553</t>
  </si>
  <si>
    <t>ANT-0798</t>
  </si>
  <si>
    <t>ANT-0945</t>
  </si>
  <si>
    <t>ANT-0544</t>
  </si>
  <si>
    <t>ANT-0941</t>
  </si>
  <si>
    <t>ANT-0001</t>
  </si>
  <si>
    <t>ANT-0614</t>
  </si>
  <si>
    <t>ANT-0332</t>
  </si>
  <si>
    <t>ANT-0501</t>
  </si>
  <si>
    <t>ANT-0020</t>
  </si>
  <si>
    <t>ANT-0115</t>
  </si>
  <si>
    <t>ANT-0952</t>
  </si>
  <si>
    <t>ANT-0372</t>
  </si>
  <si>
    <t>ANT-0900</t>
  </si>
  <si>
    <t>ANT-0852</t>
  </si>
  <si>
    <t>ANT-0315</t>
  </si>
  <si>
    <t>ANT-0246</t>
  </si>
  <si>
    <t>ANT-0060</t>
  </si>
  <si>
    <t>ANT-0247</t>
  </si>
  <si>
    <t>ANT-0581</t>
  </si>
  <si>
    <t>ANT-0970</t>
  </si>
  <si>
    <t>ANT-0109</t>
  </si>
  <si>
    <t>Logs_Reseau_Part_02.xlsx</t>
  </si>
  <si>
    <t>ANT-0650</t>
  </si>
  <si>
    <t>ANT-0874</t>
  </si>
  <si>
    <t>ANT-0271</t>
  </si>
  <si>
    <t>ANT-0518</t>
  </si>
  <si>
    <t>ANT-0258</t>
  </si>
  <si>
    <t>ANT-0928</t>
  </si>
  <si>
    <t>ANT-0930</t>
  </si>
  <si>
    <t>ANT-0867</t>
  </si>
  <si>
    <t>ANT-0053</t>
  </si>
  <si>
    <t>ANT-0095</t>
  </si>
  <si>
    <t>ANT-0434</t>
  </si>
  <si>
    <t>ANT-0850</t>
  </si>
  <si>
    <t>ANT-0284</t>
  </si>
  <si>
    <t>ANT-0046</t>
  </si>
  <si>
    <t>ANT-0342</t>
  </si>
  <si>
    <t>ANT-0790</t>
  </si>
  <si>
    <t>ANT-0134</t>
  </si>
  <si>
    <t>ANT-0653</t>
  </si>
  <si>
    <t>ANT-0269</t>
  </si>
  <si>
    <t>ANT-0760</t>
  </si>
  <si>
    <t>ANT-0453</t>
  </si>
  <si>
    <t>ANT-0565</t>
  </si>
  <si>
    <t>ANT-0723</t>
  </si>
  <si>
    <t>ANT-0438</t>
  </si>
  <si>
    <t>ANT-0575</t>
  </si>
  <si>
    <t>ANT-0010</t>
  </si>
  <si>
    <t>ANT-0078</t>
  </si>
  <si>
    <t>ANT-0968</t>
  </si>
  <si>
    <t>ANT-0905</t>
  </si>
  <si>
    <t>ANT-0708</t>
  </si>
  <si>
    <t>ANT-0926</t>
  </si>
  <si>
    <t>ANT-0153</t>
  </si>
  <si>
    <t>ANT-0559</t>
  </si>
  <si>
    <t>ANT-0037</t>
  </si>
  <si>
    <t>ANT-0855</t>
  </si>
  <si>
    <t>ANT-0379</t>
  </si>
  <si>
    <t>ANT-0597</t>
  </si>
  <si>
    <t>ANT-0566</t>
  </si>
  <si>
    <t>ANT-0152</t>
  </si>
  <si>
    <t>ANT-0441</t>
  </si>
  <si>
    <t>ANT-0131</t>
  </si>
  <si>
    <t>ANT-0043</t>
  </si>
  <si>
    <t>ANT-0316</t>
  </si>
  <si>
    <t>Logs_Reseau_Part_03.xlsx</t>
  </si>
  <si>
    <t>ANT-0573</t>
  </si>
  <si>
    <t>ANT-0610</t>
  </si>
  <si>
    <t>ANT-0325</t>
  </si>
  <si>
    <t>ANT-0973</t>
  </si>
  <si>
    <t>ANT-0774</t>
  </si>
  <si>
    <t>ANT-0913</t>
  </si>
  <si>
    <t>ANT-0454</t>
  </si>
  <si>
    <t>ANT-0628</t>
  </si>
  <si>
    <t>ANT-0835</t>
  </si>
  <si>
    <t>ANT-0914</t>
  </si>
  <si>
    <t>ANT-0517</t>
  </si>
  <si>
    <t>ANT-0437</t>
  </si>
  <si>
    <t>ANT-0851</t>
  </si>
  <si>
    <t>ANT-0929</t>
  </si>
  <si>
    <t>ANT-0562</t>
  </si>
  <si>
    <t>ANT-0457</t>
  </si>
  <si>
    <t>ANT-0919</t>
  </si>
  <si>
    <t>ANT-0163</t>
  </si>
  <si>
    <t>ANT-0762</t>
  </si>
  <si>
    <t>ANT-0883</t>
  </si>
  <si>
    <t>ANT-0487</t>
  </si>
  <si>
    <t>ANT-0461</t>
  </si>
  <si>
    <t>ANT-0266</t>
  </si>
  <si>
    <t>ANT-0770</t>
  </si>
  <si>
    <t>ANT-0254</t>
  </si>
  <si>
    <t>ANT-0861</t>
  </si>
  <si>
    <t>ANT-0785</t>
  </si>
  <si>
    <t>ANT-0797</t>
  </si>
  <si>
    <t>ANT-0534</t>
  </si>
  <si>
    <t>ANT-0497</t>
  </si>
  <si>
    <t>ANT-0642</t>
  </si>
  <si>
    <t>ANT-0245</t>
  </si>
  <si>
    <t>ANT-0282</t>
  </si>
  <si>
    <t>ANT-0451</t>
  </si>
  <si>
    <t>ANT-0080</t>
  </si>
  <si>
    <t>ANT-0731</t>
  </si>
  <si>
    <t>ANT-0293</t>
  </si>
  <si>
    <t>Logs_Reseau_Part_04.xlsx</t>
  </si>
  <si>
    <t>ANT-0287</t>
  </si>
  <si>
    <t>ANT-0902</t>
  </si>
  <si>
    <t>ANT-0611</t>
  </si>
  <si>
    <t>ANT-0719</t>
  </si>
  <si>
    <t>ANT-0283</t>
  </si>
  <si>
    <t>ANT-0570</t>
  </si>
  <si>
    <t>ANT-0011</t>
  </si>
  <si>
    <t>ANT-0530</t>
  </si>
  <si>
    <t>ANT-0971</t>
  </si>
  <si>
    <t>ANT-0196</t>
  </si>
  <si>
    <t>ANT-0088</t>
  </si>
  <si>
    <t>ANT-0248</t>
  </si>
  <si>
    <t>ANT-0738</t>
  </si>
  <si>
    <t>ANT-0417</t>
  </si>
  <si>
    <t>ANT-0569</t>
  </si>
  <si>
    <t>ANT-0777</t>
  </si>
  <si>
    <t>ANT-0488</t>
  </si>
  <si>
    <t>ANT-0662</t>
  </si>
  <si>
    <t>ANT-0729</t>
  </si>
  <si>
    <t>ANT-0503</t>
  </si>
  <si>
    <t>ANT-0459</t>
  </si>
  <si>
    <t>ANT-0812</t>
  </si>
  <si>
    <t>ANT-0018</t>
  </si>
  <si>
    <t>ANT-0096</t>
  </si>
  <si>
    <t>ANT-0302</t>
  </si>
  <si>
    <t>ANT-0227</t>
  </si>
  <si>
    <t>ANT-0415</t>
  </si>
  <si>
    <t>ANT-0709</t>
  </si>
  <si>
    <t>ANT-0250</t>
  </si>
  <si>
    <t>ANT-0314</t>
  </si>
  <si>
    <t>ANT-0680</t>
  </si>
  <si>
    <t>ANT-0596</t>
  </si>
  <si>
    <t>ANT-0378</t>
  </si>
  <si>
    <t>ANT-0485</t>
  </si>
  <si>
    <t>ANT-0567</t>
  </si>
  <si>
    <t>ANT-0353</t>
  </si>
  <si>
    <t>ANT-0436</t>
  </si>
  <si>
    <t>ANT-0764</t>
  </si>
  <si>
    <t>ANT-0564</t>
  </si>
  <si>
    <t>ANT-0339</t>
  </si>
  <si>
    <t>Logs_Reseau_Part_05.xlsx</t>
  </si>
  <si>
    <t>ANT-0259</t>
  </si>
  <si>
    <t>ANT-0119</t>
  </si>
  <si>
    <t>ANT-0994</t>
  </si>
  <si>
    <t>ANT-0792</t>
  </si>
  <si>
    <t>ANT-0414</t>
  </si>
  <si>
    <t>ANT-0886</t>
  </si>
  <si>
    <t>ANT-0527</t>
  </si>
  <si>
    <t>ANT-0845</t>
  </si>
  <si>
    <t>ANT-0002</t>
  </si>
  <si>
    <t>ANT-0674</t>
  </si>
  <si>
    <t>ANT-0891</t>
  </si>
  <si>
    <t>ANT-0556</t>
  </si>
  <si>
    <t>ANT-0474</t>
  </si>
  <si>
    <t>ANT-0424</t>
  </si>
  <si>
    <t>ANT-0056</t>
  </si>
  <si>
    <t>ANT-0193</t>
  </si>
  <si>
    <t>ANT-0531</t>
  </si>
  <si>
    <t>ANT-0371</t>
  </si>
  <si>
    <t>ANT-0638</t>
  </si>
  <si>
    <t>ANT-0775</t>
  </si>
  <si>
    <t>ANT-0511</t>
  </si>
  <si>
    <t>ANT-0779</t>
  </si>
  <si>
    <t>ANT-0209</t>
  </si>
  <si>
    <t>ANT-0274</t>
  </si>
  <si>
    <t>ANT-0563</t>
  </si>
  <si>
    <t>ANT-0135</t>
  </si>
  <si>
    <t>ANT-0950</t>
  </si>
  <si>
    <t>ANT-0295</t>
  </si>
  <si>
    <t>ANT-0449</t>
  </si>
  <si>
    <t>ANT-0716</t>
  </si>
  <si>
    <t>ANT-0125</t>
  </si>
  <si>
    <t>ANT-0030</t>
  </si>
  <si>
    <t>ANT-0997</t>
  </si>
  <si>
    <t>ANT-0646</t>
  </si>
  <si>
    <t>ANT-0819</t>
  </si>
  <si>
    <t>ANT-0727</t>
  </si>
  <si>
    <t>Logs_Reseau_Part_06.xlsx</t>
  </si>
  <si>
    <t>ANT-0739</t>
  </si>
  <si>
    <t>ANT-0786</t>
  </si>
  <si>
    <t>ANT-0698</t>
  </si>
  <si>
    <t>ANT-0859</t>
  </si>
  <si>
    <t>ANT-0141</t>
  </si>
  <si>
    <t>ANT-0644</t>
  </si>
  <si>
    <t>ANT-0100</t>
  </si>
  <si>
    <t>ANT-0643</t>
  </si>
  <si>
    <t>ANT-0041</t>
  </si>
  <si>
    <t>ANT-0317</t>
  </si>
  <si>
    <t>ANT-0808</t>
  </si>
  <si>
    <t>ANT-0452</t>
  </si>
  <si>
    <t>ANT-0035</t>
  </si>
  <si>
    <t>ANT-0594</t>
  </si>
  <si>
    <t>ANT-0374</t>
  </si>
  <si>
    <t>ANT-0750</t>
  </si>
  <si>
    <t>ANT-0093</t>
  </si>
  <si>
    <t>ANT-0932</t>
  </si>
  <si>
    <t>ANT-0303</t>
  </si>
  <si>
    <t>ANT-0335</t>
  </si>
  <si>
    <t>ANT-0766</t>
  </si>
  <si>
    <t>ANT-0426</t>
  </si>
  <si>
    <t>ANT-0180</t>
  </si>
  <si>
    <t>ANT-0206</t>
  </si>
  <si>
    <t>ANT-0136</t>
  </si>
  <si>
    <t>ANT-0806</t>
  </si>
  <si>
    <t>ANT-0898</t>
  </si>
  <si>
    <t>ANT-0995</t>
  </si>
  <si>
    <t>ANT-0375</t>
  </si>
  <si>
    <t>ANT-0514</t>
  </si>
  <si>
    <t>ANT-0936</t>
  </si>
  <si>
    <t>ANT-0280</t>
  </si>
  <si>
    <t>ANT-0169</t>
  </si>
  <si>
    <t>ANT-0264</t>
  </si>
  <si>
    <t>ANT-0967</t>
  </si>
  <si>
    <t>ANT-0494</t>
  </si>
  <si>
    <t>ANT-0991</t>
  </si>
  <si>
    <t>ANT-0826</t>
  </si>
  <si>
    <t>Logs_Reseau_Part_07.xlsx</t>
  </si>
  <si>
    <t>ANT-0111</t>
  </si>
  <si>
    <t>ANT-0730</t>
  </si>
  <si>
    <t>ANT-0455</t>
  </si>
  <si>
    <t>ANT-0076</t>
  </si>
  <si>
    <t>ANT-0921</t>
  </si>
  <si>
    <t>ANT-0083</t>
  </si>
  <si>
    <t>ANT-0330</t>
  </si>
  <si>
    <t>ANT-0623</t>
  </si>
  <si>
    <t>ANT-0068</t>
  </si>
  <si>
    <t>ANT-0130</t>
  </si>
  <si>
    <t>ANT-0640</t>
  </si>
  <si>
    <t>ANT-0649</t>
  </si>
  <si>
    <t>ANT-0600</t>
  </si>
  <si>
    <t>ANT-0333</t>
  </si>
  <si>
    <t>ANT-0391</t>
  </si>
  <si>
    <t>ANT-0612</t>
  </si>
  <si>
    <t>ANT-0620</t>
  </si>
  <si>
    <t>ANT-0102</t>
  </si>
  <si>
    <t>ANT-0813</t>
  </si>
  <si>
    <t>ANT-0118</t>
  </si>
  <si>
    <t>Logs_Reseau_Part_08.xlsx</t>
  </si>
  <si>
    <t>ANT-0656</t>
  </si>
  <si>
    <t>ANT-0428</t>
  </si>
  <si>
    <t>ANT-0022</t>
  </si>
  <si>
    <t>ANT-0990</t>
  </si>
  <si>
    <t>ANT-0176</t>
  </si>
  <si>
    <t>ANT-0821</t>
  </si>
  <si>
    <t>ANT-0633</t>
  </si>
  <si>
    <t>ANT-0472</t>
  </si>
  <si>
    <t>ANT-0707</t>
  </si>
  <si>
    <t>ANT-0942</t>
  </si>
  <si>
    <t>ANT-0091</t>
  </si>
  <si>
    <t>ANT-0448</t>
  </si>
  <si>
    <t>ANT-0865</t>
  </si>
  <si>
    <t>ANT-0447</t>
  </si>
  <si>
    <t>ANT-0604</t>
  </si>
  <si>
    <t>ANT-0411</t>
  </si>
  <si>
    <t>ANT-0537</t>
  </si>
  <si>
    <t>ANT-0081</t>
  </si>
  <si>
    <t>ANT-0406</t>
  </si>
  <si>
    <t>ANT-0318</t>
  </si>
  <si>
    <t>ANT-0348</t>
  </si>
  <si>
    <t>ANT-0173</t>
  </si>
  <si>
    <t>ANT-0079</t>
  </si>
  <si>
    <t>ANT-0523</t>
  </si>
  <si>
    <t>Logs_Reseau_Part_09.xlsx</t>
  </si>
  <si>
    <t>ANT-0989</t>
  </si>
  <si>
    <t>ANT-0829</t>
  </si>
  <si>
    <t>ANT-0804</t>
  </si>
  <si>
    <t>ANT-0481</t>
  </si>
  <si>
    <t>ANT-0856</t>
  </si>
  <si>
    <t>ANT-0199</t>
  </si>
  <si>
    <t>ANT-0377</t>
  </si>
  <si>
    <t>ANT-0695</t>
  </si>
  <si>
    <t>ANT-0585</t>
  </si>
  <si>
    <t>ANT-0473</t>
  </si>
  <si>
    <t>ANT-0788</t>
  </si>
  <si>
    <t>ANT-0289</t>
  </si>
  <si>
    <t>ANT-0392</t>
  </si>
  <si>
    <t>ANT-0515</t>
  </si>
  <si>
    <t>ANT-0541</t>
  </si>
  <si>
    <t>ANT-0429</t>
  </si>
  <si>
    <t>ANT-0837</t>
  </si>
  <si>
    <t>ANT-0205</t>
  </si>
  <si>
    <t>ANT-0142</t>
  </si>
  <si>
    <t>ANT-0894</t>
  </si>
  <si>
    <t>ANT-0257</t>
  </si>
  <si>
    <t>ANT-0054</t>
  </si>
  <si>
    <t>ANT-0657</t>
  </si>
  <si>
    <t>ANT-0493</t>
  </si>
  <si>
    <t>ANT-0896</t>
  </si>
  <si>
    <t>ANT-0381</t>
  </si>
  <si>
    <t>ANT-0568</t>
  </si>
  <si>
    <t>ANT-0957</t>
  </si>
  <si>
    <t>ANT-0106</t>
  </si>
  <si>
    <t>ANT-0529</t>
  </si>
  <si>
    <t>ANT-0872</t>
  </si>
  <si>
    <t>ANT-0128</t>
  </si>
  <si>
    <t>ANT-0292</t>
  </si>
  <si>
    <t>ANT-0086</t>
  </si>
  <si>
    <t>Logs_Reseau_Part_10.xlsx</t>
  </si>
  <si>
    <t>ANT-0360</t>
  </si>
  <si>
    <t>ANT-0458</t>
  </si>
  <si>
    <t>ANT-0044</t>
  </si>
  <si>
    <t>ant-0745</t>
  </si>
  <si>
    <t>ANT-0934</t>
  </si>
  <si>
    <t>ANT-0362</t>
  </si>
  <si>
    <t>ANT-0630</t>
  </si>
  <si>
    <t>ANT-0446</t>
  </si>
  <si>
    <t>ANT-0811</t>
  </si>
  <si>
    <t>ANT-0059</t>
  </si>
  <si>
    <t>ANT-0077</t>
  </si>
  <si>
    <t>ANT-0688</t>
  </si>
  <si>
    <t>ANT-0416</t>
  </si>
  <si>
    <t>ANT-0373</t>
  </si>
  <si>
    <t>ANT-0526</t>
  </si>
  <si>
    <t>ANT-0768</t>
  </si>
  <si>
    <t>ANT-0696</t>
  </si>
  <si>
    <t>ANT-0164</t>
  </si>
  <si>
    <t>ANT-0976</t>
  </si>
  <si>
    <t>ANT-0032</t>
  </si>
  <si>
    <t>ANT-0147</t>
  </si>
  <si>
    <t>ANT-0870</t>
  </si>
  <si>
    <t>ANT-0801</t>
  </si>
  <si>
    <t>ANT-0036</t>
  </si>
  <si>
    <t>ANT-0069</t>
  </si>
  <si>
    <t>ANT-0242</t>
  </si>
  <si>
    <t>ANT-0661</t>
  </si>
  <si>
    <t>Logs_Reseau_Part_11.xlsx</t>
  </si>
  <si>
    <t>ANT-0126</t>
  </si>
  <si>
    <t>ANT-0145</t>
  </si>
  <si>
    <t>ANT-0052</t>
  </si>
  <si>
    <t>ANT-0298</t>
  </si>
  <si>
    <t>ANT-0969</t>
  </si>
  <si>
    <t>ANT-0394</t>
  </si>
  <si>
    <t>ANT-0885</t>
  </si>
  <si>
    <t>ANT-0631</t>
  </si>
  <si>
    <t>ANT-0255</t>
  </si>
  <si>
    <t>ANT-0986</t>
  </si>
  <si>
    <t>ANT-0887</t>
  </si>
  <si>
    <t>ANT-0924</t>
  </si>
  <si>
    <t>ANT-0834</t>
  </si>
  <si>
    <t>ANT-0336</t>
  </si>
  <si>
    <t>ANT-0592</t>
  </si>
  <si>
    <t>ANT-0321</t>
  </si>
  <si>
    <t>ANT-0195</t>
  </si>
  <si>
    <t>ANT-0782</t>
  </si>
  <si>
    <t>ANT-0528</t>
  </si>
  <si>
    <t>ANT-0479</t>
  </si>
  <si>
    <t>ANT-0901</t>
  </si>
  <si>
    <t>ANT-0510</t>
  </si>
  <si>
    <t>ANT-0024</t>
  </si>
  <si>
    <t>ANT-0403</t>
  </si>
  <si>
    <t>ant-0518</t>
  </si>
  <si>
    <t>ANT-0469</t>
  </si>
  <si>
    <t>ANT-0221</t>
  </si>
  <si>
    <t>ANT-0598</t>
  </si>
  <si>
    <t>Logs_Reseau_Part_12.xlsx</t>
  </si>
  <si>
    <t>ANT-0686</t>
  </si>
  <si>
    <t>ANT-0927</t>
  </si>
  <si>
    <t>ANT-0232</t>
  </si>
  <si>
    <t>ANT-0654</t>
  </si>
  <si>
    <t>ANT-0239</t>
  </si>
  <si>
    <t>ANT-0103</t>
  </si>
  <si>
    <t>ANT-0735</t>
  </si>
  <si>
    <t>ANT-0484</t>
  </si>
  <si>
    <t>ANT-0006</t>
  </si>
  <si>
    <t>ANT-0988</t>
  </si>
  <si>
    <t>ANT-0162</t>
  </si>
  <si>
    <t>ANT-0669</t>
  </si>
  <si>
    <t>ANT-0958</t>
  </si>
  <si>
    <t>ANT-0489</t>
  </si>
  <si>
    <t>ANT-0667</t>
  </si>
  <si>
    <t>ANT-0329</t>
  </si>
  <si>
    <t>ANT-0061</t>
  </si>
  <si>
    <t>ANT-0092</t>
  </si>
  <si>
    <t>ANT-0668</t>
  </si>
  <si>
    <t>ANT-0588</t>
  </si>
  <si>
    <t>ANT-0238</t>
  </si>
  <si>
    <t>ANT-0548</t>
  </si>
  <si>
    <t>ANT-0757</t>
  </si>
  <si>
    <t>Logs_Reseau_Part_13.xlsx</t>
  </si>
  <si>
    <t>ANT-0670</t>
  </si>
  <si>
    <t>ANT-0881</t>
  </si>
  <si>
    <t>ANT-0357</t>
  </si>
  <si>
    <t>ANT-0122</t>
  </si>
  <si>
    <t>ANT-0551</t>
  </si>
  <si>
    <t>ANT-0542</t>
  </si>
  <si>
    <t>ANT-0746</t>
  </si>
  <si>
    <t>ANT-0229</t>
  </si>
  <si>
    <t>ANT-0475</t>
  </si>
  <si>
    <t>ANT-0690</t>
  </si>
  <si>
    <t>ANT-0558</t>
  </si>
  <si>
    <t>ANT-0435</t>
  </si>
  <si>
    <t>ANT-0545</t>
  </si>
  <si>
    <t>ANT-0389</t>
  </si>
  <si>
    <t>ANT-0844</t>
  </si>
  <si>
    <t>ANT-0236</t>
  </si>
  <si>
    <t>ANT-0355</t>
  </si>
  <si>
    <t>ANT-0159</t>
  </si>
  <si>
    <t>ANT-0194</t>
  </si>
  <si>
    <t>ANT-0960</t>
  </si>
  <si>
    <t>ANT-0743</t>
  </si>
  <si>
    <t>ANT-0784</t>
  </si>
  <si>
    <t>ANT-0116</t>
  </si>
  <si>
    <t>ANT-0033</t>
  </si>
  <si>
    <t>ANT-0677</t>
  </si>
  <si>
    <t>ANT-0430</t>
  </si>
  <si>
    <t>Logs_Reseau_Part_14.xlsx</t>
  </si>
  <si>
    <t>ANT-0007</t>
  </si>
  <si>
    <t>ANT-0422</t>
  </si>
  <si>
    <t>ANT-0013</t>
  </si>
  <si>
    <t>ANT-0543</t>
  </si>
  <si>
    <t>ANT-0549</t>
  </si>
  <si>
    <t>ANT-0294</t>
  </si>
  <si>
    <t>ANT-0833</t>
  </si>
  <si>
    <t>ANT-0715</t>
  </si>
  <si>
    <t>ANT-0691</t>
  </si>
  <si>
    <t>ANT-0963</t>
  </si>
  <si>
    <t>ANT-0184</t>
  </si>
  <si>
    <t>ANT-0110</t>
  </si>
  <si>
    <t>ANT-0099</t>
  </si>
  <si>
    <t>ANT-0197</t>
  </si>
  <si>
    <t>ANT-0635</t>
  </si>
  <si>
    <t>ANT-0540</t>
  </si>
  <si>
    <t>ANT-0363</t>
  </si>
  <si>
    <t>ANT-0815</t>
  </si>
  <si>
    <t>ANT-0407</t>
  </si>
  <si>
    <t>ANT-0983</t>
  </si>
  <si>
    <t>ANT-0471</t>
  </si>
  <si>
    <t>ANT-0579</t>
  </si>
  <si>
    <t>ANT-0714</t>
  </si>
  <si>
    <t>ANT-0308</t>
  </si>
  <si>
    <t>ANT-0701</t>
  </si>
  <si>
    <t>ANT-0848</t>
  </si>
  <si>
    <t>ANT-0869</t>
  </si>
  <si>
    <t>Logs_Reseau_Part_15.xlsx</t>
  </si>
  <si>
    <t>ANT-0334</t>
  </si>
  <si>
    <t>ANT-0386</t>
  </si>
  <si>
    <t>ANT-0805</t>
  </si>
  <si>
    <t>ANT-0117</t>
  </si>
  <si>
    <t>ANT-0955</t>
  </si>
  <si>
    <t>ANT-0578</t>
  </si>
  <si>
    <t>ANT-0607</t>
  </si>
  <si>
    <t>ANT-0185</t>
  </si>
  <si>
    <t>ANT-0699</t>
  </si>
  <si>
    <t>ANT-0787</t>
  </si>
  <si>
    <t>ANT-0028</t>
  </si>
  <si>
    <t>ANT-0745</t>
  </si>
  <si>
    <t>ANT-0966</t>
  </si>
  <si>
    <t>ANT-0726</t>
  </si>
  <si>
    <t>ANT-0215</t>
  </si>
  <si>
    <t>ANT-0817</t>
  </si>
  <si>
    <t>ANT-0299</t>
  </si>
  <si>
    <t>ANT-0710</t>
  </si>
  <si>
    <t>ANT-0071</t>
  </si>
  <si>
    <t>ANT-0839</t>
  </si>
  <si>
    <t>ANT-0419</t>
  </si>
  <si>
    <t>ANT-0512</t>
  </si>
  <si>
    <t>ANT-0143</t>
  </si>
  <si>
    <t>ANT-0311</t>
  </si>
  <si>
    <t>ANT-0288</t>
  </si>
  <si>
    <t>Logs_Reseau_Part_16.xlsx</t>
  </si>
  <si>
    <t>ANT-0231</t>
  </si>
  <si>
    <t>ANT-0296</t>
  </si>
  <si>
    <t>ANT-0800</t>
  </si>
  <si>
    <t>ANT-0580</t>
  </si>
  <si>
    <t>ANT-0761</t>
  </si>
  <si>
    <t>ANT-0508</t>
  </si>
  <si>
    <t>ANT-0524</t>
  </si>
  <si>
    <t>ANT-0587</t>
  </si>
  <si>
    <t>ANT-0275</t>
  </si>
  <si>
    <t>ANT-0794</t>
  </si>
  <si>
    <t>ANT-0557</t>
  </si>
  <si>
    <t>ANT-0376</t>
  </si>
  <si>
    <t>ANT-0843</t>
  </si>
  <si>
    <t>ANT-0560</t>
  </si>
  <si>
    <t>ANT-0224</t>
  </si>
  <si>
    <t>ANT-0105</t>
  </si>
  <si>
    <t>ANT-0754</t>
  </si>
  <si>
    <t>ANT-0305</t>
  </si>
  <si>
    <t>ANT-0034</t>
  </si>
  <si>
    <t>ANT-0090</t>
  </si>
  <si>
    <t>ANT-0450</t>
  </si>
  <si>
    <t>Logs_Reseau_Part_17.xlsx</t>
  </si>
  <si>
    <t>ANT-0964</t>
  </si>
  <si>
    <t>ANT-0868</t>
  </si>
  <si>
    <t>ANT-0675</t>
  </si>
  <si>
    <t>ANT-0309</t>
  </si>
  <si>
    <t>ANT-0211</t>
  </si>
  <si>
    <t>ANT-0622</t>
  </si>
  <si>
    <t>ANT-0522</t>
  </si>
  <si>
    <t>ANT-0402</t>
  </si>
  <si>
    <t>ANT-0803</t>
  </si>
  <si>
    <t>ANT-0920</t>
  </si>
  <si>
    <t>ANT-0978</t>
  </si>
  <si>
    <t>ANT-0507</t>
  </si>
  <si>
    <t>ANT-0396</t>
  </si>
  <si>
    <t>ANT-0609</t>
  </si>
  <si>
    <t>ANT-0073</t>
  </si>
  <si>
    <t>ANT-0911</t>
  </si>
  <si>
    <t>ANT-0370</t>
  </si>
  <si>
    <t>ANT-0397</t>
  </si>
  <si>
    <t>ANT-0882</t>
  </si>
  <si>
    <t>Logs_Reseau_Part_18.xlsx</t>
  </si>
  <si>
    <t>ANT-0244</t>
  </si>
  <si>
    <t>ANT-0504</t>
  </si>
  <si>
    <t>ANT-0985</t>
  </si>
  <si>
    <t>ANT-0062</t>
  </si>
  <si>
    <t>ANT-0146</t>
  </si>
  <si>
    <t>ANT-0045</t>
  </si>
  <si>
    <t>ANT-0944</t>
  </si>
  <si>
    <t>ANT-0533</t>
  </si>
  <si>
    <t>ANT-0423</t>
  </si>
  <si>
    <t>ANT-0718</t>
  </si>
  <si>
    <t>ANT-0918</t>
  </si>
  <si>
    <t>ANT-0382</t>
  </si>
  <si>
    <t>ANT-0470</t>
  </si>
  <si>
    <t>ANT-0998</t>
  </si>
  <si>
    <t>ANT-0087</t>
  </si>
  <si>
    <t>ANT-0595</t>
  </si>
  <si>
    <t>ANT-0098</t>
  </si>
  <si>
    <t>ANT-0137</t>
  </si>
  <si>
    <t>ANT-0840</t>
  </si>
  <si>
    <t>ANT-0404</t>
  </si>
  <si>
    <t>ANT-0582</t>
  </si>
  <si>
    <t>ANT-0064</t>
  </si>
  <si>
    <t>ANT-0679</t>
  </si>
  <si>
    <t>ANT-0243</t>
  </si>
  <si>
    <t>ANT-0268</t>
  </si>
  <si>
    <t>ANT-0866</t>
  </si>
  <si>
    <t>Logs_Reseau_Part_19.xlsx</t>
  </si>
  <si>
    <t>ANT-0326</t>
  </si>
  <si>
    <t>ANT-0756</t>
  </si>
  <si>
    <t>ANT-0368</t>
  </si>
  <si>
    <t>ANT-0606</t>
  </si>
  <si>
    <t>ANT-0029</t>
  </si>
  <si>
    <t>ANT-0721</t>
  </si>
  <si>
    <t>ANT-0361</t>
  </si>
  <si>
    <t>ANT-0577</t>
  </si>
  <si>
    <t>ANT-0972</t>
  </si>
  <si>
    <t>ANT-0857</t>
  </si>
  <si>
    <t>ANT-0830</t>
  </si>
  <si>
    <t>ANT-0903</t>
  </si>
  <si>
    <t>ANT-0505</t>
  </si>
  <si>
    <t>ANT-0039</t>
  </si>
  <si>
    <t>ANT-0058</t>
  </si>
  <si>
    <t>ANT-0617</t>
  </si>
  <si>
    <t>ANT-0225</t>
  </si>
  <si>
    <t>ANT-0021</t>
  </si>
  <si>
    <t>ANT-0490</t>
  </si>
  <si>
    <t>Logs_Reseau_Part_20.xlsx</t>
  </si>
  <si>
    <t>ANT-0276</t>
  </si>
  <si>
    <t>ANT-0155</t>
  </si>
  <si>
    <t>ANT-0771</t>
  </si>
  <si>
    <t>ANT-0684</t>
  </si>
  <si>
    <t>ANT-0685</t>
  </si>
  <si>
    <t>ANT-0828</t>
  </si>
  <si>
    <t>ANT-0555</t>
  </si>
  <si>
    <t>ANT-0233</t>
  </si>
  <si>
    <t>ANT-0063</t>
  </si>
  <si>
    <t>ANT-0536</t>
  </si>
  <si>
    <t>ANT-0704</t>
  </si>
  <si>
    <t>ANT-0888</t>
  </si>
  <si>
    <t>ANT-0959</t>
  </si>
  <si>
    <t>ANT-0307</t>
  </si>
  <si>
    <t>ANT-0405</t>
  </si>
  <si>
    <t>ANT-0925</t>
  </si>
  <si>
    <t>ANT-0875</t>
  </si>
  <si>
    <t>ANT-0732</t>
  </si>
  <si>
    <t>ANT-0923</t>
  </si>
  <si>
    <t>ANT-0820</t>
  </si>
  <si>
    <t>ANT-0586</t>
  </si>
  <si>
    <t>Logs_Reseau_Part_21.xlsx</t>
  </si>
  <si>
    <t>ANT-0639</t>
  </si>
  <si>
    <t>ANT-0599</t>
  </si>
  <si>
    <t>ANT-0008</t>
  </si>
  <si>
    <t>ANT-0864</t>
  </si>
  <si>
    <t>ANT-0860</t>
  </si>
  <si>
    <t>ANT-0384</t>
  </si>
  <si>
    <t>ANT-0663</t>
  </si>
  <si>
    <t>ANT-0290</t>
  </si>
  <si>
    <t>ANT-0066</t>
  </si>
  <si>
    <t>ANT-0345</t>
  </si>
  <si>
    <t>ANT-0672</t>
  </si>
  <si>
    <t>ANT-0154</t>
  </si>
  <si>
    <t>ANT-0922</t>
  </si>
  <si>
    <t>ANT-0825</t>
  </si>
  <si>
    <t>Logs_Reseau_Part_22.xlsx</t>
  </si>
  <si>
    <t>ANT-0050</t>
  </si>
  <si>
    <t>ANT-0427</t>
  </si>
  <si>
    <t>ANT-0390</t>
  </si>
  <si>
    <t>ANT-0127</t>
  </si>
  <si>
    <t>ANT-0561</t>
  </si>
  <si>
    <t>ANT-0486</t>
  </si>
  <si>
    <t>ant-0719</t>
  </si>
  <si>
    <t>ANT-0712</t>
  </si>
  <si>
    <t>ANT-0703</t>
  </si>
  <si>
    <t>ANT-0431</t>
  </si>
  <si>
    <t>ANT-0678</t>
  </si>
  <si>
    <t>ANT-0104</t>
  </si>
  <si>
    <t>ANT-0277</t>
  </si>
  <si>
    <t>ANT-0621</t>
  </si>
  <si>
    <t>ANT-0108</t>
  </si>
  <si>
    <t>ANT-0121</t>
  </si>
  <si>
    <t>Logs_Reseau_Part_23.xlsx</t>
  </si>
  <si>
    <t>ANT-0019</t>
  </si>
  <si>
    <t>ANT-0571</t>
  </si>
  <si>
    <t>ANT-0846</t>
  </si>
  <si>
    <t>ANT-0094</t>
  </si>
  <si>
    <t>ANT-0619</t>
  </si>
  <si>
    <t>ANT-0987</t>
  </si>
  <si>
    <t>ANT-0634</t>
  </si>
  <si>
    <t>ANT-0312</t>
  </si>
  <si>
    <t>ANT-0521</t>
  </si>
  <si>
    <t>ANT-0576</t>
  </si>
  <si>
    <t>ANT-0212</t>
  </si>
  <si>
    <t>ANT-0671</t>
  </si>
  <si>
    <t>ANT-0468</t>
  </si>
  <si>
    <t>ANT-0974</t>
  </si>
  <si>
    <t>ANT-0350</t>
  </si>
  <si>
    <t>ANT-0466</t>
  </si>
  <si>
    <t>ANT-0340</t>
  </si>
  <si>
    <t>ANT-0574</t>
  </si>
  <si>
    <t>ANT-0615</t>
  </si>
  <si>
    <t>ANT-0912</t>
  </si>
  <si>
    <t>Logs_Reseau_Part_24.xlsx</t>
  </si>
  <si>
    <t>ANT-0753</t>
  </si>
  <si>
    <t>ANT-0123</t>
  </si>
  <si>
    <t>ANT-0387</t>
  </si>
  <si>
    <t>ANT-0042</t>
  </si>
  <si>
    <t>ANT-0439</t>
  </si>
  <si>
    <t>ANT-0286</t>
  </si>
  <si>
    <t>ANT-0165</t>
  </si>
  <si>
    <t>ANT-0262</t>
  </si>
  <si>
    <t>ANT-0478</t>
  </si>
  <si>
    <t>ANT-0158</t>
  </si>
  <si>
    <t>ANT-0331</t>
  </si>
  <si>
    <t>ANT-0793</t>
  </si>
  <si>
    <t>ant-0309</t>
  </si>
  <si>
    <t>ANT-0809</t>
  </si>
  <si>
    <t>ANT-0367</t>
  </si>
  <si>
    <t>ANT-0075</t>
  </si>
  <si>
    <t>ANT-0725</t>
  </si>
  <si>
    <t>ANT-0539</t>
  </si>
  <si>
    <t>ANT-0226</t>
  </si>
  <si>
    <t>ANT-0980</t>
  </si>
  <si>
    <t>ANT-0189</t>
  </si>
  <si>
    <t>ANT-0070</t>
  </si>
  <si>
    <t>ANT-0951</t>
  </si>
  <si>
    <t>Logs_Reseau_Part_25.xlsx</t>
  </si>
  <si>
    <t>ANT-0186</t>
  </si>
  <si>
    <t>ANT-0873</t>
  </si>
  <si>
    <t>ANT-0101</t>
  </si>
  <si>
    <t>ANT-0203</t>
  </si>
  <si>
    <t>ANT-0744</t>
  </si>
  <si>
    <t>ANT-0499</t>
  </si>
  <si>
    <t>ANT-0975</t>
  </si>
  <si>
    <t>ANT-0366</t>
  </si>
  <si>
    <t>ANT-0132</t>
  </si>
  <si>
    <t>ANT-0241</t>
  </si>
  <si>
    <t>ID_Antenne</t>
  </si>
  <si>
    <t>Province_RDC</t>
  </si>
  <si>
    <t>Latitude</t>
  </si>
  <si>
    <t>Longitude</t>
  </si>
  <si>
    <t>Technologie</t>
  </si>
  <si>
    <t>Equipementier</t>
  </si>
  <si>
    <t>Registre_Maintenance_Part_01.xlsx</t>
  </si>
  <si>
    <t>5G</t>
  </si>
  <si>
    <t>Ericsson</t>
  </si>
  <si>
    <t>ANT-0084</t>
  </si>
  <si>
    <t>4G</t>
  </si>
  <si>
    <t>Huawei</t>
  </si>
  <si>
    <t>3G</t>
  </si>
  <si>
    <t>ZTE</t>
  </si>
  <si>
    <t>ANT-0880</t>
  </si>
  <si>
    <t>ANT-0847</t>
  </si>
  <si>
    <t>ANT-0144</t>
  </si>
  <si>
    <t>ANT-0552</t>
  </si>
  <si>
    <t>ANT-0202</t>
  </si>
  <si>
    <t>ANT-0752</t>
  </si>
  <si>
    <t>Nokia</t>
  </si>
  <si>
    <t>ANT-0908</t>
  </si>
  <si>
    <t>ANT-0647</t>
  </si>
  <si>
    <t>ANT-0593</t>
  </si>
  <si>
    <t>ANT-0605</t>
  </si>
  <si>
    <t>ANT-0218</t>
  </si>
  <si>
    <t>ANT-0038</t>
  </si>
  <si>
    <t>ANT-0267</t>
  </si>
  <si>
    <t>ANT-0916</t>
  </si>
  <si>
    <t>ANT-0993</t>
  </si>
  <si>
    <t>ANT-0791</t>
  </si>
  <si>
    <t>ANT-0751</t>
  </si>
  <si>
    <t>ANT-0878</t>
  </si>
  <si>
    <t>Registre_Maintenance_Part_02.xlsx</t>
  </si>
  <si>
    <t>ANT-0138</t>
  </si>
  <si>
    <t>ANT-0476</t>
  </si>
  <si>
    <t>ANT-0629</t>
  </si>
  <si>
    <t>ANT-0170</t>
  </si>
  <si>
    <t>ANT-0776</t>
  </si>
  <si>
    <t>ANT-0676</t>
  </si>
  <si>
    <t>ANT-0150</t>
  </si>
  <si>
    <t>ANT-0496</t>
  </si>
  <si>
    <t>ANT-0780</t>
  </si>
  <si>
    <t>ANT-0500</t>
  </si>
  <si>
    <t>ANT-0065</t>
  </si>
  <si>
    <t>ANT-0240</t>
  </si>
  <si>
    <t>ANT-0398</t>
  </si>
  <si>
    <t>ANT-0048</t>
  </si>
  <si>
    <t>Registre_Maintenance_Part_03.xlsx</t>
  </si>
  <si>
    <t>ANT-0665</t>
  </si>
  <si>
    <t>ANT-0281</t>
  </si>
  <si>
    <t>ANT-0584</t>
  </si>
  <si>
    <t>ANT-0179</t>
  </si>
  <si>
    <t>ANT-0962</t>
  </si>
  <si>
    <t>ANT-0388</t>
  </si>
  <si>
    <t>ANT-0602</t>
  </si>
  <si>
    <t>ANT-0884</t>
  </si>
  <si>
    <t>ANT-0354</t>
  </si>
  <si>
    <t>ANT-0948</t>
  </si>
  <si>
    <t>ANT-0933</t>
  </si>
  <si>
    <t>ANT-0659</t>
  </si>
  <si>
    <t>ANT-0217</t>
  </si>
  <si>
    <t>ANT-0192</t>
  </si>
  <si>
    <t>Registre_Maintenance_Part_04.xlsx</t>
  </si>
  <si>
    <t>ANT-0939</t>
  </si>
  <si>
    <t>ANT-0858</t>
  </si>
  <si>
    <t>ANT-0425</t>
  </si>
  <si>
    <t>ANT-0831</t>
  </si>
  <si>
    <t>ANT-0692</t>
  </si>
  <si>
    <t>ANT-0491</t>
  </si>
  <si>
    <t>ANT-0216</t>
  </si>
  <si>
    <t>ANT-0421</t>
  </si>
  <si>
    <t>ANT-0023</t>
  </si>
  <si>
    <t>ANT-0645</t>
  </si>
  <si>
    <t>ANT-0525</t>
  </si>
  <si>
    <t>ANT-0151</t>
  </si>
  <si>
    <t>ANT-0171</t>
  </si>
  <si>
    <t>ANT-0265</t>
  </si>
  <si>
    <t>ANT-0876</t>
  </si>
  <si>
    <t>ANT-0871</t>
  </si>
  <si>
    <t>ANT-0982</t>
  </si>
  <si>
    <t>ANT-0291</t>
  </si>
  <si>
    <t>Registre_Maintenance_Part_05.xlsx</t>
  </si>
  <si>
    <t xml:space="preserve">ANT-0222 </t>
  </si>
  <si>
    <t>ANT-0460</t>
  </si>
  <si>
    <t>ANT-1000</t>
  </si>
  <si>
    <t>ANT-0483</t>
  </si>
  <si>
    <t>ANT-0175</t>
  </si>
  <si>
    <t>ANT-0616</t>
  </si>
  <si>
    <t>ANT-0187</t>
  </si>
  <si>
    <t>ANT-0956</t>
  </si>
  <si>
    <t>ANT-0172</t>
  </si>
  <si>
    <t>ANT-0742</t>
  </si>
  <si>
    <t>ANT-0351</t>
  </si>
  <si>
    <t>ANT-0832</t>
  </si>
  <si>
    <t>ANT-0395</t>
  </si>
  <si>
    <t>ANT-0112</t>
  </si>
  <si>
    <t>ANT-0017</t>
  </si>
  <si>
    <t>ANT-0208</t>
  </si>
  <si>
    <t>ANT-0182</t>
  </si>
  <si>
    <t>ANT-0040</t>
  </si>
  <si>
    <t>ANT-0516</t>
  </si>
  <si>
    <t>ANT-0796</t>
  </si>
  <si>
    <t>ANT-0789</t>
  </si>
  <si>
    <t>Registre_Maintenance_Part_06.xlsx</t>
  </si>
  <si>
    <t>ANT-0618</t>
  </si>
  <si>
    <t>ANT-0899</t>
  </si>
  <si>
    <t>ANT-0442</t>
  </si>
  <si>
    <t>ANT-0535</t>
  </si>
  <si>
    <t>ANT-0380</t>
  </si>
  <si>
    <t>ANT-0938</t>
  </si>
  <si>
    <t>ANT-0440</t>
  </si>
  <si>
    <t>ANT-0235</t>
  </si>
  <si>
    <t>ANT-0359</t>
  </si>
  <si>
    <t>ANT-0954</t>
  </si>
  <si>
    <t>ANT-0590</t>
  </si>
  <si>
    <t>ANT-0261</t>
  </si>
  <si>
    <t>ANT-0802</t>
  </si>
  <si>
    <t>ANT-0613</t>
  </si>
  <si>
    <t xml:space="preserve">ANT-0739 </t>
  </si>
  <si>
    <t>ANT-0385</t>
  </si>
  <si>
    <t>ANT-0705</t>
  </si>
  <si>
    <t>ANT-0324</t>
  </si>
  <si>
    <t>ANT-0849</t>
  </si>
  <si>
    <t>Registre_Maintenance_Part_07.xlsx</t>
  </si>
  <si>
    <t>ANT-0260</t>
  </si>
  <si>
    <t>ANT-0627</t>
  </si>
  <si>
    <t>ANT-0495</t>
  </si>
  <si>
    <t>ANT-0741</t>
  </si>
  <si>
    <t>ANT-0697</t>
  </si>
  <si>
    <t>ANT-0408</t>
  </si>
  <si>
    <t>ANT-0841</t>
  </si>
  <si>
    <t>ANT-0220</t>
  </si>
  <si>
    <t>ANT-0347</t>
  </si>
  <si>
    <t>ANT-0937</t>
  </si>
  <si>
    <t>ANT-0822</t>
  </si>
  <si>
    <t>ANT-0399</t>
  </si>
  <si>
    <t>ANT-0652</t>
  </si>
  <si>
    <t>ANT-0149</t>
  </si>
  <si>
    <t>ANT-0758</t>
  </si>
  <si>
    <t>Registre_Maintenance_Part_08.xlsx</t>
  </si>
  <si>
    <t>ANT-0889</t>
  </si>
  <si>
    <t>ANT-0228</t>
  </si>
  <si>
    <t>ANT-0682</t>
  </si>
  <si>
    <t>ANT-0082</t>
  </si>
  <si>
    <t>ANT-0895</t>
  </si>
  <si>
    <t>ANT-0207</t>
  </si>
  <si>
    <t>ANT-0907</t>
  </si>
  <si>
    <t>ANT-0200</t>
  </si>
  <si>
    <t>ANT-0947</t>
  </si>
  <si>
    <t>ANT-0915</t>
  </si>
  <si>
    <t>ANT-0174</t>
  </si>
  <si>
    <t>ANT-0369</t>
  </si>
  <si>
    <t>ANT-0940</t>
  </si>
  <si>
    <t>ANT-0893</t>
  </si>
  <si>
    <t xml:space="preserve">ANT-0089 </t>
  </si>
  <si>
    <t>ANT-0410</t>
  </si>
  <si>
    <t>ANT-0981</t>
  </si>
  <si>
    <t>ANT-0810</t>
  </si>
  <si>
    <t>ANT-0601</t>
  </si>
  <si>
    <t>ANT-0016</t>
  </si>
  <si>
    <t>ANT-0946</t>
  </si>
  <si>
    <t>ANT-0681</t>
  </si>
  <si>
    <t>Registre_Maintenance_Part_09.xlsx</t>
  </si>
  <si>
    <t>ANT-0356</t>
  </si>
  <si>
    <t>ANT-0589</t>
  </si>
  <si>
    <t>ANT-0005</t>
  </si>
  <si>
    <t>ANT-0636</t>
  </si>
  <si>
    <t>ANT-0519</t>
  </si>
  <si>
    <t>ANT-0702</t>
  </si>
  <si>
    <t>ANT-0603</t>
  </si>
  <si>
    <t>ANT-0755</t>
  </si>
  <si>
    <t>ANT-0349</t>
  </si>
  <si>
    <t>ANT-0120</t>
  </si>
  <si>
    <t>ANT-0827</t>
  </si>
  <si>
    <t>ANT-0706</t>
  </si>
  <si>
    <t>ANT-0625</t>
  </si>
  <si>
    <t>ANT-0409</t>
  </si>
  <si>
    <t>ANT-0917</t>
  </si>
  <si>
    <t>Registre_Maintenance_Part_10.xlsx</t>
  </si>
  <si>
    <t>ANT-0984</t>
  </si>
  <si>
    <t>ANT-0890</t>
  </si>
  <si>
    <t>ANT-0322</t>
  </si>
  <si>
    <t>ANT-0188</t>
  </si>
  <si>
    <t>ANT-0272</t>
  </si>
  <si>
    <t>ANT-0736</t>
  </si>
  <si>
    <t>ANT-0769</t>
  </si>
  <si>
    <t>ANT-0256</t>
  </si>
  <si>
    <t>ANT-0365</t>
  </si>
  <si>
    <t>ANT-0824</t>
  </si>
  <si>
    <t>ANT-0863</t>
  </si>
  <si>
    <t>ANT-0910</t>
  </si>
  <si>
    <t>ANT-0323</t>
  </si>
  <si>
    <t>ANT-0648</t>
  </si>
  <si>
    <t>ANT-0694</t>
  </si>
  <si>
    <t>ANT-0482</t>
  </si>
  <si>
    <t>ANT-0178</t>
  </si>
  <si>
    <t>ANT-0352</t>
  </si>
  <si>
    <t>ANT-0904</t>
  </si>
  <si>
    <t>Pas de correspondance</t>
  </si>
  <si>
    <t>Duree_Cumulee_Panne_Heure</t>
  </si>
  <si>
    <t>Total général</t>
  </si>
  <si>
    <t>Étiquettes de lignes</t>
  </si>
  <si>
    <t>Somme de Duree_Cumulee_Panne_Heure</t>
  </si>
  <si>
    <t>Nombre de Statut_Resolution</t>
  </si>
  <si>
    <t>moyenne</t>
  </si>
  <si>
    <t>Remise</t>
  </si>
  <si>
    <t>Anciennete_An</t>
  </si>
  <si>
    <t>B2C</t>
  </si>
  <si>
    <t>B2B</t>
  </si>
  <si>
    <t>Type_Abonnés</t>
  </si>
  <si>
    <t>Montant_Remise</t>
  </si>
  <si>
    <t>(vide)</t>
  </si>
  <si>
    <t>Somme de Montant_Remise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</si>
</sst>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-F400]h:mm:ss\ AM/PM"/>
    <numFmt numFmtId="166" formatCode="#,##0.00\ [$USD]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NumberFormat="1"/>
    <xf numFmtId="14" fontId="0" fillId="0" borderId="0" xfId="0" applyNumberFormat="1"/>
    <xf numFmtId="22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6" fontId="0" fillId="0" borderId="0" xfId="0" applyNumberFormat="1"/>
    <xf numFmtId="0" fontId="0" fillId="0" borderId="0" xfId="0" applyAlignment="1">
      <alignment horizontal="left" indent="1"/>
    </xf>
    <xf numFmtId="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33">
    <dxf>
      <numFmt numFmtId="166" formatCode="#,##0.00\ [$USD]"/>
    </dxf>
    <dxf>
      <numFmt numFmtId="166" formatCode="#,##0.00\ [$USD]"/>
    </dxf>
    <dxf>
      <numFmt numFmtId="0" formatCode="General"/>
    </dxf>
    <dxf>
      <numFmt numFmtId="0" formatCode="General"/>
    </dxf>
    <dxf>
      <numFmt numFmtId="0" formatCode="General"/>
    </dxf>
    <dxf>
      <numFmt numFmtId="31" formatCode="[h]:mm:ss"/>
    </dxf>
    <dxf>
      <numFmt numFmtId="31" formatCode="[h]:mm:ss"/>
    </dxf>
    <dxf>
      <numFmt numFmtId="31" formatCode="[h]:mm:ss"/>
    </dxf>
    <dxf>
      <numFmt numFmtId="31" formatCode="[h]:mm:ss"/>
    </dxf>
    <dxf>
      <numFmt numFmtId="165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MSES" refreshedDate="46112.900028703705" createdVersion="8" refreshedVersion="8" minRefreshableVersion="3" recordCount="748" xr:uid="{D4C33020-3CBE-4C31-AC51-95B46BD2152D}">
  <cacheSource type="worksheet">
    <worksheetSource name="Clients_chun_clean"/>
  </cacheSource>
  <cacheFields count="13">
    <cacheField name="Source.Name" numFmtId="0">
      <sharedItems/>
    </cacheField>
    <cacheField name="ID_Client" numFmtId="0">
      <sharedItems/>
    </cacheField>
    <cacheField name="Province_Client" numFmtId="0">
      <sharedItems count="26">
        <s v="Ituri"/>
        <s v="Tshuapa"/>
        <s v="Mongala"/>
        <s v="Haut-Lomami"/>
        <s v="Sud-Kivu"/>
        <s v="Haut-Katanga"/>
        <s v="Bas-Uele"/>
        <s v="Kasai"/>
        <s v="Sud-Ubangi"/>
        <s v="Kasai-Central"/>
        <s v="Sankuru"/>
        <s v="Tanganyika"/>
        <s v="Kwango"/>
        <s v="Mai-Ndombe"/>
        <s v="Kwilu"/>
        <s v="Kasai-Oriental"/>
        <s v="Equateur"/>
        <s v="Kongo-Central"/>
        <s v="Kinshasa"/>
        <s v="Lomami"/>
        <s v="Tshopo"/>
        <s v="Maniema"/>
        <s v="Nord-Ubangi"/>
        <s v="Haut-Uele"/>
        <s v="Nord-Kivu"/>
        <s v="Lualaba"/>
      </sharedItems>
    </cacheField>
    <cacheField name="Cell_ID" numFmtId="0">
      <sharedItems/>
    </cacheField>
    <cacheField name="Technologie" numFmtId="0">
      <sharedItems/>
    </cacheField>
    <cacheField name="Equipementier" numFmtId="0">
      <sharedItems count="4">
        <s v="Nokia"/>
        <s v="Ericsson"/>
        <s v="Huawei"/>
        <s v="ZTE"/>
      </sharedItems>
    </cacheField>
    <cacheField name="Statut_Resolution" numFmtId="0">
      <sharedItems/>
    </cacheField>
    <cacheField name="Anciennete_Mois" numFmtId="0">
      <sharedItems containsSemiMixedTypes="0" containsString="0" containsNumber="1" containsInteger="1" minValue="1" maxValue="120"/>
    </cacheField>
    <cacheField name="Type_Forfait" numFmtId="0">
      <sharedItems/>
    </cacheField>
    <cacheField name="Duree_Cumulee_Panne_Min" numFmtId="0">
      <sharedItems containsSemiMixedTypes="0" containsString="0" containsNumber="1" containsInteger="1" minValue="1" maxValue="499"/>
    </cacheField>
    <cacheField name="Duree_Cumulee_Panne_Heure" numFmtId="165">
      <sharedItems containsSemiMixedTypes="0" containsNonDate="0" containsDate="1" containsString="0" minDate="1899-12-30T00:01:00" maxDate="1899-12-30T08:19:00"/>
    </cacheField>
    <cacheField name="Facture_Mensuelle" numFmtId="0">
      <sharedItems containsSemiMixedTypes="0" containsString="0" containsNumber="1" minValue="10" maxValue="99.93"/>
    </cacheField>
    <cacheField name="Plaintes_Service_Client" numFmtId="0">
      <sharedItems containsSemiMixedTypes="0" containsString="0" containsNumber="1" containsInteger="1" minValue="0" maxValue="5" count="6">
        <n v="3"/>
        <n v="0"/>
        <n v="1"/>
        <n v="2"/>
        <n v="5"/>
        <n v="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MSES" refreshedDate="46112.913446527775" backgroundQuery="1" createdVersion="8" refreshedVersion="8" minRefreshableVersion="3" recordCount="0" supportSubquery="1" supportAdvancedDrill="1" xr:uid="{7710CF0A-D4EA-4645-8146-83C942ADC8EC}">
  <cacheSource type="external" connectionId="4"/>
  <cacheFields count="4">
    <cacheField name="[Clients_chun_clean].[Province_Client].[Province_Client]" caption="Province_Client" numFmtId="0" hierarchy="2" level="1">
      <sharedItems count="26">
        <s v="Bas-Uele"/>
        <s v="Equateur"/>
        <s v="Haut-Katanga"/>
        <s v="Haut-Lomami"/>
        <s v="Haut-Uele"/>
        <s v="Ituri"/>
        <s v="Kasai"/>
        <s v="Kasai-Central"/>
        <s v="Kasai-Oriental"/>
        <s v="Kinshasa"/>
        <s v="Kongo-Central"/>
        <s v="Kwango"/>
        <s v="Kwilu"/>
        <s v="Lomami"/>
        <s v="Lualaba"/>
        <s v="Mai-Ndombe"/>
        <s v="Maniema"/>
        <s v="Mongala"/>
        <s v="Nord-Kivu"/>
        <s v="Nord-Ubangi"/>
        <s v="Sankuru"/>
        <s v="Sud-Kivu"/>
        <s v="Sud-Ubangi"/>
        <s v="Tanganyika"/>
        <s v="Tshopo"/>
        <s v="Tshuapa"/>
      </sharedItems>
    </cacheField>
    <cacheField name="[Clients_chun_clean].[Statut_Resolution].[Statut_Resolution]" caption="Statut_Resolution" numFmtId="0" hierarchy="6" level="1">
      <sharedItems count="2">
        <s v="En Cours"/>
        <s v="Non Résolu"/>
      </sharedItems>
    </cacheField>
    <cacheField name="[Measures].[Nombre de Statut_Resolution]" caption="Nombre de Statut_Resolution" numFmtId="0" hierarchy="17" level="32767"/>
    <cacheField name="[Measures].[moyenne]" caption="moyenne" numFmtId="0" hierarchy="14" level="32767"/>
  </cacheFields>
  <cacheHierarchies count="19">
    <cacheHierarchy uniqueName="[Clients_chun_clean].[Source.Name]" caption="Source.Name" attribute="1" defaultMemberUniqueName="[Clients_chun_clean].[Source.Name].[All]" allUniqueName="[Clients_chun_clean].[Source.Name].[All]" dimensionUniqueName="[Clients_chun_clean]" displayFolder="" count="0" memberValueDatatype="130" unbalanced="0"/>
    <cacheHierarchy uniqueName="[Clients_chun_clean].[ID_Client]" caption="ID_Client" attribute="1" defaultMemberUniqueName="[Clients_chun_clean].[ID_Client].[All]" allUniqueName="[Clients_chun_clean].[ID_Client].[All]" dimensionUniqueName="[Clients_chun_clean]" displayFolder="" count="0" memberValueDatatype="130" unbalanced="0"/>
    <cacheHierarchy uniqueName="[Clients_chun_clean].[Province_Client]" caption="Province_Client" attribute="1" defaultMemberUniqueName="[Clients_chun_clean].[Province_Client].[All]" allUniqueName="[Clients_chun_clean].[Province_Client].[All]" dimensionUniqueName="[Clients_chun_clean]" displayFolder="" count="2" memberValueDatatype="130" unbalanced="0">
      <fieldsUsage count="2">
        <fieldUsage x="-1"/>
        <fieldUsage x="0"/>
      </fieldsUsage>
    </cacheHierarchy>
    <cacheHierarchy uniqueName="[Clients_chun_clean].[Cell_ID]" caption="Cell_ID" attribute="1" defaultMemberUniqueName="[Clients_chun_clean].[Cell_ID].[All]" allUniqueName="[Clients_chun_clean].[Cell_ID].[All]" dimensionUniqueName="[Clients_chun_clean]" displayFolder="" count="0" memberValueDatatype="130" unbalanced="0"/>
    <cacheHierarchy uniqueName="[Clients_chun_clean].[Technologie]" caption="Technologie" attribute="1" defaultMemberUniqueName="[Clients_chun_clean].[Technologie].[All]" allUniqueName="[Clients_chun_clean].[Technologie].[All]" dimensionUniqueName="[Clients_chun_clean]" displayFolder="" count="0" memberValueDatatype="130" unbalanced="0"/>
    <cacheHierarchy uniqueName="[Clients_chun_clean].[Equipementier]" caption="Equipementier" attribute="1" defaultMemberUniqueName="[Clients_chun_clean].[Equipementier].[All]" allUniqueName="[Clients_chun_clean].[Equipementier].[All]" dimensionUniqueName="[Clients_chun_clean]" displayFolder="" count="0" memberValueDatatype="130" unbalanced="0"/>
    <cacheHierarchy uniqueName="[Clients_chun_clean].[Statut_Resolution]" caption="Statut_Resolution" attribute="1" defaultMemberUniqueName="[Clients_chun_clean].[Statut_Resolution].[All]" allUniqueName="[Clients_chun_clean].[Statut_Resolution].[All]" dimensionUniqueName="[Clients_chun_clean]" displayFolder="" count="2" memberValueDatatype="130" unbalanced="0">
      <fieldsUsage count="2">
        <fieldUsage x="-1"/>
        <fieldUsage x="1"/>
      </fieldsUsage>
    </cacheHierarchy>
    <cacheHierarchy uniqueName="[Clients_chun_clean].[Anciennete_Mois]" caption="Anciennete_Mois" attribute="1" defaultMemberUniqueName="[Clients_chun_clean].[Anciennete_Mois].[All]" allUniqueName="[Clients_chun_clean].[Anciennete_Mois].[All]" dimensionUniqueName="[Clients_chun_clean]" displayFolder="" count="0" memberValueDatatype="20" unbalanced="0"/>
    <cacheHierarchy uniqueName="[Clients_chun_clean].[Type_Forfait]" caption="Type_Forfait" attribute="1" defaultMemberUniqueName="[Clients_chun_clean].[Type_Forfait].[All]" allUniqueName="[Clients_chun_clean].[Type_Forfait].[All]" dimensionUniqueName="[Clients_chun_clean]" displayFolder="" count="0" memberValueDatatype="130" unbalanced="0"/>
    <cacheHierarchy uniqueName="[Clients_chun_clean].[Duree_Cumulee_Panne_Min]" caption="Duree_Cumulee_Panne_Min" attribute="1" defaultMemberUniqueName="[Clients_chun_clean].[Duree_Cumulee_Panne_Min].[All]" allUniqueName="[Clients_chun_clean].[Duree_Cumulee_Panne_Min].[All]" dimensionUniqueName="[Clients_chun_clean]" displayFolder="" count="0" memberValueDatatype="20" unbalanced="0"/>
    <cacheHierarchy uniqueName="[Clients_chun_clean].[Duree_Cumulee_Panne_Heure]" caption="Duree_Cumulee_Panne_Heure" attribute="1" time="1" defaultMemberUniqueName="[Clients_chun_clean].[Duree_Cumulee_Panne_Heure].[All]" allUniqueName="[Clients_chun_clean].[Duree_Cumulee_Panne_Heure].[All]" dimensionUniqueName="[Clients_chun_clean]" displayFolder="" count="0" memberValueDatatype="7" unbalanced="0"/>
    <cacheHierarchy uniqueName="[Clients_chun_clean].[Facture_Mensuelle]" caption="Facture_Mensuelle" attribute="1" defaultMemberUniqueName="[Clients_chun_clean].[Facture_Mensuelle].[All]" allUniqueName="[Clients_chun_clean].[Facture_Mensuelle].[All]" dimensionUniqueName="[Clients_chun_clean]" displayFolder="" count="0" memberValueDatatype="5" unbalanced="0"/>
    <cacheHierarchy uniqueName="[Clients_chun_clean].[Plaintes_Service_Client]" caption="Plaintes_Service_Client" attribute="1" defaultMemberUniqueName="[Clients_chun_clean].[Plaintes_Service_Client].[All]" allUniqueName="[Clients_chun_clean].[Plaintes_Service_Client].[All]" dimensionUniqueName="[Clients_chun_clean]" displayFolder="" count="0" memberValueDatatype="20" unbalanced="0"/>
    <cacheHierarchy uniqueName="[Measures].[mpyenne]" caption="mpyenne" measure="1" displayFolder="" measureGroup="Clients_chun_clean" count="0"/>
    <cacheHierarchy uniqueName="[Measures].[moyenne]" caption="moyenne" measure="1" displayFolder="" measureGroup="Clients_chun_clean" count="0" oneField="1">
      <fieldsUsage count="1">
        <fieldUsage x="3"/>
      </fieldsUsage>
    </cacheHierarchy>
    <cacheHierarchy uniqueName="[Measures].[__XL_Count Clients_chun_clean]" caption="__XL_Count Clients_chun_clean" measure="1" displayFolder="" measureGroup="Clients_chun_clean" count="0" hidden="1"/>
    <cacheHierarchy uniqueName="[Measures].[__No measures defined]" caption="__No measures defined" measure="1" displayFolder="" count="0" hidden="1"/>
    <cacheHierarchy uniqueName="[Measures].[Nombre de Statut_Resolution]" caption="Nombre de Statut_Resolution" measure="1" displayFolder="" measureGroup="Clients_chun_clean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me de Facture_Mensuelle]" caption="Somme de Facture_Mensuelle" measure="1" displayFolder="" measureGroup="Clients_chun_clean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name="Clients_chun_clean" uniqueName="[Clients_chun_clean]" caption="Clients_chun_clean"/>
    <dimension measure="1" name="Measures" uniqueName="[Measures]" caption="Measures"/>
  </dimensions>
  <measureGroups count="1">
    <measureGroup name="Clients_chun_clean" caption="Clients_chun_clean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MSES" refreshedDate="46112.98322800926" createdVersion="8" refreshedVersion="8" minRefreshableVersion="3" recordCount="749" xr:uid="{05E59CB8-E310-41C0-9B27-51DF905AA66A}">
  <cacheSource type="worksheet">
    <worksheetSource ref="C1:P1048576" sheet="Master_Final"/>
  </cacheSource>
  <cacheFields count="14">
    <cacheField name="Province_Client" numFmtId="0">
      <sharedItems containsBlank="1" count="27">
        <s v="Ituri"/>
        <s v="Tshuapa"/>
        <s v="Mongala"/>
        <s v="Haut-Lomami"/>
        <s v="Sud-Kivu"/>
        <s v="Haut-Katanga"/>
        <s v="Bas-Uele"/>
        <s v="Kasai"/>
        <s v="Sud-Ubangi"/>
        <s v="Kasai-Central"/>
        <s v="Sankuru"/>
        <s v="Tanganyika"/>
        <s v="Kwango"/>
        <s v="Mai-Ndombe"/>
        <s v="Kwilu"/>
        <s v="Kasai-Oriental"/>
        <s v="Equateur"/>
        <s v="Kongo-Central"/>
        <s v="Kinshasa"/>
        <s v="Lomami"/>
        <s v="Tshopo"/>
        <s v="Maniema"/>
        <s v="Nord-Ubangi"/>
        <s v="Haut-Uele"/>
        <s v="Nord-Kivu"/>
        <s v="Lualaba"/>
        <m/>
      </sharedItems>
    </cacheField>
    <cacheField name="Cell_ID" numFmtId="0">
      <sharedItems containsBlank="1"/>
    </cacheField>
    <cacheField name="Technologie" numFmtId="0">
      <sharedItems containsBlank="1"/>
    </cacheField>
    <cacheField name="Equipementier" numFmtId="0">
      <sharedItems containsBlank="1"/>
    </cacheField>
    <cacheField name="Statut_Resolution" numFmtId="0">
      <sharedItems containsBlank="1"/>
    </cacheField>
    <cacheField name="Anciennete_Mois" numFmtId="0">
      <sharedItems containsString="0" containsBlank="1" containsNumber="1" containsInteger="1" minValue="1" maxValue="120"/>
    </cacheField>
    <cacheField name="Anciennete_An" numFmtId="0">
      <sharedItems containsString="0" containsBlank="1" containsNumber="1" containsInteger="1" minValue="0" maxValue="10"/>
    </cacheField>
    <cacheField name="Type_Abonnés" numFmtId="0">
      <sharedItems containsBlank="1"/>
    </cacheField>
    <cacheField name="Type_Forfait" numFmtId="0">
      <sharedItems containsBlank="1"/>
    </cacheField>
    <cacheField name="Duree_Cumulee_Panne_Min" numFmtId="0">
      <sharedItems containsString="0" containsBlank="1" containsNumber="1" containsInteger="1" minValue="1" maxValue="499"/>
    </cacheField>
    <cacheField name="Duree_Cumulee_Panne_Heure" numFmtId="165">
      <sharedItems containsNonDate="0" containsDate="1" containsString="0" containsBlank="1" minDate="1899-12-30T00:01:00" maxDate="1899-12-30T08:19:00"/>
    </cacheField>
    <cacheField name="Facture_Mensuelle" numFmtId="0">
      <sharedItems containsString="0" containsBlank="1" containsNumber="1" minValue="10" maxValue="99.93"/>
    </cacheField>
    <cacheField name="Remise" numFmtId="0">
      <sharedItems containsString="0" containsBlank="1" containsNumber="1" minValue="0" maxValue="0.45"/>
    </cacheField>
    <cacheField name="Montant_Remise" numFmtId="0">
      <sharedItems containsString="0" containsBlank="1" containsNumber="1" minValue="0" maxValue="44.96850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8">
  <r>
    <s v="Clients_Churn_Part_01.xlsx"/>
    <s v="CLI-01147"/>
    <x v="0"/>
    <s v="ANT-0037"/>
    <s v="3G"/>
    <x v="0"/>
    <s v="Résolu"/>
    <n v="29"/>
    <s v="Premium 5G 150Go"/>
    <n v="214"/>
    <d v="1899-12-30T03:34:00"/>
    <n v="74.7"/>
    <x v="0"/>
  </r>
  <r>
    <s v="Clients_Churn_Part_01.xlsx"/>
    <s v="CLI-00894"/>
    <x v="1"/>
    <s v="ANT-0271"/>
    <s v="5G"/>
    <x v="1"/>
    <s v="Non Résolu"/>
    <n v="63"/>
    <s v="Pro Monde"/>
    <n v="205"/>
    <d v="1899-12-30T03:25:00"/>
    <n v="89.19"/>
    <x v="1"/>
  </r>
  <r>
    <s v="Clients_Churn_Part_01.xlsx"/>
    <s v="CLI-00865"/>
    <x v="2"/>
    <s v="ANT-0855"/>
    <s v="5G"/>
    <x v="1"/>
    <s v="Non Résolu"/>
    <n v="34"/>
    <s v="Pro Monde"/>
    <n v="453"/>
    <d v="1899-12-30T07:33:00"/>
    <n v="56.84"/>
    <x v="1"/>
  </r>
  <r>
    <s v="Clients_Churn_Part_01.xlsx"/>
    <s v="CLI-01325"/>
    <x v="3"/>
    <s v="ANT-0371"/>
    <s v="4G"/>
    <x v="2"/>
    <s v="Résolu"/>
    <n v="44"/>
    <s v="Bloqué 5Go"/>
    <n v="348"/>
    <d v="1899-12-30T05:48:00"/>
    <n v="58.67"/>
    <x v="1"/>
  </r>
  <r>
    <s v="Clients_Churn_Part_01.xlsx"/>
    <s v="CLI-01855"/>
    <x v="4"/>
    <s v="ANT-0852"/>
    <s v="3G"/>
    <x v="0"/>
    <s v="En Cours"/>
    <n v="101"/>
    <s v="Illimité 50Go"/>
    <n v="358"/>
    <d v="1899-12-30T05:58:00"/>
    <n v="29.24"/>
    <x v="0"/>
  </r>
  <r>
    <s v="Clients_Churn_Part_01.xlsx"/>
    <s v="CLI-00076"/>
    <x v="5"/>
    <s v="ANT-0624"/>
    <s v="3G"/>
    <x v="0"/>
    <s v="En Cours"/>
    <n v="46"/>
    <s v="Premium 5G 150Go"/>
    <n v="283"/>
    <d v="1899-12-30T04:43:00"/>
    <n v="56.05"/>
    <x v="2"/>
  </r>
  <r>
    <s v="Clients_Churn_Part_01.xlsx"/>
    <s v="CLI-00414"/>
    <x v="6"/>
    <s v="ANT-0566"/>
    <s v="3G"/>
    <x v="0"/>
    <s v="En Cours"/>
    <n v="99"/>
    <s v="Premium 5G 150Go"/>
    <n v="447"/>
    <d v="1899-12-30T07:27:00"/>
    <n v="38.1"/>
    <x v="0"/>
  </r>
  <r>
    <s v="Clients_Churn_Part_01.xlsx"/>
    <s v="CLI-00327"/>
    <x v="5"/>
    <s v="ANT-0624"/>
    <s v="3G"/>
    <x v="0"/>
    <s v="En Cours"/>
    <n v="6"/>
    <s v="Illimité 50Go"/>
    <n v="155"/>
    <d v="1899-12-30T02:35:00"/>
    <n v="40.659999999999997"/>
    <x v="2"/>
  </r>
  <r>
    <s v="Clients_Churn_Part_01.xlsx"/>
    <s v="CLI-00559"/>
    <x v="7"/>
    <s v="ANT-0332"/>
    <s v="4G"/>
    <x v="2"/>
    <s v="Résolu"/>
    <n v="99"/>
    <s v="Bloqué 5Go"/>
    <n v="369"/>
    <d v="1899-12-30T06:09:00"/>
    <n v="67.209999999999994"/>
    <x v="0"/>
  </r>
  <r>
    <s v="Clients_Churn_Part_01.xlsx"/>
    <s v="CLI-00280"/>
    <x v="8"/>
    <s v="ANT-0166"/>
    <s v="5G"/>
    <x v="1"/>
    <s v="Non Résolu"/>
    <n v="113"/>
    <s v="Illimité 50Go"/>
    <n v="380"/>
    <d v="1899-12-30T06:20:00"/>
    <n v="12.11"/>
    <x v="1"/>
  </r>
  <r>
    <s v="Clients_Churn_Part_01.xlsx"/>
    <s v="CLI-00060"/>
    <x v="9"/>
    <s v="ANT-0379"/>
    <s v="4G"/>
    <x v="2"/>
    <s v="Résolu"/>
    <n v="72"/>
    <s v="Pro Monde"/>
    <n v="160"/>
    <d v="1899-12-30T02:40:00"/>
    <n v="90.13"/>
    <x v="3"/>
  </r>
  <r>
    <s v="Clients_Churn_Part_01.xlsx"/>
    <s v="CLI-00530"/>
    <x v="10"/>
    <s v="ANT-0760"/>
    <s v="4G"/>
    <x v="2"/>
    <s v="Résolu"/>
    <n v="35"/>
    <s v="Pro Monde"/>
    <n v="465"/>
    <d v="1899-12-30T07:45:00"/>
    <n v="58.59"/>
    <x v="4"/>
  </r>
  <r>
    <s v="Clients_Churn_Part_01.xlsx"/>
    <s v="CLI-01618"/>
    <x v="11"/>
    <s v="ANT-0862"/>
    <s v="3G"/>
    <x v="0"/>
    <s v="En Cours"/>
    <n v="115"/>
    <s v="Bloqué 5Go"/>
    <n v="176"/>
    <d v="1899-12-30T02:56:00"/>
    <n v="33.28"/>
    <x v="5"/>
  </r>
  <r>
    <s v="Clients_Churn_Part_01.xlsx"/>
    <s v="CLI-01646"/>
    <x v="3"/>
    <s v="ANT-0371"/>
    <s v="4G"/>
    <x v="2"/>
    <s v="Non Résolu"/>
    <n v="20"/>
    <s v="Illimité 50Go"/>
    <n v="4"/>
    <d v="1899-12-30T00:04:00"/>
    <n v="84.9"/>
    <x v="0"/>
  </r>
  <r>
    <s v="Clients_Churn_Part_01.xlsx"/>
    <s v="CLI-00569"/>
    <x v="12"/>
    <s v="ANT-0134"/>
    <s v="4G"/>
    <x v="2"/>
    <s v="Non Résolu"/>
    <n v="110"/>
    <s v="Pro Monde"/>
    <n v="423"/>
    <d v="1899-12-30T07:03:00"/>
    <n v="37.35"/>
    <x v="5"/>
  </r>
  <r>
    <s v="Clients_Churn_Part_01.xlsx"/>
    <s v="CLI-01349"/>
    <x v="1"/>
    <s v="ANT-0271"/>
    <s v="5G"/>
    <x v="1"/>
    <s v="Résolu"/>
    <n v="89"/>
    <s v="Premium 5G 150Go"/>
    <n v="143"/>
    <d v="1899-12-30T02:23:00"/>
    <n v="48.05"/>
    <x v="5"/>
  </r>
  <r>
    <s v="Clients_Churn_Part_01.xlsx"/>
    <s v="CLI-01128"/>
    <x v="6"/>
    <s v="ANT-0566"/>
    <s v="3G"/>
    <x v="3"/>
    <s v="Non Résolu"/>
    <n v="112"/>
    <s v="Premium 5G 150Go"/>
    <n v="460"/>
    <d v="1899-12-30T07:40:00"/>
    <n v="55.47"/>
    <x v="5"/>
  </r>
  <r>
    <s v="Clients_Churn_Part_01.xlsx"/>
    <s v="CLI-00361"/>
    <x v="13"/>
    <s v="ANT-0011"/>
    <s v="4G"/>
    <x v="2"/>
    <s v="Non Résolu"/>
    <n v="66"/>
    <s v="Illimité 50Go"/>
    <n v="270"/>
    <d v="1899-12-30T04:30:00"/>
    <n v="75.88"/>
    <x v="0"/>
  </r>
  <r>
    <s v="Clients_Churn_Part_01.xlsx"/>
    <s v="CLI-01320"/>
    <x v="7"/>
    <s v="ANT-0332"/>
    <s v="4G"/>
    <x v="2"/>
    <s v="Non Résolu"/>
    <n v="78"/>
    <s v="Bloqué 5Go"/>
    <n v="312"/>
    <d v="1899-12-30T05:12:00"/>
    <n v="85.74"/>
    <x v="3"/>
  </r>
  <r>
    <s v="Clients_Churn_Part_01.xlsx"/>
    <s v="CLI-01746"/>
    <x v="9"/>
    <s v="ANT-0379"/>
    <s v="4G"/>
    <x v="1"/>
    <s v="Résolu"/>
    <n v="86"/>
    <s v="Premium 5G 150Go"/>
    <n v="471"/>
    <d v="1899-12-30T07:51:00"/>
    <n v="33.380000000000003"/>
    <x v="5"/>
  </r>
  <r>
    <s v="Clients_Churn_Part_01.xlsx"/>
    <s v="CLI-00087"/>
    <x v="7"/>
    <s v="ANT-0332"/>
    <s v="4G"/>
    <x v="1"/>
    <s v="Non Résolu"/>
    <n v="14"/>
    <s v="Premium 5G 150Go"/>
    <n v="75"/>
    <d v="1899-12-30T01:15:00"/>
    <n v="55.67"/>
    <x v="0"/>
  </r>
  <r>
    <s v="Clients_Churn_Part_01.xlsx"/>
    <s v="CLI-01974"/>
    <x v="8"/>
    <s v="ANT-0166"/>
    <s v="5G"/>
    <x v="1"/>
    <s v="Non Résolu"/>
    <n v="91"/>
    <s v="Pro Monde"/>
    <n v="358"/>
    <d v="1899-12-30T05:58:00"/>
    <n v="21.14"/>
    <x v="4"/>
  </r>
  <r>
    <s v="Clients_Churn_Part_01.xlsx"/>
    <s v="CLI-01480"/>
    <x v="6"/>
    <s v="ANT-0566"/>
    <s v="3G"/>
    <x v="3"/>
    <s v="En Cours"/>
    <n v="7"/>
    <s v="Premium 5G 150Go"/>
    <n v="206"/>
    <d v="1899-12-30T03:26:00"/>
    <n v="78.09"/>
    <x v="0"/>
  </r>
  <r>
    <s v="Clients_Churn_Part_01.xlsx"/>
    <s v="CLI-00996"/>
    <x v="14"/>
    <s v="ANT-0952"/>
    <s v="4G"/>
    <x v="1"/>
    <s v="Non Résolu"/>
    <n v="119"/>
    <s v="Illimité 50Go"/>
    <n v="228"/>
    <d v="1899-12-30T03:48:00"/>
    <n v="94.72"/>
    <x v="0"/>
  </r>
  <r>
    <s v="Clients_Churn_Part_01.xlsx"/>
    <s v="CLI-01603"/>
    <x v="5"/>
    <s v="ANT-0284"/>
    <s v="4G"/>
    <x v="1"/>
    <s v="Non Résolu"/>
    <n v="57"/>
    <s v="Illimité 50Go"/>
    <n v="329"/>
    <d v="1899-12-30T05:29:00"/>
    <n v="50.39"/>
    <x v="4"/>
  </r>
  <r>
    <s v="Clients_Churn_Part_01.xlsx"/>
    <s v="CLI-00041"/>
    <x v="0"/>
    <s v="ANT-0037"/>
    <s v="3G"/>
    <x v="3"/>
    <s v="En Cours"/>
    <n v="103"/>
    <s v="Pro Monde"/>
    <n v="105"/>
    <d v="1899-12-30T01:45:00"/>
    <n v="61.52"/>
    <x v="0"/>
  </r>
  <r>
    <s v="Clients_Churn_Part_01.xlsx"/>
    <s v="CLI-00114"/>
    <x v="6"/>
    <s v="ANT-0566"/>
    <s v="3G"/>
    <x v="3"/>
    <s v="En Cours"/>
    <n v="59"/>
    <s v="Illimité 50Go"/>
    <n v="454"/>
    <d v="1899-12-30T07:34:00"/>
    <n v="10.47"/>
    <x v="4"/>
  </r>
  <r>
    <s v="Clients_Churn_Part_01.xlsx"/>
    <s v="CLI-01761"/>
    <x v="10"/>
    <s v="ANT-0760"/>
    <s v="4G"/>
    <x v="3"/>
    <s v="En Cours"/>
    <n v="108"/>
    <s v="Illimité 50Go"/>
    <n v="278"/>
    <d v="1899-12-30T04:38:00"/>
    <n v="40.51"/>
    <x v="0"/>
  </r>
  <r>
    <s v="Clients_Churn_Part_01.xlsx"/>
    <s v="CLI-01837"/>
    <x v="15"/>
    <s v="ANT-0731"/>
    <s v="5G"/>
    <x v="1"/>
    <s v="Résolu"/>
    <n v="97"/>
    <s v="Pro Monde"/>
    <n v="319"/>
    <d v="1899-12-30T05:19:00"/>
    <n v="31.25"/>
    <x v="2"/>
  </r>
  <r>
    <s v="Clients_Churn_Part_01.xlsx"/>
    <s v="CLI-00172"/>
    <x v="9"/>
    <s v="ANT-0379"/>
    <s v="4G"/>
    <x v="3"/>
    <s v="Résolu"/>
    <n v="15"/>
    <s v="Pro Monde"/>
    <n v="403"/>
    <d v="1899-12-30T06:43:00"/>
    <n v="77.12"/>
    <x v="2"/>
  </r>
  <r>
    <s v="Clients_Churn_Part_01.xlsx"/>
    <s v="CLI-00643"/>
    <x v="16"/>
    <s v="ANT-0315"/>
    <s v="4G"/>
    <x v="3"/>
    <s v="Résolu"/>
    <n v="14"/>
    <s v="Pro Monde"/>
    <n v="316"/>
    <d v="1899-12-30T05:16:00"/>
    <n v="62.34"/>
    <x v="5"/>
  </r>
  <r>
    <s v="Clients_Churn_Part_01.xlsx"/>
    <s v="CLI-01233"/>
    <x v="17"/>
    <s v="ANT-0737"/>
    <s v="5G"/>
    <x v="3"/>
    <s v="Résolu"/>
    <n v="101"/>
    <s v="Pro Monde"/>
    <n v="333"/>
    <d v="1899-12-30T05:33:00"/>
    <n v="74.319999999999993"/>
    <x v="2"/>
  </r>
  <r>
    <s v="Clients_Churn_Part_01.xlsx"/>
    <s v="CLI-00611"/>
    <x v="18"/>
    <s v="ANT-0913"/>
    <s v="5G"/>
    <x v="3"/>
    <s v="Résolu"/>
    <n v="79"/>
    <s v="Premium 5G 150Go"/>
    <n v="226"/>
    <d v="1899-12-30T03:46:00"/>
    <n v="94.38"/>
    <x v="0"/>
  </r>
  <r>
    <s v="Clients_Churn_Part_01.xlsx"/>
    <s v="CLI-01776"/>
    <x v="4"/>
    <s v="ANT-0852"/>
    <s v="3G"/>
    <x v="3"/>
    <s v="Résolu"/>
    <n v="79"/>
    <s v="Bloqué 5Go"/>
    <n v="357"/>
    <d v="1899-12-30T05:57:00"/>
    <n v="69.900000000000006"/>
    <x v="4"/>
  </r>
  <r>
    <s v="Clients_Churn_Part_01.xlsx"/>
    <s v="CLI-00131"/>
    <x v="19"/>
    <s v="ANT-0914"/>
    <s v="5G"/>
    <x v="3"/>
    <s v="Résolu"/>
    <n v="101"/>
    <s v="Pro Monde"/>
    <n v="176"/>
    <d v="1899-12-30T02:56:00"/>
    <n v="86"/>
    <x v="0"/>
  </r>
  <r>
    <s v="Clients_Churn_Part_01.xlsx"/>
    <s v="CLI-01845"/>
    <x v="4"/>
    <s v="ANT-0852"/>
    <s v="3G"/>
    <x v="3"/>
    <s v="Résolu"/>
    <n v="110"/>
    <s v="Illimité 50Go"/>
    <n v="454"/>
    <d v="1899-12-30T07:34:00"/>
    <n v="31.05"/>
    <x v="2"/>
  </r>
  <r>
    <s v="Clients_Churn_Part_01.xlsx"/>
    <s v="CLI-01957"/>
    <x v="1"/>
    <s v="ANT-0271"/>
    <s v="5G"/>
    <x v="3"/>
    <s v="Résolu"/>
    <n v="14"/>
    <s v="Bloqué 5Go"/>
    <n v="415"/>
    <d v="1899-12-30T06:55:00"/>
    <n v="36.93"/>
    <x v="4"/>
  </r>
  <r>
    <s v="Clients_Churn_Part_01.xlsx"/>
    <s v="CLI-00834"/>
    <x v="7"/>
    <s v="ANT-0332"/>
    <s v="4G"/>
    <x v="2"/>
    <s v="Résolu"/>
    <n v="106"/>
    <s v="Bloqué 5Go"/>
    <n v="400"/>
    <d v="1899-12-30T06:40:00"/>
    <n v="70.02"/>
    <x v="5"/>
  </r>
  <r>
    <s v="Clients_Churn_Part_01.xlsx"/>
    <s v="CLI-01972"/>
    <x v="7"/>
    <s v="ANT-0332"/>
    <s v="4G"/>
    <x v="1"/>
    <s v="Résolu"/>
    <n v="72"/>
    <s v="Bloqué 5Go"/>
    <n v="332"/>
    <d v="1899-12-30T05:32:00"/>
    <n v="83.36"/>
    <x v="5"/>
  </r>
  <r>
    <s v="Clients_Churn_Part_01.xlsx"/>
    <s v="CLI-00745"/>
    <x v="20"/>
    <s v="ANT-0096"/>
    <s v="3G"/>
    <x v="3"/>
    <s v="Résolu"/>
    <n v="6"/>
    <s v="Premium 5G 150Go"/>
    <n v="207"/>
    <d v="1899-12-30T03:27:00"/>
    <n v="61.55"/>
    <x v="1"/>
  </r>
  <r>
    <s v="Clients_Churn_Part_01.xlsx"/>
    <s v="CLI-01376"/>
    <x v="17"/>
    <s v="ANT-0737"/>
    <s v="5G"/>
    <x v="3"/>
    <s v="Résolu"/>
    <n v="65"/>
    <s v="Premium 5G 150Go"/>
    <n v="397"/>
    <d v="1899-12-30T06:37:00"/>
    <n v="22.6"/>
    <x v="4"/>
  </r>
  <r>
    <s v="Clients_Churn_Part_01.xlsx"/>
    <s v="CLI-01347"/>
    <x v="5"/>
    <s v="ANT-0284"/>
    <s v="4G"/>
    <x v="2"/>
    <s v="Non Résolu"/>
    <n v="14"/>
    <s v="Pro Monde"/>
    <n v="101"/>
    <d v="1899-12-30T01:41:00"/>
    <n v="43.99"/>
    <x v="2"/>
  </r>
  <r>
    <s v="Clients_Churn_Part_01.xlsx"/>
    <s v="CLI-01814"/>
    <x v="12"/>
    <s v="ANT-0134"/>
    <s v="4G"/>
    <x v="1"/>
    <s v="Résolu"/>
    <n v="22"/>
    <s v="Illimité 50Go"/>
    <n v="451"/>
    <d v="1899-12-30T07:31:00"/>
    <n v="76.38"/>
    <x v="0"/>
  </r>
  <r>
    <s v="Clients_Churn_Part_01.xlsx"/>
    <s v="CLI-00185"/>
    <x v="21"/>
    <s v="ANT-0302"/>
    <s v="4G"/>
    <x v="1"/>
    <s v="Résolu"/>
    <n v="81"/>
    <s v="Pro Monde"/>
    <n v="154"/>
    <d v="1899-12-30T02:34:00"/>
    <n v="19.47"/>
    <x v="0"/>
  </r>
  <r>
    <s v="Clients_Churn_Part_01.xlsx"/>
    <s v="CLI-00813"/>
    <x v="0"/>
    <s v="ANT-0037"/>
    <s v="3G"/>
    <x v="2"/>
    <s v="En Cours"/>
    <n v="16"/>
    <s v="Bloqué 5Go"/>
    <n v="43"/>
    <d v="1899-12-30T00:43:00"/>
    <n v="56.48"/>
    <x v="1"/>
  </r>
  <r>
    <s v="Clients_Churn_Part_01.xlsx"/>
    <s v="CLI-01932"/>
    <x v="14"/>
    <s v="ANT-0850"/>
    <s v="3G"/>
    <x v="2"/>
    <s v="En Cours"/>
    <n v="112"/>
    <s v="Pro Monde"/>
    <n v="18"/>
    <d v="1899-12-30T00:18:00"/>
    <n v="27.33"/>
    <x v="4"/>
  </r>
  <r>
    <s v="Clients_Churn_Part_01.xlsx"/>
    <s v="CLI-01720"/>
    <x v="8"/>
    <s v="ANT-0166"/>
    <s v="5G"/>
    <x v="3"/>
    <s v="En Cours"/>
    <n v="27"/>
    <s v="Bloqué 5Go"/>
    <n v="275"/>
    <d v="1899-12-30T04:35:00"/>
    <n v="80.069999999999993"/>
    <x v="2"/>
  </r>
  <r>
    <s v="Clients_Churn_Part_01.xlsx"/>
    <s v="CLI-01484"/>
    <x v="15"/>
    <s v="ANT-0731"/>
    <s v="5G"/>
    <x v="3"/>
    <s v="En Cours"/>
    <n v="117"/>
    <s v="Illimité 50Go"/>
    <n v="171"/>
    <d v="1899-12-30T02:51:00"/>
    <n v="50.89"/>
    <x v="5"/>
  </r>
  <r>
    <s v="Clients_Churn_Part_01.xlsx"/>
    <s v="CLI-01726"/>
    <x v="14"/>
    <s v="ANT-0850"/>
    <s v="3G"/>
    <x v="2"/>
    <s v="Résolu"/>
    <n v="47"/>
    <s v="Bloqué 5Go"/>
    <n v="199"/>
    <d v="1899-12-30T03:19:00"/>
    <n v="23.19"/>
    <x v="3"/>
  </r>
  <r>
    <s v="Clients_Churn_Part_01.xlsx"/>
    <s v="CLI-00288"/>
    <x v="16"/>
    <s v="ANT-0451"/>
    <s v="3G"/>
    <x v="2"/>
    <s v="Résolu"/>
    <n v="21"/>
    <s v="Premium 5G 150Go"/>
    <n v="371"/>
    <d v="1899-12-30T06:11:00"/>
    <n v="48.31"/>
    <x v="1"/>
  </r>
  <r>
    <s v="Clients_Churn_Part_02.xlsx"/>
    <s v="CLI-00484"/>
    <x v="14"/>
    <s v="ANT-0850"/>
    <s v="3G"/>
    <x v="2"/>
    <s v="Résolu"/>
    <n v="82"/>
    <s v="Bloqué 5Go"/>
    <n v="132"/>
    <d v="1899-12-30T02:12:00"/>
    <n v="50.14"/>
    <x v="4"/>
  </r>
  <r>
    <s v="Clients_Churn_Part_02.xlsx"/>
    <s v="CLI-00230"/>
    <x v="4"/>
    <s v="ANT-0441"/>
    <s v="3G"/>
    <x v="2"/>
    <s v="Résolu"/>
    <n v="59"/>
    <s v="Illimité 50Go"/>
    <n v="192"/>
    <d v="1899-12-30T03:12:00"/>
    <n v="86.17"/>
    <x v="2"/>
  </r>
  <r>
    <s v="Clients_Churn_Part_02.xlsx"/>
    <s v="CLI-01170"/>
    <x v="22"/>
    <s v="ANT-0153"/>
    <s v="5G"/>
    <x v="1"/>
    <s v="Non Résolu"/>
    <n v="98"/>
    <s v="Pro Monde"/>
    <n v="482"/>
    <d v="1899-12-30T08:02:00"/>
    <n v="55.04"/>
    <x v="4"/>
  </r>
  <r>
    <s v="Clients_Churn_Part_02.xlsx"/>
    <s v="CLI-01505"/>
    <x v="10"/>
    <s v="ANT-0760"/>
    <s v="4G"/>
    <x v="1"/>
    <s v="Non Résolu"/>
    <n v="58"/>
    <s v="Bloqué 5Go"/>
    <n v="423"/>
    <d v="1899-12-30T07:03:00"/>
    <n v="80.459999999999994"/>
    <x v="1"/>
  </r>
  <r>
    <s v="Clients_Churn_Part_02.xlsx"/>
    <s v="CLI-01025"/>
    <x v="17"/>
    <s v="ANT-0737"/>
    <s v="5G"/>
    <x v="1"/>
    <s v="Non Résolu"/>
    <n v="86"/>
    <s v="Bloqué 5Go"/>
    <n v="460"/>
    <d v="1899-12-30T07:40:00"/>
    <n v="22.81"/>
    <x v="5"/>
  </r>
  <r>
    <s v="Clients_Churn_Part_02.xlsx"/>
    <s v="CLI-01911"/>
    <x v="20"/>
    <s v="ANT-0096"/>
    <s v="3G"/>
    <x v="0"/>
    <s v="Non Résolu"/>
    <n v="58"/>
    <s v="Illimité 50Go"/>
    <n v="61"/>
    <d v="1899-12-30T01:01:00"/>
    <n v="58.64"/>
    <x v="0"/>
  </r>
  <r>
    <s v="Clients_Churn_Part_02.xlsx"/>
    <s v="CLI-00248"/>
    <x v="13"/>
    <s v="ANT-0011"/>
    <s v="4G"/>
    <x v="1"/>
    <s v="Résolu"/>
    <n v="20"/>
    <s v="Bloqué 5Go"/>
    <n v="26"/>
    <d v="1899-12-30T00:26:00"/>
    <n v="25.14"/>
    <x v="1"/>
  </r>
  <r>
    <s v="Clients_Churn_Part_02.xlsx"/>
    <s v="CLI-01069"/>
    <x v="14"/>
    <s v="ANT-0850"/>
    <s v="3G"/>
    <x v="0"/>
    <s v="Non Résolu"/>
    <n v="111"/>
    <s v="Premium 5G 150Go"/>
    <n v="103"/>
    <d v="1899-12-30T01:43:00"/>
    <n v="32.06"/>
    <x v="1"/>
  </r>
  <r>
    <s v="Clients_Churn_Part_02.xlsx"/>
    <s v="CLI-01361"/>
    <x v="4"/>
    <s v="ANT-0441"/>
    <s v="3G"/>
    <x v="0"/>
    <s v="Non Résolu"/>
    <n v="94"/>
    <s v="Illimité 50Go"/>
    <n v="122"/>
    <d v="1899-12-30T02:02:00"/>
    <n v="95.74"/>
    <x v="4"/>
  </r>
  <r>
    <s v="Clients_Churn_Part_02.xlsx"/>
    <s v="CLI-01698"/>
    <x v="10"/>
    <s v="ANT-0760"/>
    <s v="4G"/>
    <x v="1"/>
    <s v="Résolu"/>
    <n v="42"/>
    <s v="Illimité 50Go"/>
    <n v="385"/>
    <d v="1899-12-30T06:25:00"/>
    <n v="96.52"/>
    <x v="2"/>
  </r>
  <r>
    <s v="Clients_Churn_Part_02.xlsx"/>
    <s v="CLI-01189"/>
    <x v="4"/>
    <s v="ANT-0441"/>
    <s v="3G"/>
    <x v="0"/>
    <s v="Non Résolu"/>
    <n v="12"/>
    <s v="Pro Monde"/>
    <n v="305"/>
    <d v="1899-12-30T05:05:00"/>
    <n v="59.96"/>
    <x v="0"/>
  </r>
  <r>
    <s v="Clients_Churn_Part_02.xlsx"/>
    <s v="CLI-01588"/>
    <x v="10"/>
    <s v="ANT-0760"/>
    <s v="4G"/>
    <x v="1"/>
    <s v="Résolu"/>
    <n v="103"/>
    <s v="Bloqué 5Go"/>
    <n v="300"/>
    <d v="1899-12-30T05:00:00"/>
    <n v="13.76"/>
    <x v="5"/>
  </r>
  <r>
    <s v="Clients_Churn_Part_02.xlsx"/>
    <s v="CLI-01908"/>
    <x v="10"/>
    <s v="ANT-0760"/>
    <s v="4G"/>
    <x v="1"/>
    <s v="Résolu"/>
    <n v="80"/>
    <s v="Premium 5G 150Go"/>
    <n v="121"/>
    <d v="1899-12-30T02:01:00"/>
    <n v="83.14"/>
    <x v="4"/>
  </r>
  <r>
    <s v="Clients_Churn_Part_02.xlsx"/>
    <s v="CLI-01076"/>
    <x v="6"/>
    <s v="ANT-0566"/>
    <s v="3G"/>
    <x v="0"/>
    <s v="Non Résolu"/>
    <n v="86"/>
    <s v="Pro Monde"/>
    <n v="252"/>
    <d v="1899-12-30T04:12:00"/>
    <n v="96.5"/>
    <x v="4"/>
  </r>
  <r>
    <s v="Clients_Churn_Part_02.xlsx"/>
    <s v="CLI-00516"/>
    <x v="18"/>
    <s v="ANT-0913"/>
    <s v="5G"/>
    <x v="1"/>
    <s v="Résolu"/>
    <n v="80"/>
    <s v="Bloqué 5Go"/>
    <n v="260"/>
    <d v="1899-12-30T04:20:00"/>
    <n v="65.87"/>
    <x v="0"/>
  </r>
  <r>
    <s v="Clients_Churn_Part_02.xlsx"/>
    <s v="CLI-01017"/>
    <x v="5"/>
    <s v="ANT-0790"/>
    <s v="5G"/>
    <x v="1"/>
    <s v="Résolu"/>
    <n v="53"/>
    <s v="Pro Monde"/>
    <n v="385"/>
    <d v="1899-12-30T06:25:00"/>
    <n v="68.78"/>
    <x v="0"/>
  </r>
  <r>
    <s v="Clients_Churn_Part_02.xlsx"/>
    <s v="CLI-01812"/>
    <x v="13"/>
    <s v="ANT-0011"/>
    <s v="4G"/>
    <x v="2"/>
    <s v="Résolu"/>
    <n v="50"/>
    <s v="Bloqué 5Go"/>
    <n v="258"/>
    <d v="1899-12-30T04:18:00"/>
    <n v="25.06"/>
    <x v="5"/>
  </r>
  <r>
    <s v="Clients_Churn_Part_02.xlsx"/>
    <s v="CLI-01964"/>
    <x v="13"/>
    <s v="ANT-0011"/>
    <s v="4G"/>
    <x v="2"/>
    <s v="Résolu"/>
    <n v="30"/>
    <s v="Premium 5G 150Go"/>
    <n v="197"/>
    <d v="1899-12-30T03:17:00"/>
    <n v="15.42"/>
    <x v="1"/>
  </r>
  <r>
    <s v="Clients_Churn_Part_02.xlsx"/>
    <s v="CLI-00488"/>
    <x v="5"/>
    <s v="ANT-0010"/>
    <s v="3G"/>
    <x v="0"/>
    <s v="Non Résolu"/>
    <n v="116"/>
    <s v="Pro Monde"/>
    <n v="486"/>
    <d v="1899-12-30T08:06:00"/>
    <n v="92.96"/>
    <x v="4"/>
  </r>
  <r>
    <s v="Clients_Churn_Part_02.xlsx"/>
    <s v="CLI-01229"/>
    <x v="22"/>
    <s v="ANT-0153"/>
    <s v="5G"/>
    <x v="3"/>
    <s v="Non Résolu"/>
    <n v="51"/>
    <s v="Illimité 50Go"/>
    <n v="58"/>
    <d v="1899-12-30T00:58:00"/>
    <n v="34.6"/>
    <x v="4"/>
  </r>
  <r>
    <s v="Clients_Churn_Part_02.xlsx"/>
    <s v="CLI-00251"/>
    <x v="0"/>
    <s v="ANT-0037"/>
    <s v="3G"/>
    <x v="0"/>
    <s v="Non Résolu"/>
    <n v="44"/>
    <s v="Pro Monde"/>
    <n v="137"/>
    <d v="1899-12-30T02:17:00"/>
    <n v="32.58"/>
    <x v="1"/>
  </r>
  <r>
    <s v="Clients_Churn_Part_02.xlsx"/>
    <s v="CLI-01584"/>
    <x v="17"/>
    <s v="ANT-0737"/>
    <s v="5G"/>
    <x v="1"/>
    <s v="En Cours"/>
    <n v="70"/>
    <s v="Bloqué 5Go"/>
    <n v="31"/>
    <d v="1899-12-30T00:31:00"/>
    <n v="71.2"/>
    <x v="5"/>
  </r>
  <r>
    <s v="Clients_Churn_Part_02.xlsx"/>
    <s v="CLI-01653"/>
    <x v="10"/>
    <s v="ANT-0760"/>
    <s v="4G"/>
    <x v="0"/>
    <s v="Non Résolu"/>
    <n v="6"/>
    <s v="Premium 5G 150Go"/>
    <n v="162"/>
    <d v="1899-12-30T02:42:00"/>
    <n v="99.93"/>
    <x v="1"/>
  </r>
  <r>
    <s v="Clients_Churn_Part_02.xlsx"/>
    <s v="CLI-00642"/>
    <x v="10"/>
    <s v="ANT-0517"/>
    <s v="5G"/>
    <x v="1"/>
    <s v="Résolu"/>
    <n v="86"/>
    <s v="Pro Monde"/>
    <n v="237"/>
    <d v="1899-12-30T03:57:00"/>
    <n v="85.82"/>
    <x v="4"/>
  </r>
  <r>
    <s v="Clients_Churn_Part_02.xlsx"/>
    <s v="CLI-00675"/>
    <x v="9"/>
    <s v="ANT-0379"/>
    <s v="4G"/>
    <x v="2"/>
    <s v="En Cours"/>
    <n v="114"/>
    <s v="Premium 5G 150Go"/>
    <n v="283"/>
    <d v="1899-12-30T04:43:00"/>
    <n v="29.15"/>
    <x v="0"/>
  </r>
  <r>
    <s v="Clients_Churn_Part_02.xlsx"/>
    <s v="CLI-01705"/>
    <x v="7"/>
    <s v="ANT-0332"/>
    <s v="4G"/>
    <x v="2"/>
    <s v="En Cours"/>
    <n v="57"/>
    <s v="Bloqué 5Go"/>
    <n v="208"/>
    <d v="1899-12-30T03:28:00"/>
    <n v="85.66"/>
    <x v="4"/>
  </r>
  <r>
    <s v="Clients_Churn_Part_02.xlsx"/>
    <s v="CLI-01197"/>
    <x v="3"/>
    <s v="ANT-0371"/>
    <s v="4G"/>
    <x v="2"/>
    <s v="En Cours"/>
    <n v="95"/>
    <s v="Bloqué 5Go"/>
    <n v="33"/>
    <d v="1899-12-30T00:33:00"/>
    <n v="35.32"/>
    <x v="1"/>
  </r>
  <r>
    <s v="Clients_Churn_Part_02.xlsx"/>
    <s v="CLI-01510"/>
    <x v="6"/>
    <s v="ANT-0566"/>
    <s v="3G"/>
    <x v="1"/>
    <s v="Résolu"/>
    <n v="36"/>
    <s v="Bloqué 5Go"/>
    <n v="247"/>
    <d v="1899-12-30T04:07:00"/>
    <n v="24.53"/>
    <x v="3"/>
  </r>
  <r>
    <s v="Clients_Churn_Part_02.xlsx"/>
    <s v="CLI-00799"/>
    <x v="18"/>
    <s v="ANT-0913"/>
    <s v="5G"/>
    <x v="1"/>
    <s v="Résolu"/>
    <n v="83"/>
    <s v="Illimité 50Go"/>
    <n v="14"/>
    <d v="1899-12-30T00:14:00"/>
    <n v="58.07"/>
    <x v="0"/>
  </r>
  <r>
    <s v="Clients_Churn_Part_02.xlsx"/>
    <s v="CLI-01651"/>
    <x v="14"/>
    <s v="ANT-0770"/>
    <s v="4G"/>
    <x v="2"/>
    <s v="En Cours"/>
    <n v="12"/>
    <s v="Premium 5G 150Go"/>
    <n v="208"/>
    <d v="1899-12-30T03:28:00"/>
    <n v="16.29"/>
    <x v="5"/>
  </r>
  <r>
    <s v="Clients_Churn_Part_02.xlsx"/>
    <s v="CLI-01533"/>
    <x v="16"/>
    <s v="ANT-0451"/>
    <s v="3G"/>
    <x v="3"/>
    <s v="Résolu"/>
    <n v="111"/>
    <s v="Illimité 50Go"/>
    <n v="324"/>
    <d v="1899-12-30T05:24:00"/>
    <n v="18.07"/>
    <x v="3"/>
  </r>
  <r>
    <s v="Clients_Churn_Part_02.xlsx"/>
    <s v="CLI-01524"/>
    <x v="4"/>
    <s v="ANT-0441"/>
    <s v="3G"/>
    <x v="3"/>
    <s v="Résolu"/>
    <n v="22"/>
    <s v="Illimité 50Go"/>
    <n v="119"/>
    <d v="1899-12-30T01:59:00"/>
    <n v="72.86"/>
    <x v="0"/>
  </r>
  <r>
    <s v="Clients_Churn_Part_02.xlsx"/>
    <s v="CLI-01950"/>
    <x v="12"/>
    <s v="ANT-0708"/>
    <s v="3G"/>
    <x v="3"/>
    <s v="Résolu"/>
    <n v="91"/>
    <s v="Premium 5G 150Go"/>
    <n v="467"/>
    <d v="1899-12-30T07:47:00"/>
    <n v="84.74"/>
    <x v="2"/>
  </r>
  <r>
    <s v="Clients_Churn_Part_02.xlsx"/>
    <s v="CLI-01916"/>
    <x v="17"/>
    <s v="ANT-0737"/>
    <s v="5G"/>
    <x v="0"/>
    <s v="En Cours"/>
    <n v="4"/>
    <s v="Bloqué 5Go"/>
    <n v="453"/>
    <d v="1899-12-30T07:33:00"/>
    <n v="75.260000000000005"/>
    <x v="4"/>
  </r>
  <r>
    <s v="Clients_Churn_Part_02.xlsx"/>
    <s v="CLI-00867"/>
    <x v="0"/>
    <s v="ANT-0037"/>
    <s v="3G"/>
    <x v="0"/>
    <s v="En Cours"/>
    <n v="74"/>
    <s v="Illimité 50Go"/>
    <n v="9"/>
    <d v="1899-12-30T00:09:00"/>
    <n v="99.89"/>
    <x v="1"/>
  </r>
  <r>
    <s v="Clients_Churn_Part_02.xlsx"/>
    <s v="CLI-00447"/>
    <x v="6"/>
    <s v="ANT-0566"/>
    <s v="3G"/>
    <x v="0"/>
    <s v="En Cours"/>
    <n v="81"/>
    <s v="Premium 5G 150Go"/>
    <n v="137"/>
    <d v="1899-12-30T02:17:00"/>
    <n v="89.05"/>
    <x v="1"/>
  </r>
  <r>
    <s v="Clients_Churn_Part_02.xlsx"/>
    <s v="CLI-00296"/>
    <x v="22"/>
    <s v="ANT-0597"/>
    <s v="5G"/>
    <x v="1"/>
    <s v="Résolu"/>
    <n v="102"/>
    <s v="Pro Monde"/>
    <n v="283"/>
    <d v="1899-12-30T04:43:00"/>
    <n v="28.98"/>
    <x v="0"/>
  </r>
  <r>
    <s v="Clients_Churn_Part_02.xlsx"/>
    <s v="CLI-00219"/>
    <x v="10"/>
    <s v="ANT-0517"/>
    <s v="5G"/>
    <x v="1"/>
    <s v="Résolu"/>
    <n v="99"/>
    <s v="Illimité 50Go"/>
    <n v="493"/>
    <d v="1899-12-30T08:13:00"/>
    <n v="55.43"/>
    <x v="3"/>
  </r>
  <r>
    <s v="Clients_Churn_Part_02.xlsx"/>
    <s v="CLI-00359"/>
    <x v="22"/>
    <s v="ANT-0597"/>
    <s v="5G"/>
    <x v="1"/>
    <s v="Résolu"/>
    <n v="91"/>
    <s v="Bloqué 5Go"/>
    <n v="300"/>
    <d v="1899-12-30T05:00:00"/>
    <n v="82.19"/>
    <x v="2"/>
  </r>
  <r>
    <s v="Clients_Churn_Part_02.xlsx"/>
    <s v="CLI-00439"/>
    <x v="23"/>
    <s v="ANT-0797"/>
    <s v="4G"/>
    <x v="1"/>
    <s v="Résolu"/>
    <n v="40"/>
    <s v="Premium 5G 150Go"/>
    <n v="345"/>
    <d v="1899-12-30T05:45:00"/>
    <n v="89.55"/>
    <x v="0"/>
  </r>
  <r>
    <s v="Clients_Churn_Part_02.xlsx"/>
    <s v="CLI-00563"/>
    <x v="21"/>
    <s v="ANT-0302"/>
    <s v="4G"/>
    <x v="2"/>
    <s v="Résolu"/>
    <n v="72"/>
    <s v="Illimité 50Go"/>
    <n v="51"/>
    <d v="1899-12-30T00:51:00"/>
    <n v="95.09"/>
    <x v="1"/>
  </r>
  <r>
    <s v="Clients_Churn_Part_02.xlsx"/>
    <s v="CLI-00901"/>
    <x v="5"/>
    <s v="ANT-0284"/>
    <s v="4G"/>
    <x v="2"/>
    <s v="Résolu"/>
    <n v="83"/>
    <s v="Bloqué 5Go"/>
    <n v="126"/>
    <d v="1899-12-30T02:06:00"/>
    <n v="67.17"/>
    <x v="2"/>
  </r>
  <r>
    <s v="Clients_Churn_Part_02.xlsx"/>
    <s v="CLI-00837"/>
    <x v="24"/>
    <s v="ANT-0454"/>
    <s v="3G"/>
    <x v="0"/>
    <s v="En Cours"/>
    <n v="16"/>
    <s v="Bloqué 5Go"/>
    <n v="390"/>
    <d v="1899-12-30T06:30:00"/>
    <n v="98.17"/>
    <x v="4"/>
  </r>
  <r>
    <s v="Clients_Churn_Part_02.xlsx"/>
    <s v="CLI-00521"/>
    <x v="6"/>
    <s v="ANT-0339"/>
    <s v="5G"/>
    <x v="0"/>
    <s v="En Cours"/>
    <n v="83"/>
    <s v="Premium 5G 150Go"/>
    <n v="284"/>
    <d v="1899-12-30T04:44:00"/>
    <n v="73.7"/>
    <x v="1"/>
  </r>
  <r>
    <s v="Clients_Churn_Part_02.xlsx"/>
    <s v="CLI-01768"/>
    <x v="3"/>
    <s v="ANT-0371"/>
    <s v="4G"/>
    <x v="2"/>
    <s v="Résolu"/>
    <n v="72"/>
    <s v="Pro Monde"/>
    <n v="333"/>
    <d v="1899-12-30T05:33:00"/>
    <n v="34.57"/>
    <x v="3"/>
  </r>
  <r>
    <s v="Clients_Churn_Part_02.xlsx"/>
    <s v="CLI-01208"/>
    <x v="8"/>
    <s v="ANT-0596"/>
    <s v="4G"/>
    <x v="2"/>
    <s v="Résolu"/>
    <n v="11"/>
    <s v="Bloqué 5Go"/>
    <n v="402"/>
    <d v="1899-12-30T06:42:00"/>
    <n v="69.599999999999994"/>
    <x v="4"/>
  </r>
  <r>
    <s v="Clients_Churn_Part_02.xlsx"/>
    <s v="CLI-00115"/>
    <x v="13"/>
    <s v="ANT-0011"/>
    <s v="4G"/>
    <x v="2"/>
    <s v="Résolu"/>
    <n v="25"/>
    <s v="Premium 5G 150Go"/>
    <n v="64"/>
    <d v="1899-12-30T01:04:00"/>
    <n v="38.950000000000003"/>
    <x v="4"/>
  </r>
  <r>
    <s v="Clients_Churn_Part_02.xlsx"/>
    <s v="CLI-01005"/>
    <x v="25"/>
    <s v="ANT-0573"/>
    <s v="4G"/>
    <x v="2"/>
    <s v="Résolu"/>
    <n v="80"/>
    <s v="Illimité 50Go"/>
    <n v="155"/>
    <d v="1899-12-30T02:35:00"/>
    <n v="28.96"/>
    <x v="3"/>
  </r>
  <r>
    <s v="Clients_Churn_Part_02.xlsx"/>
    <s v="CLI-01093"/>
    <x v="13"/>
    <s v="ANT-0011"/>
    <s v="4G"/>
    <x v="0"/>
    <s v="Résolu"/>
    <n v="70"/>
    <s v="Pro Monde"/>
    <n v="290"/>
    <d v="1899-12-30T04:50:00"/>
    <n v="96.31"/>
    <x v="2"/>
  </r>
  <r>
    <s v="Clients_Churn_Part_02.xlsx"/>
    <s v="CLI-00768"/>
    <x v="20"/>
    <s v="ANT-0096"/>
    <s v="3G"/>
    <x v="2"/>
    <s v="Résolu"/>
    <n v="74"/>
    <s v="Premium 5G 150Go"/>
    <n v="208"/>
    <d v="1899-12-30T03:28:00"/>
    <n v="39.56"/>
    <x v="1"/>
  </r>
  <r>
    <s v="Clients_Churn_Part_03.xlsx"/>
    <s v="CLI-01433"/>
    <x v="5"/>
    <s v="ANT-0284"/>
    <s v="4G"/>
    <x v="0"/>
    <s v="Résolu"/>
    <n v="87"/>
    <s v="Pro Monde"/>
    <n v="442"/>
    <d v="1899-12-30T07:22:00"/>
    <n v="22.39"/>
    <x v="0"/>
  </r>
  <r>
    <s v="Clients_Churn_Part_03.xlsx"/>
    <s v="CLI-00232"/>
    <x v="11"/>
    <s v="ANT-0534"/>
    <s v="5G"/>
    <x v="3"/>
    <s v="Résolu"/>
    <n v="69"/>
    <s v="Bloqué 5Go"/>
    <n v="306"/>
    <d v="1899-12-30T05:06:00"/>
    <n v="13.97"/>
    <x v="2"/>
  </r>
  <r>
    <s v="Clients_Churn_Part_03.xlsx"/>
    <s v="CLI-00649"/>
    <x v="15"/>
    <s v="ANT-0731"/>
    <s v="5G"/>
    <x v="3"/>
    <s v="Résolu"/>
    <n v="79"/>
    <s v="Illimité 50Go"/>
    <n v="403"/>
    <d v="1899-12-30T06:43:00"/>
    <n v="21.49"/>
    <x v="1"/>
  </r>
  <r>
    <s v="Clients_Churn_Part_03.xlsx"/>
    <s v="CLI-01118"/>
    <x v="15"/>
    <s v="ANT-0731"/>
    <s v="5G"/>
    <x v="1"/>
    <s v="En Cours"/>
    <n v="33"/>
    <s v="Illimité 50Go"/>
    <n v="337"/>
    <d v="1899-12-30T05:37:00"/>
    <n v="62.61"/>
    <x v="3"/>
  </r>
  <r>
    <s v="Clients_Churn_Part_03.xlsx"/>
    <s v="CLI-00868"/>
    <x v="6"/>
    <s v="ANT-0339"/>
    <s v="5G"/>
    <x v="1"/>
    <s v="En Cours"/>
    <n v="88"/>
    <s v="Illimité 50Go"/>
    <n v="319"/>
    <d v="1899-12-30T05:19:00"/>
    <n v="56.18"/>
    <x v="1"/>
  </r>
  <r>
    <s v="Clients_Churn_Part_03.xlsx"/>
    <s v="CLI-00973"/>
    <x v="4"/>
    <s v="ANT-0883"/>
    <s v="3G"/>
    <x v="0"/>
    <s v="Résolu"/>
    <n v="72"/>
    <s v="Premium 5G 150Go"/>
    <n v="5"/>
    <d v="1899-12-30T00:05:00"/>
    <n v="68.650000000000006"/>
    <x v="1"/>
  </r>
  <r>
    <s v="Clients_Churn_Part_03.xlsx"/>
    <s v="CLI-01399"/>
    <x v="17"/>
    <s v="ANT-0737"/>
    <s v="5G"/>
    <x v="1"/>
    <s v="En Cours"/>
    <n v="114"/>
    <s v="Premium 5G 150Go"/>
    <n v="232"/>
    <d v="1899-12-30T03:52:00"/>
    <n v="42.2"/>
    <x v="3"/>
  </r>
  <r>
    <s v="Clients_Churn_Part_03.xlsx"/>
    <s v="CLI-00505"/>
    <x v="19"/>
    <s v="ANT-0914"/>
    <s v="5G"/>
    <x v="3"/>
    <s v="Non Résolu"/>
    <n v="59"/>
    <s v="Bloqué 5Go"/>
    <n v="196"/>
    <d v="1899-12-30T03:16:00"/>
    <n v="62.53"/>
    <x v="1"/>
  </r>
  <r>
    <s v="Clients_Churn_Part_03.xlsx"/>
    <s v="CLI-01986"/>
    <x v="6"/>
    <s v="ANT-0339"/>
    <s v="5G"/>
    <x v="0"/>
    <s v="Résolu"/>
    <n v="1"/>
    <s v="Bloqué 5Go"/>
    <n v="237"/>
    <d v="1899-12-30T03:57:00"/>
    <n v="58.7"/>
    <x v="5"/>
  </r>
  <r>
    <s v="Clients_Churn_Part_03.xlsx"/>
    <s v="CLI-01802"/>
    <x v="11"/>
    <s v="ANT-0534"/>
    <s v="5G"/>
    <x v="3"/>
    <s v="En Cours"/>
    <n v="55"/>
    <s v="Bloqué 5Go"/>
    <n v="407"/>
    <d v="1899-12-30T06:47:00"/>
    <n v="23.11"/>
    <x v="1"/>
  </r>
  <r>
    <s v="Clients_Churn_Part_03.xlsx"/>
    <s v="CLI-01607"/>
    <x v="11"/>
    <s v="ANT-0534"/>
    <s v="5G"/>
    <x v="3"/>
    <s v="En Cours"/>
    <n v="83"/>
    <s v="Pro Monde"/>
    <n v="219"/>
    <d v="1899-12-30T03:39:00"/>
    <n v="52.26"/>
    <x v="2"/>
  </r>
  <r>
    <s v="Clients_Churn_Part_03.xlsx"/>
    <s v="CLI-00297"/>
    <x v="8"/>
    <s v="ANT-0596"/>
    <s v="4G"/>
    <x v="0"/>
    <s v="Résolu"/>
    <n v="87"/>
    <s v="Pro Monde"/>
    <n v="450"/>
    <d v="1899-12-30T07:30:00"/>
    <n v="64.3"/>
    <x v="3"/>
  </r>
  <r>
    <s v="Clients_Churn_Part_03.xlsx"/>
    <s v="CLI-00744"/>
    <x v="9"/>
    <s v="ANT-0902"/>
    <s v="3G"/>
    <x v="3"/>
    <s v="En Cours"/>
    <n v="84"/>
    <s v="Bloqué 5Go"/>
    <n v="317"/>
    <d v="1899-12-30T05:17:00"/>
    <n v="36.200000000000003"/>
    <x v="0"/>
  </r>
  <r>
    <s v="Clients_Churn_Part_03.xlsx"/>
    <s v="CLI-00974"/>
    <x v="18"/>
    <s v="ANT-0283"/>
    <s v="4G"/>
    <x v="1"/>
    <s v="En Cours"/>
    <n v="7"/>
    <s v="Premium 5G 150Go"/>
    <n v="317"/>
    <d v="1899-12-30T05:17:00"/>
    <n v="97.32"/>
    <x v="2"/>
  </r>
  <r>
    <s v="Clients_Churn_Part_03.xlsx"/>
    <s v="CLI-01466"/>
    <x v="9"/>
    <s v="ANT-0902"/>
    <s v="3G"/>
    <x v="1"/>
    <s v="En Cours"/>
    <n v="110"/>
    <s v="Premium 5G 150Go"/>
    <n v="51"/>
    <d v="1899-12-30T00:51:00"/>
    <n v="56.59"/>
    <x v="4"/>
  </r>
  <r>
    <s v="Clients_Churn_Part_03.xlsx"/>
    <s v="CLI-00754"/>
    <x v="2"/>
    <s v="ANT-0829"/>
    <s v="5G"/>
    <x v="3"/>
    <s v="Résolu"/>
    <n v="42"/>
    <s v="Illimité 50Go"/>
    <n v="173"/>
    <d v="1899-12-30T02:53:00"/>
    <n v="69.19"/>
    <x v="5"/>
  </r>
  <r>
    <s v="Clients_Churn_Part_03.xlsx"/>
    <s v="CLI-01683"/>
    <x v="24"/>
    <s v="ANT-0653"/>
    <s v="5G"/>
    <x v="3"/>
    <s v="Résolu"/>
    <n v="56"/>
    <s v="Bloqué 5Go"/>
    <n v="333"/>
    <d v="1899-12-30T05:33:00"/>
    <n v="23.01"/>
    <x v="3"/>
  </r>
  <r>
    <s v="Clients_Churn_Part_03.xlsx"/>
    <s v="CLI-00632"/>
    <x v="14"/>
    <s v="ANT-0770"/>
    <s v="4G"/>
    <x v="1"/>
    <s v="En Cours"/>
    <n v="109"/>
    <s v="Pro Monde"/>
    <n v="480"/>
    <d v="1899-12-30T08:00:00"/>
    <n v="31.36"/>
    <x v="1"/>
  </r>
  <r>
    <s v="Clients_Churn_Part_03.xlsx"/>
    <s v="CLI-00044"/>
    <x v="19"/>
    <s v="ANT-0245"/>
    <s v="3G"/>
    <x v="3"/>
    <s v="Résolu"/>
    <n v="53"/>
    <s v="Illimité 50Go"/>
    <n v="345"/>
    <d v="1899-12-30T05:45:00"/>
    <n v="83.73"/>
    <x v="1"/>
  </r>
  <r>
    <s v="Clients_Churn_Part_03.xlsx"/>
    <s v="CLI-01322"/>
    <x v="22"/>
    <s v="ANT-0719"/>
    <s v="5G"/>
    <x v="3"/>
    <s v="Résolu"/>
    <n v="36"/>
    <s v="Premium 5G 150Go"/>
    <n v="400"/>
    <d v="1899-12-30T06:40:00"/>
    <n v="60.35"/>
    <x v="2"/>
  </r>
  <r>
    <s v="Clients_Churn_Part_03.xlsx"/>
    <s v="CLI-01854"/>
    <x v="20"/>
    <s v="ANT-0096"/>
    <s v="3G"/>
    <x v="3"/>
    <s v="Résolu"/>
    <n v="16"/>
    <s v="Bloqué 5Go"/>
    <n v="13"/>
    <d v="1899-12-30T00:13:00"/>
    <n v="14.91"/>
    <x v="2"/>
  </r>
  <r>
    <s v="Clients_Churn_Part_03.xlsx"/>
    <s v="CLI-01241"/>
    <x v="6"/>
    <s v="ANT-0339"/>
    <s v="5G"/>
    <x v="3"/>
    <s v="Résolu"/>
    <n v="88"/>
    <s v="Premium 5G 150Go"/>
    <n v="232"/>
    <d v="1899-12-30T03:52:00"/>
    <n v="40.94"/>
    <x v="3"/>
  </r>
  <r>
    <s v="Clients_Churn_Part_03.xlsx"/>
    <s v="CLI-00072"/>
    <x v="7"/>
    <s v="ANT-0332"/>
    <s v="4G"/>
    <x v="1"/>
    <s v="Non Résolu"/>
    <n v="67"/>
    <s v="Illimité 50Go"/>
    <n v="264"/>
    <d v="1899-12-30T04:24:00"/>
    <n v="97.89"/>
    <x v="2"/>
  </r>
  <r>
    <s v="Clients_Churn_Part_03.xlsx"/>
    <s v="CLI-01724"/>
    <x v="16"/>
    <s v="ANT-0451"/>
    <s v="3G"/>
    <x v="3"/>
    <s v="Résolu"/>
    <n v="60"/>
    <s v="Bloqué 5Go"/>
    <n v="168"/>
    <d v="1899-12-30T02:48:00"/>
    <n v="67.650000000000006"/>
    <x v="2"/>
  </r>
  <r>
    <s v="Clients_Churn_Part_03.xlsx"/>
    <s v="CLI-01515"/>
    <x v="9"/>
    <s v="ANT-0902"/>
    <s v="3G"/>
    <x v="3"/>
    <s v="Résolu"/>
    <n v="64"/>
    <s v="Pro Monde"/>
    <n v="300"/>
    <d v="1899-12-30T05:00:00"/>
    <n v="28.11"/>
    <x v="3"/>
  </r>
  <r>
    <s v="Clients_Churn_Part_03.xlsx"/>
    <s v="CLI-01357"/>
    <x v="1"/>
    <s v="ANT-0287"/>
    <s v="5G"/>
    <x v="2"/>
    <s v="En Cours"/>
    <n v="47"/>
    <s v="Bloqué 5Go"/>
    <n v="98"/>
    <d v="1899-12-30T01:38:00"/>
    <n v="16.16"/>
    <x v="4"/>
  </r>
  <r>
    <s v="Clients_Churn_Part_03.xlsx"/>
    <s v="CLI-01637"/>
    <x v="3"/>
    <s v="ANT-0371"/>
    <s v="4G"/>
    <x v="2"/>
    <s v="En Cours"/>
    <n v="67"/>
    <s v="Pro Monde"/>
    <n v="55"/>
    <d v="1899-12-30T00:55:00"/>
    <n v="27.04"/>
    <x v="2"/>
  </r>
  <r>
    <s v="Clients_Churn_Part_03.xlsx"/>
    <s v="CLI-00112"/>
    <x v="22"/>
    <s v="ANT-0719"/>
    <s v="5G"/>
    <x v="2"/>
    <s v="En Cours"/>
    <n v="98"/>
    <s v="Bloqué 5Go"/>
    <n v="52"/>
    <d v="1899-12-30T00:52:00"/>
    <n v="52.82"/>
    <x v="3"/>
  </r>
  <r>
    <s v="Clients_Churn_Part_03.xlsx"/>
    <s v="CLI-01415"/>
    <x v="1"/>
    <s v="ANT-0287"/>
    <s v="5G"/>
    <x v="2"/>
    <s v="Résolu"/>
    <n v="6"/>
    <s v="Bloqué 5Go"/>
    <n v="6"/>
    <d v="1899-12-30T00:06:00"/>
    <n v="72.27"/>
    <x v="5"/>
  </r>
  <r>
    <s v="Clients_Churn_Part_03.xlsx"/>
    <s v="CLI-01616"/>
    <x v="1"/>
    <s v="ANT-0287"/>
    <s v="5G"/>
    <x v="0"/>
    <s v="Non Résolu"/>
    <n v="114"/>
    <s v="Bloqué 5Go"/>
    <n v="304"/>
    <d v="1899-12-30T05:04:00"/>
    <n v="52.07"/>
    <x v="2"/>
  </r>
  <r>
    <s v="Clients_Churn_Part_03.xlsx"/>
    <s v="CLI-01960"/>
    <x v="8"/>
    <s v="ANT-0596"/>
    <s v="4G"/>
    <x v="2"/>
    <s v="En Cours"/>
    <n v="93"/>
    <s v="Bloqué 5Go"/>
    <n v="365"/>
    <d v="1899-12-30T06:05:00"/>
    <n v="72.319999999999993"/>
    <x v="2"/>
  </r>
  <r>
    <s v="Clients_Churn_Part_03.xlsx"/>
    <s v="CLI-00491"/>
    <x v="22"/>
    <s v="ANT-0719"/>
    <s v="5G"/>
    <x v="0"/>
    <s v="Non Résolu"/>
    <n v="29"/>
    <s v="Pro Monde"/>
    <n v="34"/>
    <d v="1899-12-30T00:34:00"/>
    <n v="86.68"/>
    <x v="2"/>
  </r>
  <r>
    <s v="Clients_Churn_Part_03.xlsx"/>
    <s v="CLI-00519"/>
    <x v="7"/>
    <s v="ANT-0332"/>
    <s v="4G"/>
    <x v="2"/>
    <s v="En Cours"/>
    <n v="7"/>
    <s v="Premium 5G 150Go"/>
    <n v="303"/>
    <d v="1899-12-30T05:03:00"/>
    <n v="60.95"/>
    <x v="1"/>
  </r>
  <r>
    <s v="Clients_Churn_Part_03.xlsx"/>
    <s v="CLI-00788"/>
    <x v="22"/>
    <s v="ANT-0719"/>
    <s v="5G"/>
    <x v="0"/>
    <s v="Non Résolu"/>
    <n v="118"/>
    <s v="Illimité 50Go"/>
    <n v="430"/>
    <d v="1899-12-30T07:10:00"/>
    <n v="36.97"/>
    <x v="3"/>
  </r>
  <r>
    <s v="Clients_Churn_Part_03.xlsx"/>
    <s v="CLI-00634"/>
    <x v="13"/>
    <s v="ANT-0011"/>
    <s v="4G"/>
    <x v="2"/>
    <s v="Non Résolu"/>
    <n v="54"/>
    <s v="Bloqué 5Go"/>
    <n v="99"/>
    <d v="1899-12-30T01:39:00"/>
    <n v="39.58"/>
    <x v="1"/>
  </r>
  <r>
    <s v="Clients_Churn_Part_03.xlsx"/>
    <s v="CLI-01309"/>
    <x v="3"/>
    <s v="ANT-0371"/>
    <s v="4G"/>
    <x v="0"/>
    <s v="Non Résolu"/>
    <n v="69"/>
    <s v="Pro Monde"/>
    <n v="463"/>
    <d v="1899-12-30T07:43:00"/>
    <n v="19.440000000000001"/>
    <x v="1"/>
  </r>
  <r>
    <s v="Clients_Churn_Part_03.xlsx"/>
    <s v="CLI-01435"/>
    <x v="12"/>
    <s v="ANT-0708"/>
    <s v="3G"/>
    <x v="1"/>
    <s v="Non Résolu"/>
    <n v="58"/>
    <s v="Bloqué 5Go"/>
    <n v="293"/>
    <d v="1899-12-30T04:53:00"/>
    <n v="88.85"/>
    <x v="4"/>
  </r>
  <r>
    <s v="Clients_Churn_Part_03.xlsx"/>
    <s v="CLI-01888"/>
    <x v="13"/>
    <s v="ANT-0011"/>
    <s v="4G"/>
    <x v="0"/>
    <s v="En Cours"/>
    <n v="41"/>
    <s v="Premium 5G 150Go"/>
    <n v="64"/>
    <d v="1899-12-30T01:04:00"/>
    <n v="91.95"/>
    <x v="2"/>
  </r>
  <r>
    <s v="Clients_Churn_Part_03.xlsx"/>
    <s v="CLI-01850"/>
    <x v="19"/>
    <s v="ANT-0994"/>
    <s v="3G"/>
    <x v="1"/>
    <s v="Non Résolu"/>
    <n v="1"/>
    <s v="Pro Monde"/>
    <n v="326"/>
    <d v="1899-12-30T05:26:00"/>
    <n v="54.63"/>
    <x v="0"/>
  </r>
  <r>
    <s v="Clients_Churn_Part_03.xlsx"/>
    <s v="CLI-01664"/>
    <x v="22"/>
    <s v="ANT-0719"/>
    <s v="5G"/>
    <x v="0"/>
    <s v="En Cours"/>
    <n v="51"/>
    <s v="Bloqué 5Go"/>
    <n v="260"/>
    <d v="1899-12-30T04:20:00"/>
    <n v="92.8"/>
    <x v="4"/>
  </r>
  <r>
    <s v="Clients_Churn_Part_03.xlsx"/>
    <s v="CLI-01404"/>
    <x v="15"/>
    <s v="ANT-0997"/>
    <s v="4G"/>
    <x v="1"/>
    <s v="En Cours"/>
    <n v="25"/>
    <s v="Bloqué 5Go"/>
    <n v="131"/>
    <d v="1899-12-30T02:11:00"/>
    <n v="67.489999999999995"/>
    <x v="1"/>
  </r>
  <r>
    <s v="Clients_Churn_Part_03.xlsx"/>
    <s v="CLI-00250"/>
    <x v="20"/>
    <s v="ANT-0096"/>
    <s v="3G"/>
    <x v="1"/>
    <s v="En Cours"/>
    <n v="43"/>
    <s v="Bloqué 5Go"/>
    <n v="181"/>
    <d v="1899-12-30T03:01:00"/>
    <n v="72.39"/>
    <x v="3"/>
  </r>
  <r>
    <s v="Clients_Churn_Part_03.xlsx"/>
    <s v="CLI-01096"/>
    <x v="3"/>
    <s v="ANT-0371"/>
    <s v="4G"/>
    <x v="1"/>
    <s v="En Cours"/>
    <n v="11"/>
    <s v="Bloqué 5Go"/>
    <n v="215"/>
    <d v="1899-12-30T03:35:00"/>
    <n v="51.99"/>
    <x v="2"/>
  </r>
  <r>
    <s v="Clients_Churn_Part_03.xlsx"/>
    <s v="CLI-01967"/>
    <x v="5"/>
    <s v="ANT-0569"/>
    <s v="5G"/>
    <x v="2"/>
    <s v="Non Résolu"/>
    <n v="113"/>
    <s v="Premium 5G 150Go"/>
    <n v="246"/>
    <d v="1899-12-30T04:06:00"/>
    <n v="29.18"/>
    <x v="3"/>
  </r>
  <r>
    <s v="Clients_Churn_Part_03.xlsx"/>
    <s v="CLI-00485"/>
    <x v="19"/>
    <s v="ANT-0994"/>
    <s v="3G"/>
    <x v="0"/>
    <s v="Non Résolu"/>
    <n v="74"/>
    <s v="Pro Monde"/>
    <n v="371"/>
    <d v="1899-12-30T06:11:00"/>
    <n v="53.27"/>
    <x v="0"/>
  </r>
  <r>
    <s v="Clients_Churn_Part_03.xlsx"/>
    <s v="CLI-01757"/>
    <x v="9"/>
    <s v="ANT-0488"/>
    <s v="4G"/>
    <x v="1"/>
    <s v="Résolu"/>
    <n v="104"/>
    <s v="Pro Monde"/>
    <n v="317"/>
    <d v="1899-12-30T05:17:00"/>
    <n v="79.150000000000006"/>
    <x v="2"/>
  </r>
  <r>
    <s v="Clients_Churn_Part_03.xlsx"/>
    <s v="CLI-00907"/>
    <x v="1"/>
    <s v="ANT-0417"/>
    <s v="5G"/>
    <x v="2"/>
    <s v="Non Résolu"/>
    <n v="4"/>
    <s v="Bloqué 5Go"/>
    <n v="227"/>
    <d v="1899-12-30T03:47:00"/>
    <n v="83.32"/>
    <x v="3"/>
  </r>
  <r>
    <s v="Clients_Churn_Part_03.xlsx"/>
    <s v="CLI-00796"/>
    <x v="18"/>
    <s v="ANT-0353"/>
    <s v="5G"/>
    <x v="2"/>
    <s v="Non Résolu"/>
    <n v="95"/>
    <s v="Pro Monde"/>
    <n v="95"/>
    <d v="1899-12-30T01:35:00"/>
    <n v="82.65"/>
    <x v="3"/>
  </r>
  <r>
    <s v="Clients_Churn_Part_03.xlsx"/>
    <s v="CLI-00017"/>
    <x v="11"/>
    <s v="ANT-0738"/>
    <s v="4G"/>
    <x v="1"/>
    <s v="Résolu"/>
    <n v="29"/>
    <s v="Illimité 50Go"/>
    <n v="124"/>
    <d v="1899-12-30T02:04:00"/>
    <n v="43.83"/>
    <x v="4"/>
  </r>
  <r>
    <s v="Clients_Churn_Part_04.xlsx"/>
    <s v="CLI-00805"/>
    <x v="8"/>
    <s v="ANT-0596"/>
    <s v="4G"/>
    <x v="2"/>
    <s v="Non Résolu"/>
    <n v="97"/>
    <s v="Bloqué 5Go"/>
    <n v="484"/>
    <d v="1899-12-30T08:04:00"/>
    <n v="61.98"/>
    <x v="2"/>
  </r>
  <r>
    <s v="Clients_Churn_Part_04.xlsx"/>
    <s v="CLI-00524"/>
    <x v="0"/>
    <s v="ANT-0821"/>
    <s v="5G"/>
    <x v="2"/>
    <s v="Non Résolu"/>
    <n v="113"/>
    <s v="Premium 5G 150Go"/>
    <n v="207"/>
    <d v="1899-12-30T03:27:00"/>
    <n v="21.55"/>
    <x v="1"/>
  </r>
  <r>
    <s v="Clients_Churn_Part_04.xlsx"/>
    <s v="CLI-00617"/>
    <x v="11"/>
    <s v="ANT-0209"/>
    <s v="5G"/>
    <x v="2"/>
    <s v="Non Résolu"/>
    <n v="83"/>
    <s v="Pro Monde"/>
    <n v="420"/>
    <d v="1899-12-30T07:00:00"/>
    <n v="94.9"/>
    <x v="2"/>
  </r>
  <r>
    <s v="Clients_Churn_Part_04.xlsx"/>
    <s v="CLI-01933"/>
    <x v="12"/>
    <s v="ANT-0708"/>
    <s v="3G"/>
    <x v="3"/>
    <s v="Résolu"/>
    <n v="97"/>
    <s v="Premium 5G 150Go"/>
    <n v="296"/>
    <d v="1899-12-30T04:56:00"/>
    <n v="10.87"/>
    <x v="5"/>
  </r>
  <r>
    <s v="Clients_Churn_Part_04.xlsx"/>
    <s v="CLI-01685"/>
    <x v="14"/>
    <s v="ANT-0458"/>
    <s v="3G"/>
    <x v="3"/>
    <s v="Résolu"/>
    <n v="66"/>
    <s v="Illimité 50Go"/>
    <n v="387"/>
    <d v="1899-12-30T06:27:00"/>
    <n v="82.94"/>
    <x v="0"/>
  </r>
  <r>
    <s v="Clients_Churn_Part_04.xlsx"/>
    <s v="CLI-01550"/>
    <x v="13"/>
    <s v="ANT-0002"/>
    <s v="4G"/>
    <x v="3"/>
    <s v="En Cours"/>
    <n v="48"/>
    <s v="Bloqué 5Go"/>
    <n v="335"/>
    <d v="1899-12-30T05:35:00"/>
    <n v="85.09"/>
    <x v="0"/>
  </r>
  <r>
    <s v="Clients_Churn_Part_04.xlsx"/>
    <s v="CLI-00483"/>
    <x v="13"/>
    <s v="ANT-0002"/>
    <s v="4G"/>
    <x v="3"/>
    <s v="En Cours"/>
    <n v="64"/>
    <s v="Pro Monde"/>
    <n v="6"/>
    <d v="1899-12-30T00:06:00"/>
    <n v="40.58"/>
    <x v="4"/>
  </r>
  <r>
    <s v="Clients_Churn_Part_04.xlsx"/>
    <s v="CLI-00610"/>
    <x v="5"/>
    <s v="ANT-0624"/>
    <s v="3G"/>
    <x v="3"/>
    <s v="En Cours"/>
    <n v="67"/>
    <s v="Premium 5G 150Go"/>
    <n v="241"/>
    <d v="1899-12-30T04:01:00"/>
    <n v="47.72"/>
    <x v="1"/>
  </r>
  <r>
    <s v="Clients_Churn_Part_04.xlsx"/>
    <s v="CLI-00431"/>
    <x v="9"/>
    <s v="ANT-0488"/>
    <s v="4G"/>
    <x v="3"/>
    <s v="En Cours"/>
    <n v="60"/>
    <s v="Pro Monde"/>
    <n v="334"/>
    <d v="1899-12-30T05:34:00"/>
    <n v="71.72"/>
    <x v="0"/>
  </r>
  <r>
    <s v="Clients_Churn_Part_04.xlsx"/>
    <s v="CLI-01973"/>
    <x v="9"/>
    <s v="ANT-0527"/>
    <s v="4G"/>
    <x v="1"/>
    <s v="Non Résolu"/>
    <n v="23"/>
    <s v="Pro Monde"/>
    <n v="262"/>
    <d v="1899-12-30T04:22:00"/>
    <n v="46.3"/>
    <x v="2"/>
  </r>
  <r>
    <s v="Clients_Churn_Part_04.xlsx"/>
    <s v="CLI-01824"/>
    <x v="16"/>
    <s v="ANT-0950"/>
    <s v="5G"/>
    <x v="0"/>
    <s v="En Cours"/>
    <n v="42"/>
    <s v="Pro Monde"/>
    <n v="389"/>
    <d v="1899-12-30T06:29:00"/>
    <n v="80.08"/>
    <x v="2"/>
  </r>
  <r>
    <s v="Clients_Churn_Part_04.xlsx"/>
    <s v="CLI-00329"/>
    <x v="24"/>
    <s v="ANT-0812"/>
    <s v="5G"/>
    <x v="0"/>
    <s v="En Cours"/>
    <n v="92"/>
    <s v="Pro Monde"/>
    <n v="487"/>
    <d v="1899-12-30T08:07:00"/>
    <n v="58.38"/>
    <x v="2"/>
  </r>
  <r>
    <s v="Clients_Churn_Part_04.xlsx"/>
    <s v="CLI-00899"/>
    <x v="11"/>
    <s v="ANT-0209"/>
    <s v="5G"/>
    <x v="0"/>
    <s v="En Cours"/>
    <n v="48"/>
    <s v="Pro Monde"/>
    <n v="76"/>
    <d v="1899-12-30T01:16:00"/>
    <n v="39.35"/>
    <x v="3"/>
  </r>
  <r>
    <s v="Clients_Churn_Part_04.xlsx"/>
    <s v="CLI-01294"/>
    <x v="4"/>
    <s v="ANT-0415"/>
    <s v="4G"/>
    <x v="1"/>
    <s v="En Cours"/>
    <n v="68"/>
    <s v="Premium 5G 150Go"/>
    <n v="443"/>
    <d v="1899-12-30T07:23:00"/>
    <n v="12.09"/>
    <x v="0"/>
  </r>
  <r>
    <s v="Clients_Churn_Part_04.xlsx"/>
    <s v="CLI-00650"/>
    <x v="21"/>
    <s v="ANT-0302"/>
    <s v="4G"/>
    <x v="1"/>
    <s v="En Cours"/>
    <n v="89"/>
    <s v="Pro Monde"/>
    <n v="203"/>
    <d v="1899-12-30T03:23:00"/>
    <n v="80.680000000000007"/>
    <x v="4"/>
  </r>
  <r>
    <s v="Clients_Churn_Part_04.xlsx"/>
    <s v="CLI-01891"/>
    <x v="8"/>
    <s v="ANT-0596"/>
    <s v="4G"/>
    <x v="1"/>
    <s v="En Cours"/>
    <n v="62"/>
    <s v="Premium 5G 150Go"/>
    <n v="116"/>
    <d v="1899-12-30T01:56:00"/>
    <n v="92.99"/>
    <x v="4"/>
  </r>
  <r>
    <s v="Clients_Churn_Part_04.xlsx"/>
    <s v="CLI-01860"/>
    <x v="0"/>
    <s v="ANT-0821"/>
    <s v="5G"/>
    <x v="1"/>
    <s v="En Cours"/>
    <n v="92"/>
    <s v="Premium 5G 150Go"/>
    <n v="116"/>
    <d v="1899-12-30T01:56:00"/>
    <n v="23.83"/>
    <x v="0"/>
  </r>
  <r>
    <s v="Clients_Churn_Part_04.xlsx"/>
    <s v="CLI-01571"/>
    <x v="2"/>
    <s v="ANT-0829"/>
    <s v="5G"/>
    <x v="1"/>
    <s v="En Cours"/>
    <n v="64"/>
    <s v="Pro Monde"/>
    <n v="370"/>
    <d v="1899-12-30T06:10:00"/>
    <n v="95.74"/>
    <x v="2"/>
  </r>
  <r>
    <s v="Clients_Churn_Part_04.xlsx"/>
    <s v="CLI-01982"/>
    <x v="15"/>
    <s v="ANT-0997"/>
    <s v="4G"/>
    <x v="1"/>
    <s v="En Cours"/>
    <n v="61"/>
    <s v="Bloqué 5Go"/>
    <n v="383"/>
    <d v="1899-12-30T06:23:00"/>
    <n v="39.72"/>
    <x v="5"/>
  </r>
  <r>
    <s v="Clients_Churn_Part_04.xlsx"/>
    <s v="CLI-00833"/>
    <x v="17"/>
    <s v="ANT-0093"/>
    <s v="4G"/>
    <x v="3"/>
    <s v="Non Résolu"/>
    <n v="35"/>
    <s v="Illimité 50Go"/>
    <n v="107"/>
    <d v="1899-12-30T01:47:00"/>
    <n v="66.69"/>
    <x v="5"/>
  </r>
  <r>
    <s v="Clients_Churn_Part_04.xlsx"/>
    <s v="CLI-01617"/>
    <x v="25"/>
    <s v="ANT-0845"/>
    <s v="3G"/>
    <x v="2"/>
    <s v="Non Résolu"/>
    <n v="75"/>
    <s v="Pro Monde"/>
    <n v="242"/>
    <d v="1899-12-30T04:02:00"/>
    <n v="64.27"/>
    <x v="3"/>
  </r>
  <r>
    <s v="Clients_Churn_Part_04.xlsx"/>
    <s v="CLI-00070"/>
    <x v="8"/>
    <s v="ANT-0596"/>
    <s v="4G"/>
    <x v="3"/>
    <s v="Non Résolu"/>
    <n v="52"/>
    <s v="Illimité 50Go"/>
    <n v="119"/>
    <d v="1899-12-30T01:59:00"/>
    <n v="64.709999999999994"/>
    <x v="5"/>
  </r>
  <r>
    <s v="Clients_Churn_Part_04.xlsx"/>
    <s v="CLI-00562"/>
    <x v="22"/>
    <s v="ANT-0662"/>
    <s v="4G"/>
    <x v="3"/>
    <s v="Non Résolu"/>
    <n v="82"/>
    <s v="Premium 5G 150Go"/>
    <n v="264"/>
    <d v="1899-12-30T04:24:00"/>
    <n v="88.03"/>
    <x v="2"/>
  </r>
  <r>
    <s v="Clients_Churn_Part_04.xlsx"/>
    <s v="CLI-01775"/>
    <x v="9"/>
    <s v="ANT-0527"/>
    <s v="4G"/>
    <x v="3"/>
    <s v="Non Résolu"/>
    <n v="118"/>
    <s v="Bloqué 5Go"/>
    <n v="300"/>
    <d v="1899-12-30T05:00:00"/>
    <n v="98.22"/>
    <x v="5"/>
  </r>
  <r>
    <s v="Clients_Churn_Part_04.xlsx"/>
    <s v="CLI-00165"/>
    <x v="16"/>
    <s v="ANT-0950"/>
    <s v="5G"/>
    <x v="3"/>
    <s v="Non Résolu"/>
    <n v="102"/>
    <s v="Premium 5G 150Go"/>
    <n v="402"/>
    <d v="1899-12-30T06:42:00"/>
    <n v="28.38"/>
    <x v="4"/>
  </r>
  <r>
    <s v="Clients_Churn_Part_04.xlsx"/>
    <s v="CLI-01686"/>
    <x v="10"/>
    <s v="ANT-0995"/>
    <s v="3G"/>
    <x v="3"/>
    <s v="Non Résolu"/>
    <n v="75"/>
    <s v="Bloqué 5Go"/>
    <n v="282"/>
    <d v="1899-12-30T04:42:00"/>
    <n v="45.16"/>
    <x v="4"/>
  </r>
  <r>
    <s v="Clients_Churn_Part_04.xlsx"/>
    <s v="CLI-01597"/>
    <x v="5"/>
    <s v="ANT-0624"/>
    <s v="3G"/>
    <x v="3"/>
    <s v="Non Résolu"/>
    <n v="84"/>
    <s v="Premium 5G 150Go"/>
    <n v="387"/>
    <d v="1899-12-30T06:27:00"/>
    <n v="58.1"/>
    <x v="0"/>
  </r>
  <r>
    <s v="Clients_Churn_Part_04.xlsx"/>
    <s v="CLI-01007"/>
    <x v="13"/>
    <s v="ANT-0002"/>
    <s v="4G"/>
    <x v="2"/>
    <s v="Résolu"/>
    <n v="5"/>
    <s v="Bloqué 5Go"/>
    <n v="239"/>
    <d v="1899-12-30T03:59:00"/>
    <n v="26.95"/>
    <x v="3"/>
  </r>
  <r>
    <s v="Clients_Churn_Part_04.xlsx"/>
    <s v="CLI-00965"/>
    <x v="21"/>
    <s v="ANT-0531"/>
    <s v="4G"/>
    <x v="2"/>
    <s v="Résolu"/>
    <n v="27"/>
    <s v="Premium 5G 150Go"/>
    <n v="369"/>
    <d v="1899-12-30T06:09:00"/>
    <n v="19.78"/>
    <x v="2"/>
  </r>
  <r>
    <s v="Clients_Churn_Part_04.xlsx"/>
    <s v="CLI-01923"/>
    <x v="15"/>
    <s v="ANT-0997"/>
    <s v="4G"/>
    <x v="2"/>
    <s v="Résolu"/>
    <n v="29"/>
    <s v="Illimité 50Go"/>
    <n v="416"/>
    <d v="1899-12-30T06:56:00"/>
    <n v="61.26"/>
    <x v="1"/>
  </r>
  <r>
    <s v="Clients_Churn_Part_04.xlsx"/>
    <s v="CLI-00846"/>
    <x v="17"/>
    <s v="ANT-0093"/>
    <s v="4G"/>
    <x v="2"/>
    <s v="Résolu"/>
    <n v="115"/>
    <s v="Bloqué 5Go"/>
    <n v="236"/>
    <d v="1899-12-30T03:56:00"/>
    <n v="50.64"/>
    <x v="2"/>
  </r>
  <r>
    <s v="Clients_Churn_Part_04.xlsx"/>
    <s v="CLI-01723"/>
    <x v="2"/>
    <s v="ANT-0829"/>
    <s v="5G"/>
    <x v="2"/>
    <s v="Résolu"/>
    <n v="26"/>
    <s v="Bloqué 5Go"/>
    <n v="174"/>
    <d v="1899-12-30T02:54:00"/>
    <n v="90.53"/>
    <x v="0"/>
  </r>
  <r>
    <s v="Clients_Churn_Part_04.xlsx"/>
    <s v="CLI-00682"/>
    <x v="5"/>
    <s v="ANT-0624"/>
    <s v="3G"/>
    <x v="3"/>
    <s v="Non Résolu"/>
    <n v="58"/>
    <s v="Bloqué 5Go"/>
    <n v="405"/>
    <d v="1899-12-30T06:45:00"/>
    <n v="18.39"/>
    <x v="1"/>
  </r>
  <r>
    <s v="Clients_Churn_Part_04.xlsx"/>
    <s v="CLI-01470"/>
    <x v="19"/>
    <s v="ANT-0994"/>
    <s v="3G"/>
    <x v="3"/>
    <s v="Non Résolu"/>
    <n v="111"/>
    <s v="Premium 5G 150Go"/>
    <n v="43"/>
    <d v="1899-12-30T00:43:00"/>
    <n v="19.39"/>
    <x v="0"/>
  </r>
  <r>
    <s v="Clients_Churn_Part_04.xlsx"/>
    <s v="CLI-00866"/>
    <x v="13"/>
    <s v="ANT-0002"/>
    <s v="4G"/>
    <x v="2"/>
    <s v="Non Résolu"/>
    <n v="31"/>
    <s v="Bloqué 5Go"/>
    <n v="160"/>
    <d v="1899-12-30T02:40:00"/>
    <n v="59.76"/>
    <x v="5"/>
  </r>
  <r>
    <s v="Clients_Churn_Part_04.xlsx"/>
    <s v="CLI-01796"/>
    <x v="20"/>
    <s v="ANT-0180"/>
    <s v="5G"/>
    <x v="2"/>
    <s v="Non Résolu"/>
    <n v="51"/>
    <s v="Illimité 50Go"/>
    <n v="433"/>
    <d v="1899-12-30T07:13:00"/>
    <n v="12.89"/>
    <x v="2"/>
  </r>
  <r>
    <s v="Clients_Churn_Part_04.xlsx"/>
    <s v="CLI-01680"/>
    <x v="22"/>
    <s v="ANT-0662"/>
    <s v="4G"/>
    <x v="1"/>
    <s v="Résolu"/>
    <n v="28"/>
    <s v="Premium 5G 150Go"/>
    <n v="96"/>
    <d v="1899-12-30T01:36:00"/>
    <n v="72.010000000000005"/>
    <x v="5"/>
  </r>
  <r>
    <s v="Clients_Churn_Part_04.xlsx"/>
    <s v="CLI-00206"/>
    <x v="6"/>
    <s v="ANT-0775"/>
    <s v="3G"/>
    <x v="0"/>
    <s v="Résolu"/>
    <n v="40"/>
    <s v="Illimité 50Go"/>
    <n v="219"/>
    <d v="1899-12-30T03:39:00"/>
    <n v="53.98"/>
    <x v="3"/>
  </r>
  <r>
    <s v="Clients_Churn_Part_04.xlsx"/>
    <s v="CLI-01689"/>
    <x v="9"/>
    <s v="ANT-0527"/>
    <s v="4G"/>
    <x v="1"/>
    <s v="Résolu"/>
    <n v="55"/>
    <s v="Premium 5G 150Go"/>
    <n v="394"/>
    <d v="1899-12-30T06:34:00"/>
    <n v="26.8"/>
    <x v="5"/>
  </r>
  <r>
    <s v="Clients_Churn_Part_04.xlsx"/>
    <s v="CLI-01839"/>
    <x v="3"/>
    <s v="ANT-0371"/>
    <s v="4G"/>
    <x v="1"/>
    <s v="Résolu"/>
    <n v="114"/>
    <s v="Premium 5G 150Go"/>
    <n v="482"/>
    <d v="1899-12-30T08:02:00"/>
    <n v="16.25"/>
    <x v="0"/>
  </r>
  <r>
    <s v="Clients_Churn_Part_04.xlsx"/>
    <s v="CLI-01431"/>
    <x v="12"/>
    <s v="ANT-0991"/>
    <s v="5G"/>
    <x v="2"/>
    <s v="Non Résolu"/>
    <n v="49"/>
    <s v="Premium 5G 150Go"/>
    <n v="357"/>
    <d v="1899-12-30T05:57:00"/>
    <n v="96.67"/>
    <x v="0"/>
  </r>
  <r>
    <s v="Clients_Churn_Part_04.xlsx"/>
    <s v="CLI-00535"/>
    <x v="5"/>
    <s v="ANT-0624"/>
    <s v="3G"/>
    <x v="3"/>
    <s v="En Cours"/>
    <n v="74"/>
    <s v="Premium 5G 150Go"/>
    <n v="213"/>
    <d v="1899-12-30T03:33:00"/>
    <n v="35.54"/>
    <x v="0"/>
  </r>
  <r>
    <s v="Clients_Churn_Part_04.xlsx"/>
    <s v="CLI-01037"/>
    <x v="6"/>
    <s v="ANT-0775"/>
    <s v="3G"/>
    <x v="3"/>
    <s v="Non Résolu"/>
    <n v="21"/>
    <s v="Illimité 50Go"/>
    <n v="107"/>
    <d v="1899-12-30T01:47:00"/>
    <n v="30.97"/>
    <x v="5"/>
  </r>
  <r>
    <s v="Clients_Churn_Part_04.xlsx"/>
    <s v="CLI-00136"/>
    <x v="5"/>
    <s v="ANT-0624"/>
    <s v="3G"/>
    <x v="3"/>
    <s v="Non Résolu"/>
    <n v="120"/>
    <s v="Illimité 50Go"/>
    <n v="224"/>
    <d v="1899-12-30T03:44:00"/>
    <n v="69.36"/>
    <x v="1"/>
  </r>
  <r>
    <s v="Clients_Churn_Part_04.xlsx"/>
    <s v="CLI-00721"/>
    <x v="1"/>
    <s v="ANT-0600"/>
    <s v="3G"/>
    <x v="1"/>
    <s v="En Cours"/>
    <n v="108"/>
    <s v="Premium 5G 150Go"/>
    <n v="230"/>
    <d v="1899-12-30T03:50:00"/>
    <n v="16.3"/>
    <x v="4"/>
  </r>
  <r>
    <s v="Clients_Churn_Part_04.xlsx"/>
    <s v="CLI-00862"/>
    <x v="8"/>
    <s v="ANT-0786"/>
    <s v="3G"/>
    <x v="1"/>
    <s v="En Cours"/>
    <n v="48"/>
    <s v="Bloqué 5Go"/>
    <n v="436"/>
    <d v="1899-12-30T07:16:00"/>
    <n v="15.17"/>
    <x v="1"/>
  </r>
  <r>
    <s v="Clients_Churn_Part_04.xlsx"/>
    <s v="CLI-01234"/>
    <x v="12"/>
    <s v="ANT-0991"/>
    <s v="5G"/>
    <x v="2"/>
    <s v="Non Résolu"/>
    <n v="33"/>
    <s v="Premium 5G 150Go"/>
    <n v="285"/>
    <d v="1899-12-30T04:45:00"/>
    <n v="56.67"/>
    <x v="3"/>
  </r>
  <r>
    <s v="Clients_Churn_Part_04.xlsx"/>
    <s v="CLI-01494"/>
    <x v="7"/>
    <s v="ANT-0295"/>
    <s v="5G"/>
    <x v="2"/>
    <s v="Non Résolu"/>
    <n v="71"/>
    <s v="Premium 5G 150Go"/>
    <n v="15"/>
    <d v="1899-12-30T00:15:00"/>
    <n v="25.46"/>
    <x v="4"/>
  </r>
  <r>
    <s v="Clients_Churn_Part_04.xlsx"/>
    <s v="CLI-01666"/>
    <x v="20"/>
    <s v="ANT-0180"/>
    <s v="5G"/>
    <x v="2"/>
    <s v="Non Résolu"/>
    <n v="11"/>
    <s v="Premium 5G 150Go"/>
    <n v="191"/>
    <d v="1899-12-30T03:11:00"/>
    <n v="87.37"/>
    <x v="0"/>
  </r>
  <r>
    <s v="Clients_Churn_Part_04.xlsx"/>
    <s v="CLI-01122"/>
    <x v="24"/>
    <s v="ANT-0563"/>
    <s v="3G"/>
    <x v="2"/>
    <s v="En Cours"/>
    <n v="18"/>
    <s v="Pro Monde"/>
    <n v="71"/>
    <d v="1899-12-30T01:11:00"/>
    <n v="46.98"/>
    <x v="3"/>
  </r>
  <r>
    <s v="Clients_Churn_Part_05.xlsx"/>
    <s v="CLI-01511"/>
    <x v="10"/>
    <s v="ANT-0995"/>
    <s v="3G"/>
    <x v="2"/>
    <s v="En Cours"/>
    <n v="27"/>
    <s v="Premium 5G 150Go"/>
    <n v="61"/>
    <d v="1899-12-30T01:01:00"/>
    <n v="97.51"/>
    <x v="4"/>
  </r>
  <r>
    <s v="Clients_Churn_Part_05.xlsx"/>
    <s v="CLI-00670"/>
    <x v="24"/>
    <s v="ANT-0563"/>
    <s v="3G"/>
    <x v="2"/>
    <s v="En Cours"/>
    <n v="65"/>
    <s v="Bloqué 5Go"/>
    <n v="118"/>
    <d v="1899-12-30T01:58:00"/>
    <n v="72.430000000000007"/>
    <x v="2"/>
  </r>
  <r>
    <s v="Clients_Churn_Part_05.xlsx"/>
    <s v="CLI-00929"/>
    <x v="8"/>
    <s v="ANT-0786"/>
    <s v="3G"/>
    <x v="2"/>
    <s v="En Cours"/>
    <n v="6"/>
    <s v="Pro Monde"/>
    <n v="109"/>
    <d v="1899-12-30T01:49:00"/>
    <n v="39.880000000000003"/>
    <x v="5"/>
  </r>
  <r>
    <s v="Clients_Churn_Part_05.xlsx"/>
    <s v="CLI-01424"/>
    <x v="5"/>
    <s v="ANT-0624"/>
    <s v="3G"/>
    <x v="2"/>
    <s v="En Cours"/>
    <n v="60"/>
    <s v="Illimité 50Go"/>
    <n v="54"/>
    <d v="1899-12-30T00:54:00"/>
    <n v="67.180000000000007"/>
    <x v="0"/>
  </r>
  <r>
    <s v="Clients_Churn_Part_05.xlsx"/>
    <s v="CLI-00057"/>
    <x v="7"/>
    <s v="ANT-0295"/>
    <s v="5G"/>
    <x v="2"/>
    <s v="Résolu"/>
    <n v="4"/>
    <s v="Bloqué 5Go"/>
    <n v="182"/>
    <d v="1899-12-30T03:02:00"/>
    <n v="89.56"/>
    <x v="5"/>
  </r>
  <r>
    <s v="Clients_Churn_Part_05.xlsx"/>
    <s v="CLI-01561"/>
    <x v="0"/>
    <s v="ANT-0821"/>
    <s v="5G"/>
    <x v="2"/>
    <s v="Résolu"/>
    <n v="10"/>
    <s v="Bloqué 5Go"/>
    <n v="165"/>
    <d v="1899-12-30T02:45:00"/>
    <n v="38.619999999999997"/>
    <x v="3"/>
  </r>
  <r>
    <s v="Clients_Churn_Part_05.xlsx"/>
    <s v="CLI-00107"/>
    <x v="15"/>
    <s v="ANT-0997"/>
    <s v="4G"/>
    <x v="2"/>
    <s v="Résolu"/>
    <n v="82"/>
    <s v="Premium 5G 150Go"/>
    <n v="88"/>
    <d v="1899-12-30T01:28:00"/>
    <n v="86.64"/>
    <x v="2"/>
  </r>
  <r>
    <s v="Clients_Churn_Part_05.xlsx"/>
    <s v="CLI-01314"/>
    <x v="7"/>
    <s v="ANT-0295"/>
    <s v="5G"/>
    <x v="2"/>
    <s v="Résolu"/>
    <n v="89"/>
    <s v="Illimité 50Go"/>
    <n v="7"/>
    <d v="1899-12-30T00:07:00"/>
    <n v="53.39"/>
    <x v="0"/>
  </r>
  <r>
    <s v="Clients_Churn_Part_05.xlsx"/>
    <s v="CLI-01793"/>
    <x v="8"/>
    <s v="ANT-0786"/>
    <s v="3G"/>
    <x v="3"/>
    <s v="Non Résolu"/>
    <n v="87"/>
    <s v="Pro Monde"/>
    <n v="205"/>
    <d v="1899-12-30T03:25:00"/>
    <n v="40.159999999999997"/>
    <x v="4"/>
  </r>
  <r>
    <s v="Clients_Churn_Part_05.xlsx"/>
    <s v="CLI-00377"/>
    <x v="3"/>
    <s v="ANT-0035"/>
    <s v="4G"/>
    <x v="2"/>
    <s v="Résolu"/>
    <n v="96"/>
    <s v="Premium 5G 150Go"/>
    <n v="334"/>
    <d v="1899-12-30T05:34:00"/>
    <n v="64.77"/>
    <x v="1"/>
  </r>
  <r>
    <s v="Clients_Churn_Part_05.xlsx"/>
    <s v="CLI-01291"/>
    <x v="0"/>
    <s v="ANT-0821"/>
    <s v="5G"/>
    <x v="0"/>
    <s v="Résolu"/>
    <n v="60"/>
    <s v="Illimité 50Go"/>
    <n v="161"/>
    <d v="1899-12-30T02:41:00"/>
    <n v="62.65"/>
    <x v="1"/>
  </r>
  <r>
    <s v="Clients_Churn_Part_05.xlsx"/>
    <s v="CLI-00909"/>
    <x v="23"/>
    <s v="ANT-0503"/>
    <s v="3G"/>
    <x v="3"/>
    <s v="Non Résolu"/>
    <n v="49"/>
    <s v="Illimité 50Go"/>
    <n v="6"/>
    <d v="1899-12-30T00:06:00"/>
    <n v="44.41"/>
    <x v="0"/>
  </r>
  <r>
    <s v="Clients_Churn_Part_05.xlsx"/>
    <s v="CLI-01621"/>
    <x v="24"/>
    <s v="ANT-0553"/>
    <s v="4G"/>
    <x v="2"/>
    <s v="En Cours"/>
    <n v="44"/>
    <s v="Bloqué 5Go"/>
    <n v="199"/>
    <d v="1899-12-30T03:19:00"/>
    <n v="67.650000000000006"/>
    <x v="1"/>
  </r>
  <r>
    <s v="Clients_Churn_Part_05.xlsx"/>
    <s v="CLI-01313"/>
    <x v="1"/>
    <s v="ANT-0600"/>
    <s v="3G"/>
    <x v="1"/>
    <s v="En Cours"/>
    <n v="96"/>
    <s v="Illimité 50Go"/>
    <n v="108"/>
    <d v="1899-12-30T01:48:00"/>
    <n v="30.92"/>
    <x v="2"/>
  </r>
  <r>
    <s v="Clients_Churn_Part_05.xlsx"/>
    <s v="CLI-00279"/>
    <x v="7"/>
    <s v="ANT-0295"/>
    <s v="5G"/>
    <x v="0"/>
    <s v="Résolu"/>
    <n v="52"/>
    <s v="Pro Monde"/>
    <n v="234"/>
    <d v="1899-12-30T03:54:00"/>
    <n v="62.87"/>
    <x v="1"/>
  </r>
  <r>
    <s v="Clients_Churn_Part_05.xlsx"/>
    <s v="CLI-00007"/>
    <x v="11"/>
    <s v="ANT-0514"/>
    <s v="5G"/>
    <x v="2"/>
    <s v="En Cours"/>
    <n v="110"/>
    <s v="Bloqué 5Go"/>
    <n v="112"/>
    <d v="1899-12-30T01:52:00"/>
    <n v="98.95"/>
    <x v="4"/>
  </r>
  <r>
    <s v="Clients_Churn_Part_05.xlsx"/>
    <s v="CLI-00821"/>
    <x v="22"/>
    <s v="ANT-0662"/>
    <s v="4G"/>
    <x v="2"/>
    <s v="En Cours"/>
    <n v="25"/>
    <s v="Bloqué 5Go"/>
    <n v="33"/>
    <d v="1899-12-30T00:33:00"/>
    <n v="30.93"/>
    <x v="2"/>
  </r>
  <r>
    <s v="Clients_Churn_Part_05.xlsx"/>
    <s v="CLI-00410"/>
    <x v="14"/>
    <s v="ANT-0458"/>
    <s v="3G"/>
    <x v="0"/>
    <s v="En Cours"/>
    <n v="51"/>
    <s v="Pro Monde"/>
    <n v="336"/>
    <d v="1899-12-30T05:36:00"/>
    <n v="65.47"/>
    <x v="2"/>
  </r>
  <r>
    <s v="Clients_Churn_Part_05.xlsx"/>
    <s v="CLI-01287"/>
    <x v="24"/>
    <s v="ANT-0553"/>
    <s v="4G"/>
    <x v="2"/>
    <s v="En Cours"/>
    <n v="5"/>
    <s v="Premium 5G 150Go"/>
    <n v="417"/>
    <d v="1899-12-30T06:57:00"/>
    <n v="90.71"/>
    <x v="2"/>
  </r>
  <r>
    <s v="Clients_Churn_Part_05.xlsx"/>
    <s v="CLI-00626"/>
    <x v="11"/>
    <s v="ANT-0514"/>
    <s v="5G"/>
    <x v="2"/>
    <s v="En Cours"/>
    <n v="2"/>
    <s v="Pro Monde"/>
    <n v="142"/>
    <d v="1899-12-30T02:22:00"/>
    <n v="37.799999999999997"/>
    <x v="1"/>
  </r>
  <r>
    <s v="Clients_Churn_Part_05.xlsx"/>
    <s v="CLI-01970"/>
    <x v="17"/>
    <s v="ANT-0093"/>
    <s v="4G"/>
    <x v="2"/>
    <s v="En Cours"/>
    <n v="33"/>
    <s v="Bloqué 5Go"/>
    <n v="332"/>
    <d v="1899-12-30T05:32:00"/>
    <n v="76.41"/>
    <x v="2"/>
  </r>
  <r>
    <s v="Clients_Churn_Part_05.xlsx"/>
    <s v="CLI-01180"/>
    <x v="15"/>
    <s v="ANT-0997"/>
    <s v="4G"/>
    <x v="2"/>
    <s v="En Cours"/>
    <n v="15"/>
    <s v="Bloqué 5Go"/>
    <n v="319"/>
    <d v="1899-12-30T05:19:00"/>
    <n v="78.150000000000006"/>
    <x v="5"/>
  </r>
  <r>
    <s v="Clients_Churn_Part_05.xlsx"/>
    <s v="CLI-00169"/>
    <x v="7"/>
    <s v="ANT-0936"/>
    <s v="5G"/>
    <x v="2"/>
    <s v="Non Résolu"/>
    <n v="91"/>
    <s v="Bloqué 5Go"/>
    <n v="188"/>
    <d v="1899-12-30T03:08:00"/>
    <n v="65.78"/>
    <x v="5"/>
  </r>
  <r>
    <s v="Clients_Churn_Part_05.xlsx"/>
    <s v="CLI-00227"/>
    <x v="19"/>
    <s v="ANT-0032"/>
    <s v="3G"/>
    <x v="1"/>
    <s v="En Cours"/>
    <n v="118"/>
    <s v="Pro Monde"/>
    <n v="22"/>
    <d v="1899-12-30T00:22:00"/>
    <n v="15.39"/>
    <x v="2"/>
  </r>
  <r>
    <s v="Clients_Churn_Part_05.xlsx"/>
    <s v="CLI-00324"/>
    <x v="2"/>
    <s v="ANT-0829"/>
    <s v="5G"/>
    <x v="2"/>
    <s v="Non Résolu"/>
    <n v="18"/>
    <s v="Illimité 50Go"/>
    <n v="34"/>
    <d v="1899-12-30T00:34:00"/>
    <n v="43.71"/>
    <x v="2"/>
  </r>
  <r>
    <s v="Clients_Churn_Part_05.xlsx"/>
    <s v="CLI-00512"/>
    <x v="16"/>
    <s v="ANT-0870"/>
    <s v="4G"/>
    <x v="2"/>
    <s v="Non Résolu"/>
    <n v="42"/>
    <s v="Illimité 50Go"/>
    <n v="453"/>
    <d v="1899-12-30T07:33:00"/>
    <n v="36.700000000000003"/>
    <x v="5"/>
  </r>
  <r>
    <s v="Clients_Churn_Part_05.xlsx"/>
    <s v="CLI-01058"/>
    <x v="10"/>
    <s v="ANT-0995"/>
    <s v="3G"/>
    <x v="1"/>
    <s v="Non Résolu"/>
    <n v="86"/>
    <s v="Premium 5G 150Go"/>
    <n v="111"/>
    <d v="1899-12-30T01:51:00"/>
    <n v="23.65"/>
    <x v="1"/>
  </r>
  <r>
    <s v="Clients_Churn_Part_05.xlsx"/>
    <s v="CLI-01462"/>
    <x v="1"/>
    <s v="ANT-0600"/>
    <s v="3G"/>
    <x v="1"/>
    <s v="Non Résolu"/>
    <n v="96"/>
    <s v="Illimité 50Go"/>
    <n v="210"/>
    <d v="1899-12-30T03:30:00"/>
    <n v="28.39"/>
    <x v="0"/>
  </r>
  <r>
    <s v="Clients_Churn_Part_05.xlsx"/>
    <s v="CLI-01573"/>
    <x v="12"/>
    <s v="ANT-0991"/>
    <s v="5G"/>
    <x v="2"/>
    <s v="Non Résolu"/>
    <n v="60"/>
    <s v="Illimité 50Go"/>
    <n v="154"/>
    <d v="1899-12-30T02:34:00"/>
    <n v="13.41"/>
    <x v="4"/>
  </r>
  <r>
    <s v="Clients_Churn_Part_05.xlsx"/>
    <s v="CLI-01702"/>
    <x v="11"/>
    <s v="ANT-0514"/>
    <s v="5G"/>
    <x v="2"/>
    <s v="Non Résolu"/>
    <n v="63"/>
    <s v="Bloqué 5Go"/>
    <n v="392"/>
    <d v="1899-12-30T06:32:00"/>
    <n v="93.11"/>
    <x v="0"/>
  </r>
  <r>
    <s v="Clients_Churn_Part_05.xlsx"/>
    <s v="CLI-01330"/>
    <x v="3"/>
    <s v="ANT-0035"/>
    <s v="4G"/>
    <x v="2"/>
    <s v="Non Résolu"/>
    <n v="60"/>
    <s v="Bloqué 5Go"/>
    <n v="306"/>
    <d v="1899-12-30T05:06:00"/>
    <n v="63.83"/>
    <x v="3"/>
  </r>
  <r>
    <s v="Clients_Churn_Part_05.xlsx"/>
    <s v="CLI-01563"/>
    <x v="3"/>
    <s v="ANT-0035"/>
    <s v="4G"/>
    <x v="2"/>
    <s v="Non Résolu"/>
    <n v="9"/>
    <s v="Pro Monde"/>
    <n v="255"/>
    <d v="1899-12-30T04:15:00"/>
    <n v="95.13"/>
    <x v="2"/>
  </r>
  <r>
    <s v="Clients_Churn_Part_05.xlsx"/>
    <s v="CLI-00267"/>
    <x v="9"/>
    <s v="ANT-0735"/>
    <s v="4G"/>
    <x v="2"/>
    <s v="Non Résolu"/>
    <n v="11"/>
    <s v="Bloqué 5Go"/>
    <n v="52"/>
    <d v="1899-12-30T00:52:00"/>
    <n v="76.53"/>
    <x v="4"/>
  </r>
  <r>
    <s v="Clients_Churn_Part_05.xlsx"/>
    <s v="CLI-01735"/>
    <x v="6"/>
    <s v="ANT-0381"/>
    <s v="5G"/>
    <x v="2"/>
    <s v="Non Résolu"/>
    <n v="71"/>
    <s v="Bloqué 5Go"/>
    <n v="364"/>
    <d v="1899-12-30T06:04:00"/>
    <n v="39.58"/>
    <x v="2"/>
  </r>
  <r>
    <s v="Clients_Churn_Part_05.xlsx"/>
    <s v="CLI-01217"/>
    <x v="0"/>
    <s v="ANT-0821"/>
    <s v="5G"/>
    <x v="2"/>
    <s v="Non Résolu"/>
    <n v="85"/>
    <s v="Premium 5G 150Go"/>
    <n v="274"/>
    <d v="1899-12-30T04:34:00"/>
    <n v="35.03"/>
    <x v="2"/>
  </r>
  <r>
    <s v="Clients_Churn_Part_05.xlsx"/>
    <s v="CLI-01405"/>
    <x v="25"/>
    <s v="ANT-0206"/>
    <s v="5G"/>
    <x v="2"/>
    <s v="Non Résolu"/>
    <n v="32"/>
    <s v="Illimité 50Go"/>
    <n v="405"/>
    <d v="1899-12-30T06:45:00"/>
    <n v="67.92"/>
    <x v="0"/>
  </r>
  <r>
    <s v="Clients_Churn_Part_05.xlsx"/>
    <s v="CLI-00841"/>
    <x v="16"/>
    <s v="ANT-0870"/>
    <s v="4G"/>
    <x v="1"/>
    <s v="Non Résolu"/>
    <n v="92"/>
    <s v="Bloqué 5Go"/>
    <n v="472"/>
    <d v="1899-12-30T07:52:00"/>
    <n v="78.44"/>
    <x v="2"/>
  </r>
  <r>
    <s v="Clients_Churn_Part_05.xlsx"/>
    <s v="CLI-01624"/>
    <x v="14"/>
    <s v="ANT-0458"/>
    <s v="3G"/>
    <x v="1"/>
    <s v="Non Résolu"/>
    <n v="57"/>
    <s v="Illimité 50Go"/>
    <n v="435"/>
    <d v="1899-12-30T07:15:00"/>
    <n v="56.88"/>
    <x v="5"/>
  </r>
  <r>
    <s v="Clients_Churn_Part_05.xlsx"/>
    <s v="CLI-00655"/>
    <x v="4"/>
    <s v="ANT-0136"/>
    <s v="3G"/>
    <x v="1"/>
    <s v="Non Résolu"/>
    <n v="18"/>
    <s v="Bloqué 5Go"/>
    <n v="291"/>
    <d v="1899-12-30T04:51:00"/>
    <n v="97.98"/>
    <x v="2"/>
  </r>
  <r>
    <s v="Clients_Churn_Part_05.xlsx"/>
    <s v="CLI-00925"/>
    <x v="12"/>
    <s v="ANT-0991"/>
    <s v="5G"/>
    <x v="1"/>
    <s v="Non Résolu"/>
    <n v="61"/>
    <s v="Illimité 50Go"/>
    <n v="87"/>
    <d v="1899-12-30T01:27:00"/>
    <n v="68.319999999999993"/>
    <x v="3"/>
  </r>
  <r>
    <s v="Clients_Churn_Part_05.xlsx"/>
    <s v="CLI-00980"/>
    <x v="25"/>
    <s v="ANT-0206"/>
    <s v="5G"/>
    <x v="1"/>
    <s v="Non Résolu"/>
    <n v="106"/>
    <s v="Illimité 50Go"/>
    <n v="128"/>
    <d v="1899-12-30T02:08:00"/>
    <n v="35.96"/>
    <x v="3"/>
  </r>
  <r>
    <s v="Clients_Churn_Part_05.xlsx"/>
    <s v="CLI-01506"/>
    <x v="14"/>
    <s v="ANT-0458"/>
    <s v="3G"/>
    <x v="1"/>
    <s v="Non Résolu"/>
    <n v="36"/>
    <s v="Bloqué 5Go"/>
    <n v="491"/>
    <d v="1899-12-30T08:11:00"/>
    <n v="12.13"/>
    <x v="5"/>
  </r>
  <r>
    <s v="Clients_Churn_Part_05.xlsx"/>
    <s v="CLI-00274"/>
    <x v="20"/>
    <s v="ANT-0180"/>
    <s v="5G"/>
    <x v="1"/>
    <s v="Non Résolu"/>
    <n v="108"/>
    <s v="Pro Monde"/>
    <n v="48"/>
    <d v="1899-12-30T00:48:00"/>
    <n v="86.22"/>
    <x v="0"/>
  </r>
  <r>
    <s v="Clients_Churn_Part_05.xlsx"/>
    <s v="CLI-00534"/>
    <x v="25"/>
    <s v="ANT-0206"/>
    <s v="5G"/>
    <x v="1"/>
    <s v="Non Résolu"/>
    <n v="21"/>
    <s v="Bloqué 5Go"/>
    <n v="307"/>
    <d v="1899-12-30T05:07:00"/>
    <n v="39.81"/>
    <x v="4"/>
  </r>
  <r>
    <s v="Clients_Churn_Part_05.xlsx"/>
    <s v="CLI-00356"/>
    <x v="25"/>
    <s v="ANT-0206"/>
    <s v="5G"/>
    <x v="1"/>
    <s v="Non Résolu"/>
    <n v="22"/>
    <s v="Premium 5G 150Go"/>
    <n v="166"/>
    <d v="1899-12-30T02:46:00"/>
    <n v="31.8"/>
    <x v="2"/>
  </r>
  <r>
    <s v="Clients_Churn_Part_05.xlsx"/>
    <s v="CLI-01408"/>
    <x v="21"/>
    <s v="ANT-0302"/>
    <s v="4G"/>
    <x v="2"/>
    <s v="En Cours"/>
    <n v="108"/>
    <s v="Premium 5G 150Go"/>
    <n v="323"/>
    <d v="1899-12-30T05:23:00"/>
    <n v="58.54"/>
    <x v="3"/>
  </r>
  <r>
    <s v="Clients_Churn_Part_05.xlsx"/>
    <s v="CLI-01215"/>
    <x v="0"/>
    <s v="ANT-0821"/>
    <s v="5G"/>
    <x v="1"/>
    <s v="Non Résolu"/>
    <n v="3"/>
    <s v="Illimité 50Go"/>
    <n v="356"/>
    <d v="1899-12-30T05:56:00"/>
    <n v="91.6"/>
    <x v="0"/>
  </r>
  <r>
    <s v="Clients_Churn_Part_05.xlsx"/>
    <s v="CLI-01694"/>
    <x v="23"/>
    <s v="ANT-0503"/>
    <s v="3G"/>
    <x v="0"/>
    <s v="En Cours"/>
    <n v="78"/>
    <s v="Illimité 50Go"/>
    <n v="198"/>
    <d v="1899-12-30T03:18:00"/>
    <n v="69.849999999999994"/>
    <x v="1"/>
  </r>
  <r>
    <s v="Clients_Churn_Part_05.xlsx"/>
    <s v="CLI-00671"/>
    <x v="7"/>
    <s v="ANT-0936"/>
    <s v="5G"/>
    <x v="1"/>
    <s v="Non Résolu"/>
    <n v="13"/>
    <s v="Pro Monde"/>
    <n v="347"/>
    <d v="1899-12-30T05:47:00"/>
    <n v="32.35"/>
    <x v="3"/>
  </r>
  <r>
    <s v="Clients_Churn_Part_05.xlsx"/>
    <s v="CLI-01638"/>
    <x v="19"/>
    <s v="ANT-0032"/>
    <s v="3G"/>
    <x v="0"/>
    <s v="En Cours"/>
    <n v="23"/>
    <s v="Pro Monde"/>
    <n v="473"/>
    <d v="1899-12-30T07:53:00"/>
    <n v="71.86"/>
    <x v="0"/>
  </r>
  <r>
    <s v="Clients_Churn_Part_06.xlsx"/>
    <s v="CLI-00578"/>
    <x v="0"/>
    <s v="ANT-0821"/>
    <s v="5G"/>
    <x v="1"/>
    <s v="Non Résolu"/>
    <n v="96"/>
    <s v="Illimité 50Go"/>
    <n v="290"/>
    <d v="1899-12-30T04:50:00"/>
    <n v="29"/>
    <x v="0"/>
  </r>
  <r>
    <s v="Clients_Churn_Part_06.xlsx"/>
    <s v="CLI-00407"/>
    <x v="20"/>
    <s v="ANT-0180"/>
    <s v="5G"/>
    <x v="1"/>
    <s v="Non Résolu"/>
    <n v="48"/>
    <s v="Premium 5G 150Go"/>
    <n v="416"/>
    <d v="1899-12-30T06:56:00"/>
    <n v="81.260000000000005"/>
    <x v="4"/>
  </r>
  <r>
    <s v="Clients_Churn_Part_06.xlsx"/>
    <s v="CLI-00173"/>
    <x v="8"/>
    <s v="ANT-0926"/>
    <s v="4G"/>
    <x v="1"/>
    <s v="Non Résolu"/>
    <n v="50"/>
    <s v="Pro Monde"/>
    <n v="108"/>
    <d v="1899-12-30T01:48:00"/>
    <n v="43.81"/>
    <x v="4"/>
  </r>
  <r>
    <s v="Clients_Churn_Part_06.xlsx"/>
    <s v="CLI-00849"/>
    <x v="3"/>
    <s v="ANT-0371"/>
    <s v="4G"/>
    <x v="1"/>
    <s v="Non Résolu"/>
    <n v="63"/>
    <s v="Illimité 50Go"/>
    <n v="95"/>
    <d v="1899-12-30T01:35:00"/>
    <n v="56.81"/>
    <x v="1"/>
  </r>
  <r>
    <s v="Clients_Churn_Part_06.xlsx"/>
    <s v="CLI-00753"/>
    <x v="0"/>
    <s v="ANT-0821"/>
    <s v="5G"/>
    <x v="0"/>
    <s v="En Cours"/>
    <n v="40"/>
    <s v="Premium 5G 150Go"/>
    <n v="102"/>
    <d v="1899-12-30T01:42:00"/>
    <n v="96.59"/>
    <x v="4"/>
  </r>
  <r>
    <s v="Clients_Churn_Part_06.xlsx"/>
    <s v="CLI-00373"/>
    <x v="25"/>
    <s v="ANT-0845"/>
    <s v="3G"/>
    <x v="0"/>
    <s v="Non Résolu"/>
    <n v="83"/>
    <s v="Illimité 50Go"/>
    <n v="30"/>
    <d v="1899-12-30T00:30:00"/>
    <n v="33.93"/>
    <x v="0"/>
  </r>
  <r>
    <s v="Clients_Churn_Part_06.xlsx"/>
    <s v="CLI-00806"/>
    <x v="13"/>
    <s v="ANT-0375"/>
    <s v="4G"/>
    <x v="1"/>
    <s v="Résolu"/>
    <n v="76"/>
    <s v="Illimité 50Go"/>
    <n v="383"/>
    <d v="1899-12-30T06:23:00"/>
    <n v="53.73"/>
    <x v="3"/>
  </r>
  <r>
    <s v="Clients_Churn_Part_06.xlsx"/>
    <s v="CLI-00773"/>
    <x v="5"/>
    <s v="ANT-0921"/>
    <s v="5G"/>
    <x v="3"/>
    <s v="Non Résolu"/>
    <n v="10"/>
    <s v="Bloqué 5Go"/>
    <n v="93"/>
    <d v="1899-12-30T01:33:00"/>
    <n v="78.12"/>
    <x v="5"/>
  </r>
  <r>
    <s v="Clients_Churn_Part_06.xlsx"/>
    <s v="CLI-01169"/>
    <x v="18"/>
    <s v="ANT-0264"/>
    <s v="4G"/>
    <x v="2"/>
    <s v="En Cours"/>
    <n v="114"/>
    <s v="Bloqué 5Go"/>
    <n v="388"/>
    <d v="1899-12-30T06:28:00"/>
    <n v="40.29"/>
    <x v="4"/>
  </r>
  <r>
    <s v="Clients_Churn_Part_06.xlsx"/>
    <s v="CLI-00460"/>
    <x v="25"/>
    <s v="ANT-0845"/>
    <s v="3G"/>
    <x v="1"/>
    <s v="Résolu"/>
    <n v="5"/>
    <s v="Pro Monde"/>
    <n v="98"/>
    <d v="1899-12-30T01:38:00"/>
    <n v="71.37"/>
    <x v="2"/>
  </r>
  <r>
    <s v="Clients_Churn_Part_06.xlsx"/>
    <s v="CLI-00043"/>
    <x v="24"/>
    <s v="ANT-0826"/>
    <s v="4G"/>
    <x v="2"/>
    <s v="En Cours"/>
    <n v="118"/>
    <s v="Pro Monde"/>
    <n v="132"/>
    <d v="1899-12-30T02:12:00"/>
    <n v="40.880000000000003"/>
    <x v="5"/>
  </r>
  <r>
    <s v="Clients_Churn_Part_06.xlsx"/>
    <s v="CLI-00048"/>
    <x v="0"/>
    <s v="ANT-0821"/>
    <s v="5G"/>
    <x v="3"/>
    <s v="Non Résolu"/>
    <n v="16"/>
    <s v="Bloqué 5Go"/>
    <n v="461"/>
    <d v="1899-12-30T07:41:00"/>
    <n v="38.369999999999997"/>
    <x v="5"/>
  </r>
  <r>
    <s v="Clients_Churn_Part_06.xlsx"/>
    <s v="CLI-01144"/>
    <x v="12"/>
    <s v="ANT-0991"/>
    <s v="5G"/>
    <x v="3"/>
    <s v="Non Résolu"/>
    <n v="50"/>
    <s v="Illimité 50Go"/>
    <n v="446"/>
    <d v="1899-12-30T07:26:00"/>
    <n v="31.56"/>
    <x v="4"/>
  </r>
  <r>
    <s v="Clients_Churn_Part_06.xlsx"/>
    <s v="CLI-01326"/>
    <x v="25"/>
    <s v="ANT-0845"/>
    <s v="3G"/>
    <x v="3"/>
    <s v="Non Résolu"/>
    <n v="120"/>
    <s v="Pro Monde"/>
    <n v="209"/>
    <d v="1899-12-30T03:29:00"/>
    <n v="42.51"/>
    <x v="5"/>
  </r>
  <r>
    <s v="Clients_Churn_Part_06.xlsx"/>
    <s v="CLI-01254"/>
    <x v="10"/>
    <s v="ANT-0091"/>
    <s v="3G"/>
    <x v="3"/>
    <s v="Non Résolu"/>
    <n v="73"/>
    <s v="Illimité 50Go"/>
    <n v="225"/>
    <d v="1899-12-30T03:45:00"/>
    <n v="45.86"/>
    <x v="1"/>
  </r>
  <r>
    <s v="Clients_Churn_Part_06.xlsx"/>
    <s v="CLI-01284"/>
    <x v="8"/>
    <s v="ANT-0926"/>
    <s v="4G"/>
    <x v="2"/>
    <s v="Non Résolu"/>
    <n v="21"/>
    <s v="Pro Monde"/>
    <n v="320"/>
    <d v="1899-12-30T05:20:00"/>
    <n v="64.97"/>
    <x v="2"/>
  </r>
  <r>
    <s v="Clients_Churn_Part_06.xlsx"/>
    <s v="CLI-00469"/>
    <x v="16"/>
    <s v="ANT-0870"/>
    <s v="4G"/>
    <x v="2"/>
    <s v="Non Résolu"/>
    <n v="25"/>
    <s v="Premium 5G 150Go"/>
    <n v="467"/>
    <d v="1899-12-30T07:47:00"/>
    <n v="97.78"/>
    <x v="0"/>
  </r>
  <r>
    <s v="Clients_Churn_Part_06.xlsx"/>
    <s v="CLI-00183"/>
    <x v="13"/>
    <s v="ANT-0236"/>
    <s v="3G"/>
    <x v="3"/>
    <s v="Non Résolu"/>
    <n v="98"/>
    <s v="Premium 5G 150Go"/>
    <n v="319"/>
    <d v="1899-12-30T05:19:00"/>
    <n v="88.58"/>
    <x v="1"/>
  </r>
  <r>
    <s v="Clients_Churn_Part_06.xlsx"/>
    <s v="CLI-00948"/>
    <x v="16"/>
    <s v="ANT-0870"/>
    <s v="4G"/>
    <x v="1"/>
    <s v="Non Résolu"/>
    <n v="56"/>
    <s v="Pro Monde"/>
    <n v="55"/>
    <d v="1899-12-30T00:55:00"/>
    <n v="82.56"/>
    <x v="3"/>
  </r>
  <r>
    <s v="Clients_Churn_Part_06.xlsx"/>
    <s v="CLI-01749"/>
    <x v="3"/>
    <s v="ANT-0371"/>
    <s v="4G"/>
    <x v="1"/>
    <s v="Non Résolu"/>
    <n v="33"/>
    <s v="Premium 5G 150Go"/>
    <n v="444"/>
    <d v="1899-12-30T07:24:00"/>
    <n v="10.28"/>
    <x v="4"/>
  </r>
  <r>
    <s v="Clients_Churn_Part_06.xlsx"/>
    <s v="CLI-00537"/>
    <x v="7"/>
    <s v="ANT-0788"/>
    <s v="4G"/>
    <x v="1"/>
    <s v="Non Résolu"/>
    <n v="99"/>
    <s v="Pro Monde"/>
    <n v="325"/>
    <d v="1899-12-30T05:25:00"/>
    <n v="88.35"/>
    <x v="5"/>
  </r>
  <r>
    <s v="Clients_Churn_Part_06.xlsx"/>
    <s v="CLI-01437"/>
    <x v="19"/>
    <s v="ANT-0032"/>
    <s v="3G"/>
    <x v="2"/>
    <s v="En Cours"/>
    <n v="117"/>
    <s v="Bloqué 5Go"/>
    <n v="85"/>
    <d v="1899-12-30T01:25:00"/>
    <n v="46.16"/>
    <x v="0"/>
  </r>
  <r>
    <s v="Clients_Churn_Part_06.xlsx"/>
    <s v="CLI-00346"/>
    <x v="24"/>
    <s v="ANT-0826"/>
    <s v="4G"/>
    <x v="1"/>
    <s v="Non Résolu"/>
    <n v="97"/>
    <s v="Bloqué 5Go"/>
    <n v="40"/>
    <d v="1899-12-30T00:40:00"/>
    <n v="85.19"/>
    <x v="2"/>
  </r>
  <r>
    <s v="Clients_Churn_Part_06.xlsx"/>
    <s v="CLI-00102"/>
    <x v="23"/>
    <s v="ANT-0503"/>
    <s v="3G"/>
    <x v="2"/>
    <s v="Non Résolu"/>
    <n v="93"/>
    <s v="Premium 5G 150Go"/>
    <n v="150"/>
    <d v="1899-12-30T02:30:00"/>
    <n v="93.25"/>
    <x v="0"/>
  </r>
  <r>
    <s v="Clients_Churn_Part_06.xlsx"/>
    <s v="CLI-00822"/>
    <x v="10"/>
    <s v="ANT-0091"/>
    <s v="3G"/>
    <x v="2"/>
    <s v="Non Résolu"/>
    <n v="45"/>
    <s v="Illimité 50Go"/>
    <n v="43"/>
    <d v="1899-12-30T00:43:00"/>
    <n v="12.31"/>
    <x v="1"/>
  </r>
  <r>
    <s v="Clients_Churn_Part_06.xlsx"/>
    <s v="CLI-01266"/>
    <x v="23"/>
    <s v="ANT-0503"/>
    <s v="3G"/>
    <x v="2"/>
    <s v="Non Résolu"/>
    <n v="66"/>
    <s v="Premium 5G 150Go"/>
    <n v="193"/>
    <d v="1899-12-30T03:13:00"/>
    <n v="21.06"/>
    <x v="0"/>
  </r>
  <r>
    <s v="Clients_Churn_Part_06.xlsx"/>
    <s v="CLI-00879"/>
    <x v="10"/>
    <s v="ANT-0091"/>
    <s v="3G"/>
    <x v="3"/>
    <s v="En Cours"/>
    <n v="91"/>
    <s v="Illimité 50Go"/>
    <n v="63"/>
    <d v="1899-12-30T01:03:00"/>
    <n v="57.76"/>
    <x v="4"/>
  </r>
  <r>
    <s v="Clients_Churn_Part_06.xlsx"/>
    <s v="CLI-01230"/>
    <x v="24"/>
    <s v="ANT-0282"/>
    <s v="4G"/>
    <x v="2"/>
    <s v="En Cours"/>
    <n v="63"/>
    <s v="Pro Monde"/>
    <n v="141"/>
    <d v="1899-12-30T02:21:00"/>
    <n v="95.6"/>
    <x v="5"/>
  </r>
  <r>
    <s v="Clients_Churn_Part_06.xlsx"/>
    <s v="CLI-00533"/>
    <x v="16"/>
    <s v="ANT-0870"/>
    <s v="4G"/>
    <x v="2"/>
    <s v="En Cours"/>
    <n v="82"/>
    <s v="Premium 5G 150Go"/>
    <n v="32"/>
    <d v="1899-12-30T00:32:00"/>
    <n v="77.63"/>
    <x v="2"/>
  </r>
  <r>
    <s v="Clients_Churn_Part_06.xlsx"/>
    <s v="CLI-00306"/>
    <x v="8"/>
    <s v="ANT-0926"/>
    <s v="4G"/>
    <x v="2"/>
    <s v="En Cours"/>
    <n v="89"/>
    <s v="Bloqué 5Go"/>
    <n v="175"/>
    <d v="1899-12-30T02:55:00"/>
    <n v="32.369999999999997"/>
    <x v="2"/>
  </r>
  <r>
    <s v="Clients_Churn_Part_06.xlsx"/>
    <s v="CLI-01732"/>
    <x v="6"/>
    <s v="ANT-0381"/>
    <s v="5G"/>
    <x v="2"/>
    <s v="En Cours"/>
    <n v="48"/>
    <s v="Illimité 50Go"/>
    <n v="15"/>
    <d v="1899-12-30T00:15:00"/>
    <n v="50.67"/>
    <x v="2"/>
  </r>
  <r>
    <s v="Clients_Churn_Part_06.xlsx"/>
    <s v="CLI-01885"/>
    <x v="12"/>
    <s v="ANT-0612"/>
    <s v="4G"/>
    <x v="2"/>
    <s v="Non Résolu"/>
    <n v="90"/>
    <s v="Pro Monde"/>
    <n v="299"/>
    <d v="1899-12-30T04:59:00"/>
    <n v="71.760000000000005"/>
    <x v="2"/>
  </r>
  <r>
    <s v="Clients_Churn_Part_06.xlsx"/>
    <s v="CLI-00349"/>
    <x v="21"/>
    <s v="ANT-0302"/>
    <s v="4G"/>
    <x v="2"/>
    <s v="Non Résolu"/>
    <n v="8"/>
    <s v="Bloqué 5Go"/>
    <n v="120"/>
    <d v="1899-12-30T02:00:00"/>
    <n v="88.29"/>
    <x v="4"/>
  </r>
  <r>
    <s v="Clients_Churn_Part_06.xlsx"/>
    <s v="CLI-01162"/>
    <x v="13"/>
    <s v="ANT-0236"/>
    <s v="3G"/>
    <x v="3"/>
    <s v="En Cours"/>
    <n v="84"/>
    <s v="Bloqué 5Go"/>
    <n v="244"/>
    <d v="1899-12-30T04:04:00"/>
    <n v="56.34"/>
    <x v="4"/>
  </r>
  <r>
    <s v="Clients_Churn_Part_06.xlsx"/>
    <s v="CLI-00241"/>
    <x v="11"/>
    <s v="ANT-0391"/>
    <s v="5G"/>
    <x v="1"/>
    <s v="En Cours"/>
    <n v="50"/>
    <s v="Bloqué 5Go"/>
    <n v="248"/>
    <d v="1899-12-30T04:08:00"/>
    <n v="69.42"/>
    <x v="1"/>
  </r>
  <r>
    <s v="Clients_Churn_Part_06.xlsx"/>
    <s v="CLI-00029"/>
    <x v="6"/>
    <s v="ANT-0381"/>
    <s v="5G"/>
    <x v="1"/>
    <s v="En Cours"/>
    <n v="119"/>
    <s v="Pro Monde"/>
    <n v="344"/>
    <d v="1899-12-30T05:44:00"/>
    <n v="10.28"/>
    <x v="1"/>
  </r>
  <r>
    <s v="Clients_Churn_Part_06.xlsx"/>
    <s v="CLI-01472"/>
    <x v="9"/>
    <s v="ANT-0735"/>
    <s v="4G"/>
    <x v="2"/>
    <s v="Non Résolu"/>
    <n v="55"/>
    <s v="Pro Monde"/>
    <n v="389"/>
    <d v="1899-12-30T06:29:00"/>
    <n v="67.430000000000007"/>
    <x v="0"/>
  </r>
  <r>
    <s v="Clients_Churn_Part_06.xlsx"/>
    <s v="CLI-01077"/>
    <x v="13"/>
    <s v="ANT-0236"/>
    <s v="3G"/>
    <x v="3"/>
    <s v="En Cours"/>
    <n v="95"/>
    <s v="Premium 5G 150Go"/>
    <n v="51"/>
    <d v="1899-12-30T00:51:00"/>
    <n v="94.77"/>
    <x v="4"/>
  </r>
  <r>
    <s v="Clients_Churn_Part_06.xlsx"/>
    <s v="CLI-00892"/>
    <x v="9"/>
    <s v="ANT-0735"/>
    <s v="4G"/>
    <x v="0"/>
    <s v="Résolu"/>
    <n v="32"/>
    <s v="Pro Monde"/>
    <n v="4"/>
    <d v="1899-12-30T00:04:00"/>
    <n v="39"/>
    <x v="1"/>
  </r>
  <r>
    <s v="Clients_Churn_Part_06.xlsx"/>
    <s v="CLI-01929"/>
    <x v="18"/>
    <s v="ANT-0362"/>
    <s v="3G"/>
    <x v="3"/>
    <s v="En Cours"/>
    <n v="32"/>
    <s v="Illimité 50Go"/>
    <n v="31"/>
    <d v="1899-12-30T00:31:00"/>
    <n v="67.040000000000006"/>
    <x v="2"/>
  </r>
  <r>
    <s v="Clients_Churn_Part_06.xlsx"/>
    <s v="CLI-00930"/>
    <x v="18"/>
    <s v="ANT-0362"/>
    <s v="3G"/>
    <x v="2"/>
    <s v="En Cours"/>
    <n v="62"/>
    <s v="Illimité 50Go"/>
    <n v="136"/>
    <d v="1899-12-30T02:16:00"/>
    <n v="88.61"/>
    <x v="3"/>
  </r>
  <r>
    <s v="Clients_Churn_Part_06.xlsx"/>
    <s v="CLI-01695"/>
    <x v="20"/>
    <s v="ANT-0526"/>
    <s v="4G"/>
    <x v="0"/>
    <s v="Résolu"/>
    <n v="5"/>
    <s v="Premium 5G 150Go"/>
    <n v="384"/>
    <d v="1899-12-30T06:24:00"/>
    <n v="97.26"/>
    <x v="0"/>
  </r>
  <r>
    <s v="Clients_Churn_Part_06.xlsx"/>
    <s v="CLI-01380"/>
    <x v="3"/>
    <s v="ANT-0371"/>
    <s v="4G"/>
    <x v="0"/>
    <s v="Résolu"/>
    <n v="118"/>
    <s v="Illimité 50Go"/>
    <n v="489"/>
    <d v="1899-12-30T08:09:00"/>
    <n v="76.22"/>
    <x v="3"/>
  </r>
  <r>
    <s v="Clients_Churn_Part_06.xlsx"/>
    <s v="CLI-01013"/>
    <x v="3"/>
    <s v="ANT-0371"/>
    <s v="4G"/>
    <x v="0"/>
    <s v="Résolu"/>
    <n v="105"/>
    <s v="Illimité 50Go"/>
    <n v="3"/>
    <d v="1899-12-30T00:03:00"/>
    <n v="71.010000000000005"/>
    <x v="2"/>
  </r>
  <r>
    <s v="Clients_Churn_Part_06.xlsx"/>
    <s v="CLI-00243"/>
    <x v="4"/>
    <s v="ANT-0441"/>
    <s v="3G"/>
    <x v="1"/>
    <s v="En Cours"/>
    <n v="47"/>
    <s v="Illimité 50Go"/>
    <n v="340"/>
    <d v="1899-12-30T05:40:00"/>
    <n v="31.02"/>
    <x v="4"/>
  </r>
  <r>
    <s v="Clients_Churn_Part_06.xlsx"/>
    <s v="CLI-01740"/>
    <x v="6"/>
    <s v="ANT-0381"/>
    <s v="5G"/>
    <x v="0"/>
    <s v="Résolu"/>
    <n v="81"/>
    <s v="Pro Monde"/>
    <n v="298"/>
    <d v="1899-12-30T04:58:00"/>
    <n v="53.61"/>
    <x v="3"/>
  </r>
  <r>
    <s v="Clients_Churn_Part_06.xlsx"/>
    <s v="CLI-01773"/>
    <x v="24"/>
    <s v="ANT-0620"/>
    <s v="3G"/>
    <x v="1"/>
    <s v="En Cours"/>
    <n v="91"/>
    <s v="Illimité 50Go"/>
    <n v="404"/>
    <d v="1899-12-30T06:44:00"/>
    <n v="76.53"/>
    <x v="4"/>
  </r>
  <r>
    <s v="Clients_Churn_Part_06.xlsx"/>
    <s v="CLI-00417"/>
    <x v="0"/>
    <s v="ANT-0821"/>
    <s v="5G"/>
    <x v="0"/>
    <s v="Résolu"/>
    <n v="87"/>
    <s v="Bloqué 5Go"/>
    <n v="21"/>
    <d v="1899-12-30T00:21:00"/>
    <n v="81.459999999999994"/>
    <x v="0"/>
  </r>
  <r>
    <s v="Clients_Churn_Part_06.xlsx"/>
    <s v="CLI-00391"/>
    <x v="24"/>
    <s v="ANT-0620"/>
    <s v="3G"/>
    <x v="1"/>
    <s v="Résolu"/>
    <n v="4"/>
    <s v="Pro Monde"/>
    <n v="49"/>
    <d v="1899-12-30T00:49:00"/>
    <n v="41.35"/>
    <x v="4"/>
  </r>
  <r>
    <s v="Clients_Churn_Part_07.xlsx"/>
    <s v="CLI-01835"/>
    <x v="2"/>
    <s v="ANT-0829"/>
    <s v="5G"/>
    <x v="0"/>
    <s v="Résolu"/>
    <n v="76"/>
    <s v="Bloqué 5Go"/>
    <n v="192"/>
    <d v="1899-12-30T03:12:00"/>
    <n v="68.53"/>
    <x v="1"/>
  </r>
  <r>
    <s v="Clients_Churn_Part_07.xlsx"/>
    <s v="CLI-01602"/>
    <x v="3"/>
    <s v="ANT-0371"/>
    <s v="4G"/>
    <x v="1"/>
    <s v="Résolu"/>
    <n v="69"/>
    <s v="Premium 5G 150Go"/>
    <n v="486"/>
    <d v="1899-12-30T08:06:00"/>
    <n v="34.770000000000003"/>
    <x v="1"/>
  </r>
  <r>
    <s v="Clients_Churn_Part_07.xlsx"/>
    <s v="CLI-00546"/>
    <x v="6"/>
    <s v="ANT-0381"/>
    <s v="5G"/>
    <x v="0"/>
    <s v="Résolu"/>
    <n v="25"/>
    <s v="Pro Monde"/>
    <n v="218"/>
    <d v="1899-12-30T03:38:00"/>
    <n v="68.790000000000006"/>
    <x v="1"/>
  </r>
  <r>
    <s v="Clients_Churn_Part_07.xlsx"/>
    <s v="CLI-00590"/>
    <x v="12"/>
    <s v="ANT-0630"/>
    <s v="5G"/>
    <x v="0"/>
    <s v="Non Résolu"/>
    <n v="109"/>
    <s v="Illimité 50Go"/>
    <n v="347"/>
    <d v="1899-12-30T05:47:00"/>
    <n v="43.06"/>
    <x v="5"/>
  </r>
  <r>
    <s v="Clients_Churn_Part_07.xlsx"/>
    <s v="CLI-01529"/>
    <x v="5"/>
    <s v="ANT-0523"/>
    <s v="3G"/>
    <x v="3"/>
    <s v="Résolu"/>
    <n v="50"/>
    <s v="Pro Monde"/>
    <n v="430"/>
    <d v="1899-12-30T07:10:00"/>
    <n v="20.8"/>
    <x v="3"/>
  </r>
  <r>
    <s v="Clients_Churn_Part_07.xlsx"/>
    <s v="CLI-01706"/>
    <x v="11"/>
    <s v="ANT-0142"/>
    <s v="4G"/>
    <x v="1"/>
    <s v="En Cours"/>
    <n v="55"/>
    <s v="Premium 5G 150Go"/>
    <n v="86"/>
    <d v="1899-12-30T01:26:00"/>
    <n v="17.440000000000001"/>
    <x v="3"/>
  </r>
  <r>
    <s v="Clients_Churn_Part_07.xlsx"/>
    <s v="CLI-00783"/>
    <x v="21"/>
    <s v="ANT-0250"/>
    <s v="5G"/>
    <x v="3"/>
    <s v="Résolu"/>
    <n v="41"/>
    <s v="Pro Monde"/>
    <n v="474"/>
    <d v="1899-12-30T07:54:00"/>
    <n v="54.03"/>
    <x v="5"/>
  </r>
  <r>
    <s v="Clients_Churn_Part_07.xlsx"/>
    <s v="CLI-01906"/>
    <x v="15"/>
    <s v="ANT-0872"/>
    <s v="5G"/>
    <x v="3"/>
    <s v="Résolu"/>
    <n v="99"/>
    <s v="Bloqué 5Go"/>
    <n v="28"/>
    <d v="1899-12-30T00:28:00"/>
    <n v="70.19"/>
    <x v="2"/>
  </r>
  <r>
    <s v="Clients_Churn_Part_07.xlsx"/>
    <s v="CLI-00884"/>
    <x v="22"/>
    <s v="ANT-0942"/>
    <s v="5G"/>
    <x v="3"/>
    <s v="Résolu"/>
    <n v="47"/>
    <s v="Premium 5G 150Go"/>
    <n v="49"/>
    <d v="1899-12-30T00:49:00"/>
    <n v="55.88"/>
    <x v="0"/>
  </r>
  <r>
    <s v="Clients_Churn_Part_07.xlsx"/>
    <s v="CLI-00424"/>
    <x v="25"/>
    <s v="ANT-0515"/>
    <s v="4G"/>
    <x v="1"/>
    <s v="En Cours"/>
    <n v="103"/>
    <s v="Illimité 50Go"/>
    <n v="182"/>
    <d v="1899-12-30T03:02:00"/>
    <n v="12.07"/>
    <x v="4"/>
  </r>
  <r>
    <s v="Clients_Churn_Part_07.xlsx"/>
    <s v="CLI-01931"/>
    <x v="8"/>
    <s v="ANT-0926"/>
    <s v="4G"/>
    <x v="1"/>
    <s v="En Cours"/>
    <n v="87"/>
    <s v="Illimité 50Go"/>
    <n v="498"/>
    <d v="1899-12-30T08:18:00"/>
    <n v="61.57"/>
    <x v="1"/>
  </r>
  <r>
    <s v="Clients_Churn_Part_07.xlsx"/>
    <s v="CLI-00442"/>
    <x v="12"/>
    <s v="ANT-0630"/>
    <s v="5G"/>
    <x v="3"/>
    <s v="Résolu"/>
    <n v="120"/>
    <s v="Illimité 50Go"/>
    <n v="242"/>
    <d v="1899-12-30T04:02:00"/>
    <n v="61.54"/>
    <x v="2"/>
  </r>
  <r>
    <s v="Clients_Churn_Part_07.xlsx"/>
    <s v="CLI-01688"/>
    <x v="2"/>
    <s v="ANT-0829"/>
    <s v="5G"/>
    <x v="3"/>
    <s v="Résolu"/>
    <n v="102"/>
    <s v="Bloqué 5Go"/>
    <n v="91"/>
    <d v="1899-12-30T01:31:00"/>
    <n v="34.64"/>
    <x v="3"/>
  </r>
  <r>
    <s v="Clients_Churn_Part_07.xlsx"/>
    <s v="CLI-00580"/>
    <x v="21"/>
    <s v="ANT-0250"/>
    <s v="5G"/>
    <x v="3"/>
    <s v="Résolu"/>
    <n v="17"/>
    <s v="Illimité 50Go"/>
    <n v="483"/>
    <d v="1899-12-30T08:03:00"/>
    <n v="77.08"/>
    <x v="1"/>
  </r>
  <r>
    <s v="Clients_Churn_Part_07.xlsx"/>
    <s v="CLI-01489"/>
    <x v="24"/>
    <s v="ANT-0970"/>
    <s v="3G"/>
    <x v="3"/>
    <s v="Résolu"/>
    <n v="67"/>
    <s v="Pro Monde"/>
    <n v="26"/>
    <d v="1899-12-30T00:26:00"/>
    <n v="81.489999999999995"/>
    <x v="5"/>
  </r>
  <r>
    <s v="Clients_Churn_Part_07.xlsx"/>
    <s v="CLI-01387"/>
    <x v="11"/>
    <s v="ANT-0142"/>
    <s v="4G"/>
    <x v="2"/>
    <s v="Résolu"/>
    <n v="85"/>
    <s v="Pro Monde"/>
    <n v="60"/>
    <d v="1899-12-30T01:00:00"/>
    <n v="26.3"/>
    <x v="3"/>
  </r>
  <r>
    <s v="Clients_Churn_Part_07.xlsx"/>
    <s v="CLI-00388"/>
    <x v="3"/>
    <s v="ANT-0371"/>
    <s v="4G"/>
    <x v="2"/>
    <s v="Résolu"/>
    <n v="78"/>
    <s v="Premium 5G 150Go"/>
    <n v="263"/>
    <d v="1899-12-30T04:23:00"/>
    <n v="53.58"/>
    <x v="4"/>
  </r>
  <r>
    <s v="Clients_Churn_Part_07.xlsx"/>
    <s v="CLI-00857"/>
    <x v="3"/>
    <s v="ANT-0371"/>
    <s v="4G"/>
    <x v="2"/>
    <s v="Résolu"/>
    <n v="76"/>
    <s v="Illimité 50Go"/>
    <n v="332"/>
    <d v="1899-12-30T05:32:00"/>
    <n v="68.010000000000005"/>
    <x v="5"/>
  </r>
  <r>
    <s v="Clients_Churn_Part_07.xlsx"/>
    <s v="CLI-00370"/>
    <x v="3"/>
    <s v="ANT-0371"/>
    <s v="4G"/>
    <x v="2"/>
    <s v="Résolu"/>
    <n v="29"/>
    <s v="Bloqué 5Go"/>
    <n v="173"/>
    <d v="1899-12-30T02:53:00"/>
    <n v="49.03"/>
    <x v="0"/>
  </r>
  <r>
    <s v="Clients_Churn_Part_07.xlsx"/>
    <s v="CLI-01938"/>
    <x v="24"/>
    <s v="ANT-0970"/>
    <s v="3G"/>
    <x v="3"/>
    <s v="Résolu"/>
    <n v="14"/>
    <s v="Pro Monde"/>
    <n v="303"/>
    <d v="1899-12-30T05:03:00"/>
    <n v="61.43"/>
    <x v="2"/>
  </r>
  <r>
    <s v="Clients_Churn_Part_07.xlsx"/>
    <s v="CLI-01623"/>
    <x v="2"/>
    <s v="ANT-0829"/>
    <s v="5G"/>
    <x v="3"/>
    <s v="Résolu"/>
    <n v="51"/>
    <s v="Premium 5G 150Go"/>
    <n v="222"/>
    <d v="1899-12-30T03:42:00"/>
    <n v="18.95"/>
    <x v="5"/>
  </r>
  <r>
    <s v="Clients_Churn_Part_07.xlsx"/>
    <s v="CLI-00299"/>
    <x v="2"/>
    <s v="ANT-0829"/>
    <s v="5G"/>
    <x v="3"/>
    <s v="Résolu"/>
    <n v="2"/>
    <s v="Pro Monde"/>
    <n v="496"/>
    <d v="1899-12-30T08:16:00"/>
    <n v="15.71"/>
    <x v="0"/>
  </r>
  <r>
    <s v="Clients_Churn_Part_07.xlsx"/>
    <s v="CLI-00059"/>
    <x v="5"/>
    <s v="ANT-0523"/>
    <s v="3G"/>
    <x v="3"/>
    <s v="Résolu"/>
    <n v="69"/>
    <s v="Pro Monde"/>
    <n v="76"/>
    <d v="1899-12-30T01:16:00"/>
    <n v="91.8"/>
    <x v="4"/>
  </r>
  <r>
    <s v="Clients_Churn_Part_07.xlsx"/>
    <s v="CLI-00595"/>
    <x v="16"/>
    <s v="ANT-0870"/>
    <s v="4G"/>
    <x v="2"/>
    <s v="Non Résolu"/>
    <n v="110"/>
    <s v="Premium 5G 150Go"/>
    <n v="321"/>
    <d v="1899-12-30T05:21:00"/>
    <n v="81.569999999999993"/>
    <x v="3"/>
  </r>
  <r>
    <s v="Clients_Churn_Part_07.xlsx"/>
    <s v="CLI-01729"/>
    <x v="0"/>
    <s v="ANT-0804"/>
    <s v="3G"/>
    <x v="3"/>
    <s v="Résolu"/>
    <n v="59"/>
    <s v="Pro Monde"/>
    <n v="369"/>
    <d v="1899-12-30T06:09:00"/>
    <n v="26.64"/>
    <x v="5"/>
  </r>
  <r>
    <s v="Clients_Churn_Part_07.xlsx"/>
    <s v="CLI-01844"/>
    <x v="5"/>
    <s v="ANT-0523"/>
    <s v="3G"/>
    <x v="3"/>
    <s v="Résolu"/>
    <n v="41"/>
    <s v="Pro Monde"/>
    <n v="206"/>
    <d v="1899-12-30T03:26:00"/>
    <n v="83.16"/>
    <x v="3"/>
  </r>
  <r>
    <s v="Clients_Churn_Part_07.xlsx"/>
    <s v="CLI-01877"/>
    <x v="15"/>
    <s v="ANT-0872"/>
    <s v="5G"/>
    <x v="1"/>
    <s v="Non Résolu"/>
    <n v="19"/>
    <s v="Bloqué 5Go"/>
    <n v="125"/>
    <d v="1899-12-30T02:05:00"/>
    <n v="11.78"/>
    <x v="5"/>
  </r>
  <r>
    <s v="Clients_Churn_Part_07.xlsx"/>
    <s v="CLI-00924"/>
    <x v="15"/>
    <s v="ANT-0872"/>
    <s v="5G"/>
    <x v="1"/>
    <s v="Non Résolu"/>
    <n v="105"/>
    <s v="Premium 5G 150Go"/>
    <n v="17"/>
    <d v="1899-12-30T00:17:00"/>
    <n v="60.05"/>
    <x v="5"/>
  </r>
  <r>
    <s v="Clients_Churn_Part_07.xlsx"/>
    <s v="CLI-00509"/>
    <x v="19"/>
    <s v="ANT-0032"/>
    <s v="3G"/>
    <x v="2"/>
    <s v="Non Résolu"/>
    <n v="38"/>
    <s v="Premium 5G 150Go"/>
    <n v="60"/>
    <d v="1899-12-30T01:00:00"/>
    <n v="58.28"/>
    <x v="5"/>
  </r>
  <r>
    <s v="Clients_Churn_Part_07.xlsx"/>
    <s v="CLI-00758"/>
    <x v="14"/>
    <s v="ANT-0458"/>
    <s v="3G"/>
    <x v="2"/>
    <s v="Non Résolu"/>
    <n v="108"/>
    <s v="Illimité 50Go"/>
    <n v="123"/>
    <d v="1899-12-30T02:03:00"/>
    <n v="83.1"/>
    <x v="2"/>
  </r>
  <r>
    <s v="Clients_Churn_Part_07.xlsx"/>
    <s v="CLI-01194"/>
    <x v="10"/>
    <s v="ANT-0205"/>
    <s v="4G"/>
    <x v="2"/>
    <s v="Non Résolu"/>
    <n v="29"/>
    <s v="Pro Monde"/>
    <n v="203"/>
    <d v="1899-12-30T03:23:00"/>
    <n v="53.97"/>
    <x v="4"/>
  </r>
  <r>
    <s v="Clients_Churn_Part_07.xlsx"/>
    <s v="CLI-01402"/>
    <x v="12"/>
    <s v="ANT-0630"/>
    <s v="5G"/>
    <x v="0"/>
    <s v="Non Résolu"/>
    <n v="64"/>
    <s v="Bloqué 5Go"/>
    <n v="250"/>
    <d v="1899-12-30T04:10:00"/>
    <n v="56.7"/>
    <x v="1"/>
  </r>
  <r>
    <s v="Clients_Churn_Part_07.xlsx"/>
    <s v="CLI-01736"/>
    <x v="14"/>
    <s v="ANT-0458"/>
    <s v="3G"/>
    <x v="2"/>
    <s v="En Cours"/>
    <n v="88"/>
    <s v="Illimité 50Go"/>
    <n v="154"/>
    <d v="1899-12-30T02:34:00"/>
    <n v="62.62"/>
    <x v="4"/>
  </r>
  <r>
    <s v="Clients_Churn_Part_07.xlsx"/>
    <s v="CLI-00939"/>
    <x v="12"/>
    <s v="ANT-0630"/>
    <s v="5G"/>
    <x v="0"/>
    <s v="Non Résolu"/>
    <n v="59"/>
    <s v="Premium 5G 150Go"/>
    <n v="352"/>
    <d v="1899-12-30T05:52:00"/>
    <n v="74.239999999999995"/>
    <x v="1"/>
  </r>
  <r>
    <s v="Clients_Churn_Part_07.xlsx"/>
    <s v="CLI-00176"/>
    <x v="21"/>
    <s v="ANT-0079"/>
    <s v="5G"/>
    <x v="0"/>
    <s v="Non Résolu"/>
    <n v="19"/>
    <s v="Bloqué 5Go"/>
    <n v="305"/>
    <d v="1899-12-30T05:05:00"/>
    <n v="81.11"/>
    <x v="2"/>
  </r>
  <r>
    <s v="Clients_Churn_Part_07.xlsx"/>
    <s v="CLI-00022"/>
    <x v="3"/>
    <s v="ANT-0695"/>
    <s v="4G"/>
    <x v="2"/>
    <s v="Résolu"/>
    <n v="77"/>
    <s v="Premium 5G 150Go"/>
    <n v="488"/>
    <d v="1899-12-30T08:08:00"/>
    <n v="21.17"/>
    <x v="1"/>
  </r>
  <r>
    <s v="Clients_Churn_Part_07.xlsx"/>
    <s v="CLI-00961"/>
    <x v="22"/>
    <s v="ANT-0649"/>
    <s v="3G"/>
    <x v="1"/>
    <s v="En Cours"/>
    <n v="37"/>
    <s v="Pro Monde"/>
    <n v="88"/>
    <d v="1899-12-30T01:28:00"/>
    <n v="77.77"/>
    <x v="2"/>
  </r>
  <r>
    <s v="Clients_Churn_Part_07.xlsx"/>
    <s v="CLI-00273"/>
    <x v="9"/>
    <s v="ANT-0735"/>
    <s v="4G"/>
    <x v="2"/>
    <s v="Résolu"/>
    <n v="19"/>
    <s v="Illimité 50Go"/>
    <n v="334"/>
    <d v="1899-12-30T05:34:00"/>
    <n v="96.91"/>
    <x v="2"/>
  </r>
  <r>
    <s v="Clients_Churn_Part_07.xlsx"/>
    <s v="CLI-00663"/>
    <x v="3"/>
    <s v="ANT-0695"/>
    <s v="4G"/>
    <x v="2"/>
    <s v="Résolu"/>
    <n v="96"/>
    <s v="Illimité 50Go"/>
    <n v="381"/>
    <d v="1899-12-30T06:21:00"/>
    <n v="90.78"/>
    <x v="3"/>
  </r>
  <r>
    <s v="Clients_Churn_Part_07.xlsx"/>
    <s v="CLI-01420"/>
    <x v="14"/>
    <s v="ANT-0458"/>
    <s v="3G"/>
    <x v="1"/>
    <s v="En Cours"/>
    <n v="86"/>
    <s v="Pro Monde"/>
    <n v="192"/>
    <d v="1899-12-30T03:12:00"/>
    <n v="26.26"/>
    <x v="2"/>
  </r>
  <r>
    <s v="Clients_Churn_Part_07.xlsx"/>
    <s v="CLI-00815"/>
    <x v="22"/>
    <s v="ANT-0649"/>
    <s v="3G"/>
    <x v="1"/>
    <s v="En Cours"/>
    <n v="109"/>
    <s v="Pro Monde"/>
    <n v="397"/>
    <d v="1899-12-30T06:37:00"/>
    <n v="63.92"/>
    <x v="2"/>
  </r>
  <r>
    <s v="Clients_Churn_Part_07.xlsx"/>
    <s v="CLI-01407"/>
    <x v="4"/>
    <s v="ANT-0257"/>
    <s v="3G"/>
    <x v="1"/>
    <s v="En Cours"/>
    <n v="103"/>
    <s v="Premium 5G 150Go"/>
    <n v="354"/>
    <d v="1899-12-30T05:54:00"/>
    <n v="26.19"/>
    <x v="5"/>
  </r>
  <r>
    <s v="Clients_Churn_Part_07.xlsx"/>
    <s v="CLI-00435"/>
    <x v="13"/>
    <s v="ANT-0236"/>
    <s v="3G"/>
    <x v="1"/>
    <s v="En Cours"/>
    <n v="106"/>
    <s v="Illimité 50Go"/>
    <n v="407"/>
    <d v="1899-12-30T06:47:00"/>
    <n v="59.92"/>
    <x v="5"/>
  </r>
  <r>
    <s v="Clients_Churn_Part_07.xlsx"/>
    <s v="CLI-01461"/>
    <x v="21"/>
    <s v="ANT-0079"/>
    <s v="5G"/>
    <x v="1"/>
    <s v="En Cours"/>
    <n v="90"/>
    <s v="Illimité 50Go"/>
    <n v="343"/>
    <d v="1899-12-30T05:43:00"/>
    <n v="82.05"/>
    <x v="2"/>
  </r>
  <r>
    <s v="Clients_Churn_Part_07.xlsx"/>
    <s v="CLI-00786"/>
    <x v="24"/>
    <s v="ANT-0970"/>
    <s v="3G"/>
    <x v="1"/>
    <s v="En Cours"/>
    <n v="5"/>
    <s v="Illimité 50Go"/>
    <n v="337"/>
    <d v="1899-12-30T05:37:00"/>
    <n v="21.07"/>
    <x v="5"/>
  </r>
  <r>
    <s v="Clients_Churn_Part_07.xlsx"/>
    <s v="CLI-01451"/>
    <x v="22"/>
    <s v="ANT-0649"/>
    <s v="3G"/>
    <x v="1"/>
    <s v="En Cours"/>
    <n v="77"/>
    <s v="Illimité 50Go"/>
    <n v="45"/>
    <d v="1899-12-30T00:45:00"/>
    <n v="21.59"/>
    <x v="3"/>
  </r>
  <r>
    <s v="Clients_Churn_Part_07.xlsx"/>
    <s v="CLI-01917"/>
    <x v="3"/>
    <s v="ANT-0695"/>
    <s v="4G"/>
    <x v="2"/>
    <s v="Résolu"/>
    <n v="41"/>
    <s v="Bloqué 5Go"/>
    <n v="398"/>
    <d v="1899-12-30T06:38:00"/>
    <n v="28.56"/>
    <x v="3"/>
  </r>
  <r>
    <s v="Clients_Churn_Part_07.xlsx"/>
    <s v="CLI-01508"/>
    <x v="18"/>
    <s v="ANT-0362"/>
    <s v="3G"/>
    <x v="3"/>
    <s v="Résolu"/>
    <n v="40"/>
    <s v="Premium 5G 150Go"/>
    <n v="237"/>
    <d v="1899-12-30T03:57:00"/>
    <n v="24.51"/>
    <x v="2"/>
  </r>
  <r>
    <s v="Clients_Churn_Part_07.xlsx"/>
    <s v="CLI-01224"/>
    <x v="10"/>
    <s v="ANT-0205"/>
    <s v="4G"/>
    <x v="2"/>
    <s v="Résolu"/>
    <n v="65"/>
    <s v="Bloqué 5Go"/>
    <n v="442"/>
    <d v="1899-12-30T07:22:00"/>
    <n v="60.62"/>
    <x v="4"/>
  </r>
  <r>
    <s v="Clients_Churn_Part_07.xlsx"/>
    <s v="CLI-00525"/>
    <x v="17"/>
    <s v="ANT-0481"/>
    <s v="5G"/>
    <x v="0"/>
    <s v="En Cours"/>
    <n v="89"/>
    <s v="Illimité 50Go"/>
    <n v="418"/>
    <d v="1899-12-30T06:58:00"/>
    <n v="86.63"/>
    <x v="5"/>
  </r>
  <r>
    <s v="Clients_Churn_Part_08.xlsx"/>
    <s v="CLI-00150"/>
    <x v="19"/>
    <s v="ANT-0032"/>
    <s v="3G"/>
    <x v="2"/>
    <s v="Résolu"/>
    <n v="12"/>
    <s v="Pro Monde"/>
    <n v="125"/>
    <d v="1899-12-30T02:05:00"/>
    <n v="36.93"/>
    <x v="1"/>
  </r>
  <r>
    <s v="Clients_Churn_Part_08.xlsx"/>
    <s v="CLI-00196"/>
    <x v="24"/>
    <s v="ANT-0970"/>
    <s v="3G"/>
    <x v="2"/>
    <s v="Résolu"/>
    <n v="47"/>
    <s v="Pro Monde"/>
    <n v="378"/>
    <d v="1899-12-30T06:18:00"/>
    <n v="36.42"/>
    <x v="2"/>
  </r>
  <r>
    <s v="Clients_Churn_Part_08.xlsx"/>
    <s v="CLI-01141"/>
    <x v="2"/>
    <s v="ANT-0837"/>
    <s v="5G"/>
    <x v="2"/>
    <s v="En Cours"/>
    <n v="117"/>
    <s v="Illimité 50Go"/>
    <n v="338"/>
    <d v="1899-12-30T05:38:00"/>
    <n v="29.18"/>
    <x v="4"/>
  </r>
  <r>
    <s v="Clients_Churn_Part_08.xlsx"/>
    <s v="CLI-00121"/>
    <x v="7"/>
    <s v="ANT-0788"/>
    <s v="4G"/>
    <x v="2"/>
    <s v="En Cours"/>
    <n v="43"/>
    <s v="Premium 5G 150Go"/>
    <n v="486"/>
    <d v="1899-12-30T08:06:00"/>
    <n v="76.42"/>
    <x v="2"/>
  </r>
  <r>
    <s v="Clients_Churn_Part_08.xlsx"/>
    <s v="CLI-01794"/>
    <x v="24"/>
    <s v="ANT-0970"/>
    <s v="3G"/>
    <x v="2"/>
    <s v="En Cours"/>
    <n v="100"/>
    <s v="Bloqué 5Go"/>
    <n v="471"/>
    <d v="1899-12-30T07:51:00"/>
    <n v="61.2"/>
    <x v="0"/>
  </r>
  <r>
    <s v="Clients_Churn_Part_08.xlsx"/>
    <s v="CLI-01818"/>
    <x v="23"/>
    <s v="ANT-0797"/>
    <s v="4G"/>
    <x v="2"/>
    <s v="En Cours"/>
    <n v="35"/>
    <s v="Illimité 50Go"/>
    <n v="421"/>
    <d v="1899-12-30T07:01:00"/>
    <n v="29.57"/>
    <x v="4"/>
  </r>
  <r>
    <s v="Clients_Churn_Part_08.xlsx"/>
    <s v="CLI-00481"/>
    <x v="12"/>
    <s v="ANT-0630"/>
    <s v="5G"/>
    <x v="2"/>
    <s v="En Cours"/>
    <n v="19"/>
    <s v="Illimité 50Go"/>
    <n v="450"/>
    <d v="1899-12-30T07:30:00"/>
    <n v="37.43"/>
    <x v="3"/>
  </r>
  <r>
    <s v="Clients_Churn_Part_08.xlsx"/>
    <s v="CLI-01822"/>
    <x v="19"/>
    <s v="ANT-0032"/>
    <s v="3G"/>
    <x v="1"/>
    <s v="En Cours"/>
    <n v="112"/>
    <s v="Illimité 50Go"/>
    <n v="483"/>
    <d v="1899-12-30T08:03:00"/>
    <n v="93.98"/>
    <x v="1"/>
  </r>
  <r>
    <s v="Clients_Churn_Part_08.xlsx"/>
    <s v="CLI-00726"/>
    <x v="1"/>
    <s v="ANT-0417"/>
    <s v="5G"/>
    <x v="2"/>
    <s v="En Cours"/>
    <n v="103"/>
    <s v="Pro Monde"/>
    <n v="270"/>
    <d v="1899-12-30T04:30:00"/>
    <n v="67.87"/>
    <x v="0"/>
  </r>
  <r>
    <s v="Clients_Churn_Part_08.xlsx"/>
    <s v="CLI-01242"/>
    <x v="0"/>
    <s v="ANT-0821"/>
    <s v="5G"/>
    <x v="2"/>
    <s v="En Cours"/>
    <n v="29"/>
    <s v="Premium 5G 150Go"/>
    <n v="350"/>
    <d v="1899-12-30T05:50:00"/>
    <n v="84.32"/>
    <x v="0"/>
  </r>
  <r>
    <s v="Clients_Churn_Part_08.xlsx"/>
    <s v="CLI-01374"/>
    <x v="11"/>
    <s v="ANT-0142"/>
    <s v="4G"/>
    <x v="3"/>
    <s v="En Cours"/>
    <n v="36"/>
    <s v="Bloqué 5Go"/>
    <n v="311"/>
    <d v="1899-12-30T05:11:00"/>
    <n v="13.19"/>
    <x v="5"/>
  </r>
  <r>
    <s v="Clients_Churn_Part_08.xlsx"/>
    <s v="CLI-01226"/>
    <x v="13"/>
    <s v="ANT-0236"/>
    <s v="3G"/>
    <x v="1"/>
    <s v="En Cours"/>
    <n v="2"/>
    <s v="Premium 5G 150Go"/>
    <n v="21"/>
    <d v="1899-12-30T00:21:00"/>
    <n v="51.68"/>
    <x v="0"/>
  </r>
  <r>
    <s v="Clients_Churn_Part_08.xlsx"/>
    <s v="CLI-01454"/>
    <x v="16"/>
    <s v="ANT-0870"/>
    <s v="4G"/>
    <x v="2"/>
    <s v="En Cours"/>
    <n v="13"/>
    <s v="Illimité 50Go"/>
    <n v="310"/>
    <d v="1899-12-30T05:10:00"/>
    <n v="65.599999999999994"/>
    <x v="4"/>
  </r>
  <r>
    <s v="Clients_Churn_Part_08.xlsx"/>
    <s v="CLI-01920"/>
    <x v="9"/>
    <s v="ANT-0735"/>
    <s v="4G"/>
    <x v="1"/>
    <s v="En Cours"/>
    <n v="49"/>
    <s v="Pro Monde"/>
    <n v="229"/>
    <d v="1899-12-30T03:49:00"/>
    <n v="53.94"/>
    <x v="4"/>
  </r>
  <r>
    <s v="Clients_Churn_Part_08.xlsx"/>
    <s v="CLI-00094"/>
    <x v="12"/>
    <s v="ANT-0630"/>
    <s v="5G"/>
    <x v="1"/>
    <s v="En Cours"/>
    <n v="29"/>
    <s v="Pro Monde"/>
    <n v="493"/>
    <d v="1899-12-30T08:13:00"/>
    <n v="42.02"/>
    <x v="2"/>
  </r>
  <r>
    <s v="Clients_Churn_Part_08.xlsx"/>
    <s v="CLI-00011"/>
    <x v="2"/>
    <s v="ANT-0837"/>
    <s v="5G"/>
    <x v="1"/>
    <s v="Résolu"/>
    <n v="49"/>
    <s v="Illimité 50Go"/>
    <n v="86"/>
    <d v="1899-12-30T01:26:00"/>
    <n v="65.400000000000006"/>
    <x v="3"/>
  </r>
  <r>
    <s v="Clients_Churn_Part_08.xlsx"/>
    <s v="CLI-00520"/>
    <x v="3"/>
    <s v="ANT-0957"/>
    <s v="4G"/>
    <x v="0"/>
    <s v="Résolu"/>
    <n v="14"/>
    <s v="Pro Monde"/>
    <n v="345"/>
    <d v="1899-12-30T05:45:00"/>
    <n v="39.57"/>
    <x v="0"/>
  </r>
  <r>
    <s v="Clients_Churn_Part_08.xlsx"/>
    <s v="CLI-01034"/>
    <x v="19"/>
    <s v="ANT-0032"/>
    <s v="3G"/>
    <x v="1"/>
    <s v="Résolu"/>
    <n v="101"/>
    <s v="Premium 5G 150Go"/>
    <n v="476"/>
    <d v="1899-12-30T07:56:00"/>
    <n v="41.85"/>
    <x v="5"/>
  </r>
  <r>
    <s v="Clients_Churn_Part_08.xlsx"/>
    <s v="CLI-01270"/>
    <x v="2"/>
    <s v="ANT-0837"/>
    <s v="5G"/>
    <x v="1"/>
    <s v="Résolu"/>
    <n v="119"/>
    <s v="Pro Monde"/>
    <n v="451"/>
    <d v="1899-12-30T07:31:00"/>
    <n v="10.46"/>
    <x v="4"/>
  </r>
  <r>
    <s v="Clients_Churn_Part_08.xlsx"/>
    <s v="CLI-00781"/>
    <x v="11"/>
    <s v="ANT-0142"/>
    <s v="4G"/>
    <x v="3"/>
    <s v="Résolu"/>
    <n v="16"/>
    <s v="Premium 5G 150Go"/>
    <n v="391"/>
    <d v="1899-12-30T06:31:00"/>
    <n v="90.12"/>
    <x v="4"/>
  </r>
  <r>
    <s v="Clients_Churn_Part_08.xlsx"/>
    <s v="CLI-00620"/>
    <x v="2"/>
    <s v="ANT-0054"/>
    <s v="3G"/>
    <x v="1"/>
    <s v="Non Résolu"/>
    <n v="23"/>
    <s v="Premium 5G 150Go"/>
    <n v="268"/>
    <d v="1899-12-30T04:28:00"/>
    <n v="26.75"/>
    <x v="0"/>
  </r>
  <r>
    <s v="Clients_Churn_Part_08.xlsx"/>
    <s v="CLI-00809"/>
    <x v="9"/>
    <s v="ANT-0735"/>
    <s v="4G"/>
    <x v="0"/>
    <s v="En Cours"/>
    <n v="68"/>
    <s v="Pro Monde"/>
    <n v="462"/>
    <d v="1899-12-30T07:42:00"/>
    <n v="41.91"/>
    <x v="2"/>
  </r>
  <r>
    <s v="Clients_Churn_Part_08.xlsx"/>
    <s v="CLI-01375"/>
    <x v="11"/>
    <s v="ANT-0142"/>
    <s v="4G"/>
    <x v="0"/>
    <s v="En Cours"/>
    <n v="94"/>
    <s v="Illimité 50Go"/>
    <n v="115"/>
    <d v="1899-12-30T01:55:00"/>
    <n v="19.12"/>
    <x v="1"/>
  </r>
  <r>
    <s v="Clients_Churn_Part_08.xlsx"/>
    <s v="CLI-00760"/>
    <x v="4"/>
    <s v="ANT-0257"/>
    <s v="3G"/>
    <x v="0"/>
    <s v="En Cours"/>
    <n v="113"/>
    <s v="Premium 5G 150Go"/>
    <n v="89"/>
    <d v="1899-12-30T01:29:00"/>
    <n v="54.28"/>
    <x v="1"/>
  </r>
  <r>
    <s v="Clients_Churn_Part_08.xlsx"/>
    <s v="CLI-00271"/>
    <x v="22"/>
    <s v="ANT-0662"/>
    <s v="4G"/>
    <x v="0"/>
    <s v="Résolu"/>
    <n v="40"/>
    <s v="Bloqué 5Go"/>
    <n v="38"/>
    <d v="1899-12-30T00:38:00"/>
    <n v="17.63"/>
    <x v="1"/>
  </r>
  <r>
    <s v="Clients_Churn_Part_08.xlsx"/>
    <s v="CLI-01146"/>
    <x v="1"/>
    <s v="ANT-0417"/>
    <s v="5G"/>
    <x v="1"/>
    <s v="Résolu"/>
    <n v="76"/>
    <s v="Premium 5G 150Go"/>
    <n v="187"/>
    <d v="1899-12-30T03:07:00"/>
    <n v="56.29"/>
    <x v="2"/>
  </r>
  <r>
    <s v="Clients_Churn_Part_08.xlsx"/>
    <s v="CLI-00085"/>
    <x v="2"/>
    <s v="ANT-0054"/>
    <s v="3G"/>
    <x v="1"/>
    <s v="Résolu"/>
    <n v="106"/>
    <s v="Pro Monde"/>
    <n v="429"/>
    <d v="1899-12-30T07:09:00"/>
    <n v="23.83"/>
    <x v="2"/>
  </r>
  <r>
    <s v="Clients_Churn_Part_08.xlsx"/>
    <s v="CLI-01940"/>
    <x v="20"/>
    <s v="ANT-0526"/>
    <s v="4G"/>
    <x v="0"/>
    <s v="En Cours"/>
    <n v="104"/>
    <s v="Premium 5G 150Go"/>
    <n v="68"/>
    <d v="1899-12-30T01:08:00"/>
    <n v="21.15"/>
    <x v="3"/>
  </r>
  <r>
    <s v="Clients_Churn_Part_08.xlsx"/>
    <s v="CLI-00368"/>
    <x v="8"/>
    <s v="ANT-0416"/>
    <s v="3G"/>
    <x v="1"/>
    <s v="Résolu"/>
    <n v="63"/>
    <s v="Bloqué 5Go"/>
    <n v="263"/>
    <d v="1899-12-30T04:23:00"/>
    <n v="53.87"/>
    <x v="5"/>
  </r>
  <r>
    <s v="Clients_Churn_Part_08.xlsx"/>
    <s v="CLI-01880"/>
    <x v="7"/>
    <s v="ANT-0811"/>
    <s v="5G"/>
    <x v="1"/>
    <s v="Résolu"/>
    <n v="13"/>
    <s v="Bloqué 5Go"/>
    <n v="180"/>
    <d v="1899-12-30T03:00:00"/>
    <n v="24.01"/>
    <x v="1"/>
  </r>
  <r>
    <s v="Clients_Churn_Part_08.xlsx"/>
    <s v="CLI-00348"/>
    <x v="0"/>
    <s v="ANT-0934"/>
    <s v="5G"/>
    <x v="1"/>
    <s v="Résolu"/>
    <n v="68"/>
    <s v="Bloqué 5Go"/>
    <n v="487"/>
    <d v="1899-12-30T08:07:00"/>
    <n v="69.099999999999994"/>
    <x v="4"/>
  </r>
  <r>
    <s v="Clients_Churn_Part_08.xlsx"/>
    <s v="CLI-01032"/>
    <x v="13"/>
    <s v="ANT-0236"/>
    <s v="3G"/>
    <x v="1"/>
    <s v="Résolu"/>
    <n v="45"/>
    <s v="Illimité 50Go"/>
    <n v="26"/>
    <d v="1899-12-30T00:26:00"/>
    <n v="30.35"/>
    <x v="2"/>
  </r>
  <r>
    <s v="Clients_Churn_Part_08.xlsx"/>
    <s v="CLI-01010"/>
    <x v="21"/>
    <s v="ANT-0986"/>
    <s v="4G"/>
    <x v="0"/>
    <s v="En Cours"/>
    <n v="90"/>
    <s v="Bloqué 5Go"/>
    <n v="216"/>
    <d v="1899-12-30T03:36:00"/>
    <n v="45.58"/>
    <x v="1"/>
  </r>
  <r>
    <s v="Clients_Churn_Part_08.xlsx"/>
    <s v="CLI-00695"/>
    <x v="5"/>
    <s v="ANT-0790"/>
    <s v="5G"/>
    <x v="1"/>
    <s v="Résolu"/>
    <n v="74"/>
    <s v="Illimité 50Go"/>
    <n v="253"/>
    <d v="1899-12-30T04:13:00"/>
    <n v="36.94"/>
    <x v="4"/>
  </r>
  <r>
    <s v="Clients_Churn_Part_08.xlsx"/>
    <s v="CLI-00959"/>
    <x v="0"/>
    <s v="ANT-0934"/>
    <s v="5G"/>
    <x v="1"/>
    <s v="Résolu"/>
    <n v="111"/>
    <s v="Bloqué 5Go"/>
    <n v="194"/>
    <d v="1899-12-30T03:14:00"/>
    <n v="48.55"/>
    <x v="3"/>
  </r>
  <r>
    <s v="Clients_Churn_Part_08.xlsx"/>
    <s v="CLI-01626"/>
    <x v="24"/>
    <s v="ANT-0044"/>
    <s v="3G"/>
    <x v="1"/>
    <s v="Résolu"/>
    <n v="37"/>
    <s v="Bloqué 5Go"/>
    <n v="87"/>
    <d v="1899-12-30T01:27:00"/>
    <n v="26.4"/>
    <x v="0"/>
  </r>
  <r>
    <s v="Clients_Churn_Part_08.xlsx"/>
    <s v="CLI-00184"/>
    <x v="18"/>
    <s v="ANT-0362"/>
    <s v="3G"/>
    <x v="1"/>
    <s v="Résolu"/>
    <n v="71"/>
    <s v="Premium 5G 150Go"/>
    <n v="191"/>
    <d v="1899-12-30T03:11:00"/>
    <n v="83.04"/>
    <x v="5"/>
  </r>
  <r>
    <s v="Clients_Churn_Part_08.xlsx"/>
    <s v="CLI-01836"/>
    <x v="8"/>
    <s v="ANT-0416"/>
    <s v="3G"/>
    <x v="1"/>
    <s v="Résolu"/>
    <n v="35"/>
    <s v="Pro Monde"/>
    <n v="496"/>
    <d v="1899-12-30T08:16:00"/>
    <n v="19.78"/>
    <x v="4"/>
  </r>
  <r>
    <s v="Clients_Churn_Part_08.xlsx"/>
    <s v="CLI-01455"/>
    <x v="15"/>
    <s v="ANT-0298"/>
    <s v="3G"/>
    <x v="1"/>
    <s v="Résolu"/>
    <n v="78"/>
    <s v="Bloqué 5Go"/>
    <n v="57"/>
    <d v="1899-12-30T00:57:00"/>
    <n v="49.47"/>
    <x v="1"/>
  </r>
  <r>
    <s v="Clients_Churn_Part_08.xlsx"/>
    <s v="CLI-01087"/>
    <x v="12"/>
    <s v="ANT-0630"/>
    <s v="5G"/>
    <x v="1"/>
    <s v="Résolu"/>
    <n v="13"/>
    <s v="Pro Monde"/>
    <n v="173"/>
    <d v="1899-12-30T02:53:00"/>
    <n v="85.54"/>
    <x v="0"/>
  </r>
  <r>
    <s v="Clients_Churn_Part_08.xlsx"/>
    <s v="CLI-00887"/>
    <x v="19"/>
    <s v="ANT-0032"/>
    <s v="3G"/>
    <x v="1"/>
    <s v="Résolu"/>
    <n v="115"/>
    <s v="Illimité 50Go"/>
    <n v="467"/>
    <d v="1899-12-30T07:47:00"/>
    <n v="24.57"/>
    <x v="0"/>
  </r>
  <r>
    <s v="Clients_Churn_Part_08.xlsx"/>
    <s v="CLI-00291"/>
    <x v="14"/>
    <s v="ANT-0458"/>
    <s v="3G"/>
    <x v="2"/>
    <s v="En Cours"/>
    <n v="7"/>
    <s v="Pro Monde"/>
    <n v="347"/>
    <d v="1899-12-30T05:47:00"/>
    <n v="41.84"/>
    <x v="3"/>
  </r>
  <r>
    <s v="Clients_Churn_Part_08.xlsx"/>
    <s v="CLI-01788"/>
    <x v="16"/>
    <s v="ANT-0870"/>
    <s v="4G"/>
    <x v="3"/>
    <s v="Résolu"/>
    <n v="22"/>
    <s v="Pro Monde"/>
    <n v="127"/>
    <d v="1899-12-30T02:07:00"/>
    <n v="49.06"/>
    <x v="3"/>
  </r>
  <r>
    <s v="Clients_Churn_Part_08.xlsx"/>
    <s v="CLI-00240"/>
    <x v="14"/>
    <s v="ANT-0458"/>
    <s v="3G"/>
    <x v="2"/>
    <s v="En Cours"/>
    <n v="41"/>
    <s v="Bloqué 5Go"/>
    <n v="425"/>
    <d v="1899-12-30T07:05:00"/>
    <n v="42.33"/>
    <x v="0"/>
  </r>
  <r>
    <s v="Clients_Churn_Part_08.xlsx"/>
    <s v="CLI-01927"/>
    <x v="1"/>
    <s v="ANT-0417"/>
    <s v="5G"/>
    <x v="1"/>
    <s v="Résolu"/>
    <n v="97"/>
    <s v="Pro Monde"/>
    <n v="276"/>
    <d v="1899-12-30T04:36:00"/>
    <n v="88.35"/>
    <x v="1"/>
  </r>
  <r>
    <s v="Clients_Churn_Part_08.xlsx"/>
    <s v="CLI-00091"/>
    <x v="16"/>
    <s v="ANT-0870"/>
    <s v="4G"/>
    <x v="3"/>
    <s v="Résolu"/>
    <n v="50"/>
    <s v="Bloqué 5Go"/>
    <n v="435"/>
    <d v="1899-12-30T07:15:00"/>
    <n v="27.86"/>
    <x v="0"/>
  </r>
  <r>
    <s v="Clients_Churn_Part_08.xlsx"/>
    <s v="CLI-00262"/>
    <x v="0"/>
    <s v="ANT-0934"/>
    <s v="5G"/>
    <x v="3"/>
    <s v="Résolu"/>
    <n v="24"/>
    <s v="Illimité 50Go"/>
    <n v="392"/>
    <d v="1899-12-30T06:32:00"/>
    <n v="27.06"/>
    <x v="2"/>
  </r>
  <r>
    <s v="Clients_Churn_Part_08.xlsx"/>
    <s v="CLI-01023"/>
    <x v="12"/>
    <s v="ANT-0630"/>
    <s v="5G"/>
    <x v="3"/>
    <s v="Résolu"/>
    <n v="45"/>
    <s v="Bloqué 5Go"/>
    <n v="439"/>
    <d v="1899-12-30T07:19:00"/>
    <n v="13.62"/>
    <x v="5"/>
  </r>
  <r>
    <s v="Clients_Churn_Part_08.xlsx"/>
    <s v="CLI-00576"/>
    <x v="21"/>
    <s v="ANT-0986"/>
    <s v="4G"/>
    <x v="3"/>
    <s v="En Cours"/>
    <n v="104"/>
    <s v="Pro Monde"/>
    <n v="60"/>
    <d v="1899-12-30T01:00:00"/>
    <n v="45.51"/>
    <x v="2"/>
  </r>
  <r>
    <s v="Clients_Churn_Part_08.xlsx"/>
    <s v="CLI-01532"/>
    <x v="2"/>
    <s v="ANT-0054"/>
    <s v="3G"/>
    <x v="2"/>
    <s v="En Cours"/>
    <n v="95"/>
    <s v="Premium 5G 150Go"/>
    <n v="148"/>
    <d v="1899-12-30T02:28:00"/>
    <n v="76.95"/>
    <x v="4"/>
  </r>
  <r>
    <s v="Clients_Churn_Part_09.xlsx"/>
    <s v="CLI-00739"/>
    <x v="14"/>
    <s v="ANT-0952"/>
    <s v="4G"/>
    <x v="3"/>
    <s v="En Cours"/>
    <n v="83"/>
    <s v="Premium 5G 150Go"/>
    <n v="105"/>
    <d v="1899-12-30T01:45:00"/>
    <n v="20.46"/>
    <x v="2"/>
  </r>
  <r>
    <s v="Clients_Churn_Part_09.xlsx"/>
    <s v="CLI-00881"/>
    <x v="19"/>
    <s v="ANT-0032"/>
    <s v="3G"/>
    <x v="2"/>
    <s v="En Cours"/>
    <n v="7"/>
    <s v="Illimité 50Go"/>
    <n v="94"/>
    <d v="1899-12-30T01:34:00"/>
    <n v="68.38"/>
    <x v="0"/>
  </r>
  <r>
    <s v="Clients_Churn_Part_09.xlsx"/>
    <s v="CLI-01687"/>
    <x v="11"/>
    <s v="ANT-0768"/>
    <s v="4G"/>
    <x v="2"/>
    <s v="Résolu"/>
    <n v="39"/>
    <s v="Premium 5G 150Go"/>
    <n v="1"/>
    <d v="1899-12-30T00:01:00"/>
    <n v="66.94"/>
    <x v="4"/>
  </r>
  <r>
    <s v="Clients_Churn_Part_09.xlsx"/>
    <s v="CLI-00540"/>
    <x v="15"/>
    <s v="ANT-0298"/>
    <s v="3G"/>
    <x v="2"/>
    <s v="Résolu"/>
    <n v="15"/>
    <s v="Illimité 50Go"/>
    <n v="81"/>
    <d v="1899-12-30T01:21:00"/>
    <n v="97.5"/>
    <x v="5"/>
  </r>
  <r>
    <s v="Clients_Churn_Part_09.xlsx"/>
    <s v="CLI-01256"/>
    <x v="1"/>
    <s v="ANT-0417"/>
    <s v="5G"/>
    <x v="1"/>
    <s v="Résolu"/>
    <n v="35"/>
    <s v="Pro Monde"/>
    <n v="292"/>
    <d v="1899-12-30T04:52:00"/>
    <n v="39.21"/>
    <x v="2"/>
  </r>
  <r>
    <s v="Clients_Churn_Part_09.xlsx"/>
    <s v="CLI-01560"/>
    <x v="0"/>
    <s v="ANT-0059"/>
    <s v="5G"/>
    <x v="1"/>
    <s v="Résolu"/>
    <n v="47"/>
    <s v="Bloqué 5Go"/>
    <n v="111"/>
    <d v="1899-12-30T01:51:00"/>
    <n v="95.18"/>
    <x v="1"/>
  </r>
  <r>
    <s v="Clients_Churn_Part_09.xlsx"/>
    <s v="CLI-00541"/>
    <x v="9"/>
    <s v="ANT-0735"/>
    <s v="4G"/>
    <x v="2"/>
    <s v="En Cours"/>
    <n v="36"/>
    <s v="Bloqué 5Go"/>
    <n v="303"/>
    <d v="1899-12-30T05:03:00"/>
    <n v="89.56"/>
    <x v="2"/>
  </r>
  <r>
    <s v="Clients_Churn_Part_09.xlsx"/>
    <s v="CLI-01059"/>
    <x v="6"/>
    <s v="ANT-0339"/>
    <s v="5G"/>
    <x v="3"/>
    <s v="En Cours"/>
    <n v="45"/>
    <s v="Illimité 50Go"/>
    <n v="356"/>
    <d v="1899-12-30T05:56:00"/>
    <n v="33.76"/>
    <x v="1"/>
  </r>
  <r>
    <s v="Clients_Churn_Part_09.xlsx"/>
    <s v="CLI-01606"/>
    <x v="11"/>
    <s v="ANT-0768"/>
    <s v="4G"/>
    <x v="2"/>
    <s v="En Cours"/>
    <n v="92"/>
    <s v="Bloqué 5Go"/>
    <n v="4"/>
    <d v="1899-12-30T00:04:00"/>
    <n v="22.03"/>
    <x v="0"/>
  </r>
  <r>
    <s v="Clients_Churn_Part_09.xlsx"/>
    <s v="CLI-00893"/>
    <x v="5"/>
    <s v="ANT-0790"/>
    <s v="5G"/>
    <x v="1"/>
    <s v="Non Résolu"/>
    <n v="54"/>
    <s v="Bloqué 5Go"/>
    <n v="450"/>
    <d v="1899-12-30T07:30:00"/>
    <n v="90.85"/>
    <x v="2"/>
  </r>
  <r>
    <s v="Clients_Churn_Part_09.xlsx"/>
    <s v="CLI-00338"/>
    <x v="5"/>
    <s v="ANT-0790"/>
    <s v="5G"/>
    <x v="1"/>
    <s v="Non Résolu"/>
    <n v="32"/>
    <s v="Illimité 50Go"/>
    <n v="475"/>
    <d v="1899-12-30T07:55:00"/>
    <n v="36.54"/>
    <x v="0"/>
  </r>
  <r>
    <s v="Clients_Churn_Part_09.xlsx"/>
    <s v="CLI-00647"/>
    <x v="14"/>
    <s v="ANT-0952"/>
    <s v="4G"/>
    <x v="2"/>
    <s v="En Cours"/>
    <n v="41"/>
    <s v="Illimité 50Go"/>
    <n v="404"/>
    <d v="1899-12-30T06:44:00"/>
    <n v="98.67"/>
    <x v="4"/>
  </r>
  <r>
    <s v="Clients_Churn_Part_09.xlsx"/>
    <s v="CLI-01821"/>
    <x v="11"/>
    <s v="ANT-0768"/>
    <s v="4G"/>
    <x v="2"/>
    <s v="Résolu"/>
    <n v="115"/>
    <s v="Pro Monde"/>
    <n v="262"/>
    <d v="1899-12-30T04:22:00"/>
    <n v="66.34"/>
    <x v="0"/>
  </r>
  <r>
    <s v="Clients_Churn_Part_09.xlsx"/>
    <s v="CLI-01823"/>
    <x v="3"/>
    <s v="ANT-0695"/>
    <s v="4G"/>
    <x v="2"/>
    <s v="Résolu"/>
    <n v="7"/>
    <s v="Bloqué 5Go"/>
    <n v="233"/>
    <d v="1899-12-30T03:53:00"/>
    <n v="10.94"/>
    <x v="1"/>
  </r>
  <r>
    <s v="Clients_Churn_Part_09.xlsx"/>
    <s v="CLI-01565"/>
    <x v="20"/>
    <s v="ANT-0631"/>
    <s v="3G"/>
    <x v="1"/>
    <s v="En Cours"/>
    <n v="24"/>
    <s v="Bloqué 5Go"/>
    <n v="257"/>
    <d v="1899-12-30T04:17:00"/>
    <n v="41.99"/>
    <x v="4"/>
  </r>
  <r>
    <s v="Clients_Churn_Part_09.xlsx"/>
    <s v="CLI-00310"/>
    <x v="8"/>
    <s v="ANT-0394"/>
    <s v="5G"/>
    <x v="3"/>
    <s v="Non Résolu"/>
    <n v="6"/>
    <s v="Premium 5G 150Go"/>
    <n v="362"/>
    <d v="1899-12-30T06:02:00"/>
    <n v="75.739999999999995"/>
    <x v="5"/>
  </r>
  <r>
    <s v="Clients_Churn_Part_09.xlsx"/>
    <s v="CLI-01139"/>
    <x v="7"/>
    <s v="ANT-0147"/>
    <s v="3G"/>
    <x v="1"/>
    <s v="En Cours"/>
    <n v="1"/>
    <s v="Premium 5G 150Go"/>
    <n v="368"/>
    <d v="1899-12-30T06:08:00"/>
    <n v="35.17"/>
    <x v="2"/>
  </r>
  <r>
    <s v="Clients_Churn_Part_09.xlsx"/>
    <s v="CLI-01959"/>
    <x v="9"/>
    <s v="ANT-0735"/>
    <s v="4G"/>
    <x v="0"/>
    <s v="En Cours"/>
    <n v="7"/>
    <s v="Pro Monde"/>
    <n v="268"/>
    <d v="1899-12-30T04:28:00"/>
    <n v="33.04"/>
    <x v="4"/>
  </r>
  <r>
    <s v="Clients_Churn_Part_09.xlsx"/>
    <s v="CLI-01304"/>
    <x v="22"/>
    <s v="ANT-0662"/>
    <s v="4G"/>
    <x v="0"/>
    <s v="En Cours"/>
    <n v="85"/>
    <s v="Illimité 50Go"/>
    <n v="132"/>
    <d v="1899-12-30T02:12:00"/>
    <n v="11.41"/>
    <x v="1"/>
  </r>
  <r>
    <s v="Clients_Churn_Part_09.xlsx"/>
    <s v="CLI-00902"/>
    <x v="2"/>
    <s v="ANT-0054"/>
    <s v="3G"/>
    <x v="1"/>
    <s v="Non Résolu"/>
    <n v="96"/>
    <s v="Illimité 50Go"/>
    <n v="155"/>
    <d v="1899-12-30T02:35:00"/>
    <n v="69.16"/>
    <x v="5"/>
  </r>
  <r>
    <s v="Clients_Churn_Part_09.xlsx"/>
    <s v="CLI-00109"/>
    <x v="2"/>
    <s v="ANT-0054"/>
    <s v="3G"/>
    <x v="1"/>
    <s v="Non Résolu"/>
    <n v="42"/>
    <s v="Bloqué 5Go"/>
    <n v="436"/>
    <d v="1899-12-30T07:16:00"/>
    <n v="88.12"/>
    <x v="1"/>
  </r>
  <r>
    <s v="Clients_Churn_Part_09.xlsx"/>
    <s v="CLI-00387"/>
    <x v="13"/>
    <s v="ANT-0236"/>
    <s v="3G"/>
    <x v="1"/>
    <s v="Non Résolu"/>
    <n v="28"/>
    <s v="Illimité 50Go"/>
    <n v="112"/>
    <d v="1899-12-30T01:52:00"/>
    <n v="94.51"/>
    <x v="0"/>
  </r>
  <r>
    <s v="Clients_Churn_Part_09.xlsx"/>
    <s v="CLI-00305"/>
    <x v="15"/>
    <s v="ANT-0298"/>
    <s v="3G"/>
    <x v="1"/>
    <s v="Non Résolu"/>
    <n v="37"/>
    <s v="Illimité 50Go"/>
    <n v="151"/>
    <d v="1899-12-30T02:31:00"/>
    <n v="62.49"/>
    <x v="0"/>
  </r>
  <r>
    <s v="Clients_Churn_Part_09.xlsx"/>
    <s v="CLI-01873"/>
    <x v="14"/>
    <s v="ANT-0952"/>
    <s v="4G"/>
    <x v="2"/>
    <s v="Résolu"/>
    <n v="61"/>
    <s v="Pro Monde"/>
    <n v="362"/>
    <d v="1899-12-30T06:02:00"/>
    <n v="75.03"/>
    <x v="1"/>
  </r>
  <r>
    <s v="Clients_Churn_Part_09.xlsx"/>
    <s v="CLI-00471"/>
    <x v="13"/>
    <s v="ANT-0236"/>
    <s v="3G"/>
    <x v="1"/>
    <s v="Non Résolu"/>
    <n v="36"/>
    <s v="Premium 5G 150Go"/>
    <n v="137"/>
    <d v="1899-12-30T02:17:00"/>
    <n v="71.930000000000007"/>
    <x v="1"/>
  </r>
  <r>
    <s v="Clients_Churn_Part_09.xlsx"/>
    <s v="CLI-00376"/>
    <x v="24"/>
    <s v="ANT-0239"/>
    <s v="5G"/>
    <x v="3"/>
    <s v="En Cours"/>
    <n v="117"/>
    <s v="Premium 5G 150Go"/>
    <n v="282"/>
    <d v="1899-12-30T04:42:00"/>
    <n v="95.11"/>
    <x v="1"/>
  </r>
  <r>
    <s v="Clients_Churn_Part_09.xlsx"/>
    <s v="CLI-00074"/>
    <x v="17"/>
    <s v="ANT-0093"/>
    <s v="4G"/>
    <x v="2"/>
    <s v="Résolu"/>
    <n v="78"/>
    <s v="Premium 5G 150Go"/>
    <n v="60"/>
    <d v="1899-12-30T01:00:00"/>
    <n v="33.159999999999997"/>
    <x v="4"/>
  </r>
  <r>
    <s v="Clients_Churn_Part_09.xlsx"/>
    <s v="CLI-00964"/>
    <x v="19"/>
    <s v="ANT-0484"/>
    <s v="4G"/>
    <x v="2"/>
    <s v="Résolu"/>
    <n v="13"/>
    <s v="Pro Monde"/>
    <n v="87"/>
    <d v="1899-12-30T01:27:00"/>
    <n v="66.36"/>
    <x v="1"/>
  </r>
  <r>
    <s v="Clients_Churn_Part_09.xlsx"/>
    <s v="CLI-01721"/>
    <x v="9"/>
    <s v="ANT-0735"/>
    <s v="4G"/>
    <x v="2"/>
    <s v="Résolu"/>
    <n v="56"/>
    <s v="Bloqué 5Go"/>
    <n v="114"/>
    <d v="1899-12-30T01:54:00"/>
    <n v="64.39"/>
    <x v="2"/>
  </r>
  <r>
    <s v="Clients_Churn_Part_09.xlsx"/>
    <s v="CLI-00335"/>
    <x v="13"/>
    <s v="ANT-0236"/>
    <s v="3G"/>
    <x v="1"/>
    <s v="Non Résolu"/>
    <n v="24"/>
    <s v="Pro Monde"/>
    <n v="23"/>
    <d v="1899-12-30T00:23:00"/>
    <n v="28.55"/>
    <x v="2"/>
  </r>
  <r>
    <s v="Clients_Churn_Part_09.xlsx"/>
    <s v="CLI-01446"/>
    <x v="0"/>
    <s v="ANT-0966"/>
    <s v="3G"/>
    <x v="1"/>
    <s v="Non Résolu"/>
    <n v="33"/>
    <s v="Bloqué 5Go"/>
    <n v="273"/>
    <d v="1899-12-30T04:33:00"/>
    <n v="49.8"/>
    <x v="1"/>
  </r>
  <r>
    <s v="Clients_Churn_Part_09.xlsx"/>
    <s v="CLI-00957"/>
    <x v="18"/>
    <s v="ANT-0164"/>
    <s v="5G"/>
    <x v="3"/>
    <s v="En Cours"/>
    <n v="63"/>
    <s v="Pro Monde"/>
    <n v="121"/>
    <d v="1899-12-30T02:01:00"/>
    <n v="39.18"/>
    <x v="3"/>
  </r>
  <r>
    <s v="Clients_Churn_Part_09.xlsx"/>
    <s v="CLI-01999"/>
    <x v="8"/>
    <s v="ANT-0394"/>
    <s v="5G"/>
    <x v="3"/>
    <s v="En Cours"/>
    <n v="47"/>
    <s v="Pro Monde"/>
    <n v="149"/>
    <d v="1899-12-30T02:29:00"/>
    <n v="28.35"/>
    <x v="2"/>
  </r>
  <r>
    <s v="Clients_Churn_Part_09.xlsx"/>
    <s v="CLI-00238"/>
    <x v="9"/>
    <s v="ANT-0735"/>
    <s v="4G"/>
    <x v="2"/>
    <s v="Résolu"/>
    <n v="43"/>
    <s v="Bloqué 5Go"/>
    <n v="20"/>
    <d v="1899-12-30T00:20:00"/>
    <n v="66.680000000000007"/>
    <x v="4"/>
  </r>
  <r>
    <s v="Clients_Churn_Part_09.xlsx"/>
    <s v="CLI-01014"/>
    <x v="12"/>
    <s v="ANT-0183"/>
    <s v="5G"/>
    <x v="3"/>
    <s v="En Cours"/>
    <n v="39"/>
    <s v="Illimité 50Go"/>
    <n v="327"/>
    <d v="1899-12-30T05:27:00"/>
    <n v="87.24"/>
    <x v="5"/>
  </r>
  <r>
    <s v="Clients_Churn_Part_09.xlsx"/>
    <s v="CLI-00084"/>
    <x v="17"/>
    <s v="ANT-0093"/>
    <s v="4G"/>
    <x v="2"/>
    <s v="Résolu"/>
    <n v="15"/>
    <s v="Premium 5G 150Go"/>
    <n v="75"/>
    <d v="1899-12-30T01:15:00"/>
    <n v="45.59"/>
    <x v="1"/>
  </r>
  <r>
    <s v="Clients_Churn_Part_09.xlsx"/>
    <s v="CLI-00905"/>
    <x v="24"/>
    <s v="ANT-0239"/>
    <s v="5G"/>
    <x v="3"/>
    <s v="En Cours"/>
    <n v="13"/>
    <s v="Illimité 50Go"/>
    <n v="482"/>
    <d v="1899-12-30T08:02:00"/>
    <n v="50.15"/>
    <x v="1"/>
  </r>
  <r>
    <s v="Clients_Churn_Part_09.xlsx"/>
    <s v="CLI-00731"/>
    <x v="0"/>
    <s v="ANT-0966"/>
    <s v="3G"/>
    <x v="1"/>
    <s v="Non Résolu"/>
    <n v="86"/>
    <s v="Premium 5G 150Go"/>
    <n v="452"/>
    <d v="1899-12-30T07:32:00"/>
    <n v="75.680000000000007"/>
    <x v="1"/>
  </r>
  <r>
    <s v="Clients_Churn_Part_09.xlsx"/>
    <s v="CLI-01453"/>
    <x v="20"/>
    <s v="ANT-0631"/>
    <s v="3G"/>
    <x v="1"/>
    <s v="Résolu"/>
    <n v="2"/>
    <s v="Bloqué 5Go"/>
    <n v="142"/>
    <d v="1899-12-30T02:22:00"/>
    <n v="49.05"/>
    <x v="5"/>
  </r>
  <r>
    <s v="Clients_Churn_Part_09.xlsx"/>
    <s v="CLI-01149"/>
    <x v="10"/>
    <s v="ANT-0255"/>
    <s v="5G"/>
    <x v="3"/>
    <s v="En Cours"/>
    <n v="88"/>
    <s v="Bloqué 5Go"/>
    <n v="474"/>
    <d v="1899-12-30T07:54:00"/>
    <n v="23.35"/>
    <x v="4"/>
  </r>
  <r>
    <s v="Clients_Churn_Part_09.xlsx"/>
    <s v="CLI-00994"/>
    <x v="11"/>
    <s v="ANT-0900"/>
    <s v="4G"/>
    <x v="2"/>
    <s v="Résolu"/>
    <n v="71"/>
    <s v="Illimité 50Go"/>
    <n v="68"/>
    <d v="1899-12-30T01:08:00"/>
    <n v="53.11"/>
    <x v="3"/>
  </r>
  <r>
    <s v="Clients_Churn_Part_09.xlsx"/>
    <s v="CLI-00938"/>
    <x v="2"/>
    <s v="ANT-0054"/>
    <s v="3G"/>
    <x v="1"/>
    <s v="Résolu"/>
    <n v="99"/>
    <s v="Pro Monde"/>
    <n v="138"/>
    <d v="1899-12-30T02:18:00"/>
    <n v="54.64"/>
    <x v="4"/>
  </r>
  <r>
    <s v="Clients_Churn_Part_09.xlsx"/>
    <s v="CLI-01988"/>
    <x v="15"/>
    <s v="ANT-0592"/>
    <s v="5G"/>
    <x v="3"/>
    <s v="En Cours"/>
    <n v="111"/>
    <s v="Pro Monde"/>
    <n v="447"/>
    <d v="1899-12-30T07:27:00"/>
    <n v="51.35"/>
    <x v="1"/>
  </r>
  <r>
    <s v="Clients_Churn_Part_09.xlsx"/>
    <s v="CLI-00231"/>
    <x v="15"/>
    <s v="ANT-0592"/>
    <s v="5G"/>
    <x v="3"/>
    <s v="En Cours"/>
    <n v="17"/>
    <s v="Bloqué 5Go"/>
    <n v="404"/>
    <d v="1899-12-30T06:44:00"/>
    <n v="83.4"/>
    <x v="2"/>
  </r>
  <r>
    <s v="Clients_Churn_Part_09.xlsx"/>
    <s v="CLI-01475"/>
    <x v="21"/>
    <s v="ANT-0986"/>
    <s v="4G"/>
    <x v="2"/>
    <s v="Résolu"/>
    <n v="43"/>
    <s v="Illimité 50Go"/>
    <n v="26"/>
    <d v="1899-12-30T00:26:00"/>
    <n v="25.85"/>
    <x v="2"/>
  </r>
  <r>
    <s v="Clients_Churn_Part_09.xlsx"/>
    <s v="CLI-00304"/>
    <x v="0"/>
    <s v="ANT-0966"/>
    <s v="3G"/>
    <x v="1"/>
    <s v="Non Résolu"/>
    <n v="47"/>
    <s v="Pro Monde"/>
    <n v="328"/>
    <d v="1899-12-30T05:28:00"/>
    <n v="61.27"/>
    <x v="0"/>
  </r>
  <r>
    <s v="Clients_Churn_Part_09.xlsx"/>
    <s v="CLI-00254"/>
    <x v="6"/>
    <s v="ANT-0339"/>
    <s v="5G"/>
    <x v="3"/>
    <s v="En Cours"/>
    <n v="95"/>
    <s v="Pro Monde"/>
    <n v="127"/>
    <d v="1899-12-30T02:07:00"/>
    <n v="94.9"/>
    <x v="5"/>
  </r>
  <r>
    <s v="Clients_Churn_Part_09.xlsx"/>
    <s v="CLI-00716"/>
    <x v="17"/>
    <s v="ANT-0093"/>
    <s v="4G"/>
    <x v="0"/>
    <s v="Résolu"/>
    <n v="104"/>
    <s v="Pro Monde"/>
    <n v="421"/>
    <d v="1899-12-30T07:01:00"/>
    <n v="26.24"/>
    <x v="0"/>
  </r>
  <r>
    <s v="Clients_Churn_Part_09.xlsx"/>
    <s v="CLI-00192"/>
    <x v="20"/>
    <s v="ANT-0007"/>
    <s v="5G"/>
    <x v="0"/>
    <s v="Résolu"/>
    <n v="47"/>
    <s v="Pro Monde"/>
    <n v="107"/>
    <d v="1899-12-30T01:47:00"/>
    <n v="35.380000000000003"/>
    <x v="2"/>
  </r>
  <r>
    <s v="Clients_Churn_Part_09.xlsx"/>
    <s v="CLI-00418"/>
    <x v="0"/>
    <s v="ANT-0966"/>
    <s v="3G"/>
    <x v="1"/>
    <s v="Non Résolu"/>
    <n v="96"/>
    <s v="Premium 5G 150Go"/>
    <n v="273"/>
    <d v="1899-12-30T04:33:00"/>
    <n v="37.909999999999997"/>
    <x v="3"/>
  </r>
  <r>
    <s v="Clients_Churn_Part_10.xlsx"/>
    <s v="CLI-00582"/>
    <x v="16"/>
    <s v="ANT-0103"/>
    <s v="5G"/>
    <x v="0"/>
    <s v="Résolu"/>
    <n v="43"/>
    <s v="Premium 5G 150Go"/>
    <n v="193"/>
    <d v="1899-12-30T03:13:00"/>
    <n v="35.81"/>
    <x v="1"/>
  </r>
  <r>
    <s v="Clients_Churn_Part_10.xlsx"/>
    <s v="CLI-01682"/>
    <x v="11"/>
    <s v="ANT-0900"/>
    <s v="4G"/>
    <x v="1"/>
    <s v="Non Résolu"/>
    <n v="77"/>
    <s v="Illimité 50Go"/>
    <n v="375"/>
    <d v="1899-12-30T06:15:00"/>
    <n v="24.03"/>
    <x v="2"/>
  </r>
  <r>
    <s v="Clients_Churn_Part_10.xlsx"/>
    <s v="CLI-00345"/>
    <x v="19"/>
    <s v="ANT-0484"/>
    <s v="4G"/>
    <x v="1"/>
    <s v="Non Résolu"/>
    <n v="24"/>
    <s v="Bloqué 5Go"/>
    <n v="13"/>
    <d v="1899-12-30T00:13:00"/>
    <n v="89.3"/>
    <x v="3"/>
  </r>
  <r>
    <s v="Clients_Churn_Part_10.xlsx"/>
    <s v="CLI-01536"/>
    <x v="2"/>
    <s v="ANT-0054"/>
    <s v="3G"/>
    <x v="1"/>
    <s v="Non Résolu"/>
    <n v="87"/>
    <s v="Premium 5G 150Go"/>
    <n v="356"/>
    <d v="1899-12-30T05:56:00"/>
    <n v="12.89"/>
    <x v="1"/>
  </r>
  <r>
    <s v="Clients_Churn_Part_10.xlsx"/>
    <s v="CLI-01042"/>
    <x v="16"/>
    <s v="ANT-0103"/>
    <s v="5G"/>
    <x v="3"/>
    <s v="En Cours"/>
    <n v="55"/>
    <s v="Illimité 50Go"/>
    <n v="494"/>
    <d v="1899-12-30T08:14:00"/>
    <n v="77.599999999999994"/>
    <x v="5"/>
  </r>
  <r>
    <s v="Clients_Churn_Part_10.xlsx"/>
    <s v="CLI-01992"/>
    <x v="14"/>
    <s v="ANT-0952"/>
    <s v="4G"/>
    <x v="1"/>
    <s v="Non Résolu"/>
    <n v="20"/>
    <s v="Illimité 50Go"/>
    <n v="217"/>
    <d v="1899-12-30T03:37:00"/>
    <n v="55.3"/>
    <x v="5"/>
  </r>
  <r>
    <s v="Clients_Churn_Part_10.xlsx"/>
    <s v="CLI-01154"/>
    <x v="18"/>
    <s v="ANT-0164"/>
    <s v="5G"/>
    <x v="3"/>
    <s v="En Cours"/>
    <n v="115"/>
    <s v="Pro Monde"/>
    <n v="190"/>
    <d v="1899-12-30T03:10:00"/>
    <n v="10.98"/>
    <x v="1"/>
  </r>
  <r>
    <s v="Clients_Churn_Part_10.xlsx"/>
    <s v="CLI-01359"/>
    <x v="17"/>
    <s v="ANT-0093"/>
    <s v="4G"/>
    <x v="1"/>
    <s v="Non Résolu"/>
    <n v="86"/>
    <s v="Premium 5G 150Go"/>
    <n v="27"/>
    <d v="1899-12-30T00:27:00"/>
    <n v="84.94"/>
    <x v="5"/>
  </r>
  <r>
    <s v="Clients_Churn_Part_10.xlsx"/>
    <s v="CLI-01200"/>
    <x v="14"/>
    <s v="ANT-0952"/>
    <s v="4G"/>
    <x v="1"/>
    <s v="En Cours"/>
    <n v="88"/>
    <s v="Premium 5G 150Go"/>
    <n v="359"/>
    <d v="1899-12-30T05:59:00"/>
    <n v="71.19"/>
    <x v="0"/>
  </r>
  <r>
    <s v="Clients_Churn_Part_10.xlsx"/>
    <s v="CLI-01658"/>
    <x v="16"/>
    <s v="ANT-0103"/>
    <s v="5G"/>
    <x v="1"/>
    <s v="En Cours"/>
    <n v="39"/>
    <s v="Pro Monde"/>
    <n v="54"/>
    <d v="1899-12-30T00:54:00"/>
    <n v="88.84"/>
    <x v="1"/>
  </r>
  <r>
    <s v="Clients_Churn_Part_10.xlsx"/>
    <s v="CLI-01196"/>
    <x v="10"/>
    <s v="ANT-0205"/>
    <s v="4G"/>
    <x v="1"/>
    <s v="En Cours"/>
    <n v="80"/>
    <s v="Pro Monde"/>
    <n v="339"/>
    <d v="1899-12-30T05:39:00"/>
    <n v="59.87"/>
    <x v="1"/>
  </r>
  <r>
    <s v="Clients_Churn_Part_10.xlsx"/>
    <s v="CLI-00009"/>
    <x v="14"/>
    <s v="ANT-0952"/>
    <s v="4G"/>
    <x v="2"/>
    <s v="Non Résolu"/>
    <n v="105"/>
    <s v="Pro Monde"/>
    <n v="297"/>
    <d v="1899-12-30T04:57:00"/>
    <n v="84.66"/>
    <x v="3"/>
  </r>
  <r>
    <s v="Clients_Churn_Part_10.xlsx"/>
    <s v="CLI-01078"/>
    <x v="20"/>
    <s v="ANT-0007"/>
    <s v="5G"/>
    <x v="1"/>
    <s v="En Cours"/>
    <n v="37"/>
    <s v="Pro Monde"/>
    <n v="37"/>
    <d v="1899-12-30T00:37:00"/>
    <n v="92.72"/>
    <x v="1"/>
  </r>
  <r>
    <s v="Clients_Churn_Part_10.xlsx"/>
    <s v="CLI-01741"/>
    <x v="0"/>
    <s v="ANT-0966"/>
    <s v="3G"/>
    <x v="1"/>
    <s v="En Cours"/>
    <n v="45"/>
    <s v="Premium 5G 150Go"/>
    <n v="244"/>
    <d v="1899-12-30T04:04:00"/>
    <n v="55.17"/>
    <x v="3"/>
  </r>
  <r>
    <s v="Clients_Churn_Part_10.xlsx"/>
    <s v="CLI-01549"/>
    <x v="13"/>
    <s v="ANT-0236"/>
    <s v="3G"/>
    <x v="1"/>
    <s v="En Cours"/>
    <n v="113"/>
    <s v="Illimité 50Go"/>
    <n v="428"/>
    <d v="1899-12-30T07:08:00"/>
    <n v="73.84"/>
    <x v="1"/>
  </r>
  <r>
    <s v="Clients_Churn_Part_10.xlsx"/>
    <s v="CLI-00853"/>
    <x v="18"/>
    <s v="ANT-0690"/>
    <s v="3G"/>
    <x v="1"/>
    <s v="En Cours"/>
    <n v="14"/>
    <s v="Illimité 50Go"/>
    <n v="304"/>
    <d v="1899-12-30T05:04:00"/>
    <n v="48.13"/>
    <x v="3"/>
  </r>
  <r>
    <s v="Clients_Churn_Part_10.xlsx"/>
    <s v="CLI-00158"/>
    <x v="15"/>
    <s v="ANT-0162"/>
    <s v="4G"/>
    <x v="0"/>
    <s v="Résolu"/>
    <n v="35"/>
    <s v="Pro Monde"/>
    <n v="445"/>
    <d v="1899-12-30T07:25:00"/>
    <n v="24.11"/>
    <x v="3"/>
  </r>
  <r>
    <s v="Clients_Churn_Part_10.xlsx"/>
    <s v="CLI-01893"/>
    <x v="18"/>
    <s v="ANT-0690"/>
    <s v="3G"/>
    <x v="1"/>
    <s v="En Cours"/>
    <n v="118"/>
    <s v="Pro Monde"/>
    <n v="80"/>
    <d v="1899-12-30T01:20:00"/>
    <n v="97.58"/>
    <x v="0"/>
  </r>
  <r>
    <s v="Clients_Churn_Part_10.xlsx"/>
    <s v="CLI-01021"/>
    <x v="15"/>
    <s v="ANT-0162"/>
    <s v="4G"/>
    <x v="0"/>
    <s v="Résolu"/>
    <n v="64"/>
    <s v="Pro Monde"/>
    <n v="15"/>
    <d v="1899-12-30T00:15:00"/>
    <n v="56.94"/>
    <x v="5"/>
  </r>
  <r>
    <s v="Clients_Churn_Part_10.xlsx"/>
    <s v="CLI-01846"/>
    <x v="0"/>
    <s v="ANT-0966"/>
    <s v="3G"/>
    <x v="1"/>
    <s v="En Cours"/>
    <n v="85"/>
    <s v="Pro Monde"/>
    <n v="75"/>
    <d v="1899-12-30T01:15:00"/>
    <n v="98.01"/>
    <x v="2"/>
  </r>
  <r>
    <s v="Clients_Churn_Part_10.xlsx"/>
    <s v="CLI-00194"/>
    <x v="24"/>
    <s v="ANT-0239"/>
    <s v="5G"/>
    <x v="1"/>
    <s v="En Cours"/>
    <n v="48"/>
    <s v="Illimité 50Go"/>
    <n v="187"/>
    <d v="1899-12-30T03:07:00"/>
    <n v="21.26"/>
    <x v="3"/>
  </r>
  <r>
    <s v="Clients_Churn_Part_10.xlsx"/>
    <s v="CLI-00674"/>
    <x v="13"/>
    <s v="ANT-0236"/>
    <s v="3G"/>
    <x v="1"/>
    <s v="En Cours"/>
    <n v="120"/>
    <s v="Pro Monde"/>
    <n v="72"/>
    <d v="1899-12-30T01:12:00"/>
    <n v="29.07"/>
    <x v="0"/>
  </r>
  <r>
    <s v="Clients_Churn_Part_10.xlsx"/>
    <s v="CLI-00054"/>
    <x v="4"/>
    <s v="ANT-0472"/>
    <s v="4G"/>
    <x v="0"/>
    <s v="Résolu"/>
    <n v="34"/>
    <s v="Bloqué 5Go"/>
    <n v="40"/>
    <d v="1899-12-30T00:40:00"/>
    <n v="65.709999999999994"/>
    <x v="4"/>
  </r>
  <r>
    <s v="Clients_Churn_Part_10.xlsx"/>
    <s v="CLI-00583"/>
    <x v="2"/>
    <s v="ANT-0054"/>
    <s v="3G"/>
    <x v="1"/>
    <s v="En Cours"/>
    <n v="104"/>
    <s v="Pro Monde"/>
    <n v="125"/>
    <d v="1899-12-30T02:05:00"/>
    <n v="29.7"/>
    <x v="3"/>
  </r>
  <r>
    <s v="Clients_Churn_Part_10.xlsx"/>
    <s v="CLI-01396"/>
    <x v="10"/>
    <s v="ANT-0205"/>
    <s v="4G"/>
    <x v="0"/>
    <s v="Résolu"/>
    <n v="117"/>
    <s v="Illimité 50Go"/>
    <n v="39"/>
    <d v="1899-12-30T00:39:00"/>
    <n v="26.53"/>
    <x v="2"/>
  </r>
  <r>
    <s v="Clients_Churn_Part_10.xlsx"/>
    <s v="CLI-01394"/>
    <x v="15"/>
    <s v="ANT-0162"/>
    <s v="4G"/>
    <x v="0"/>
    <s v="Résolu"/>
    <n v="92"/>
    <s v="Bloqué 5Go"/>
    <n v="6"/>
    <d v="1899-12-30T00:06:00"/>
    <n v="77.14"/>
    <x v="4"/>
  </r>
  <r>
    <s v="Clients_Churn_Part_10.xlsx"/>
    <s v="CLI-01858"/>
    <x v="1"/>
    <s v="ANT-0417"/>
    <s v="5G"/>
    <x v="1"/>
    <s v="En Cours"/>
    <n v="103"/>
    <s v="Illimité 50Go"/>
    <n v="291"/>
    <d v="1899-12-30T04:51:00"/>
    <n v="60.34"/>
    <x v="4"/>
  </r>
  <r>
    <s v="Clients_Churn_Part_10.xlsx"/>
    <s v="CLI-00808"/>
    <x v="24"/>
    <s v="ANT-0239"/>
    <s v="5G"/>
    <x v="1"/>
    <s v="En Cours"/>
    <n v="10"/>
    <s v="Premium 5G 150Go"/>
    <n v="425"/>
    <d v="1899-12-30T07:05:00"/>
    <n v="85.75"/>
    <x v="1"/>
  </r>
  <r>
    <s v="Clients_Churn_Part_10.xlsx"/>
    <s v="CLI-00766"/>
    <x v="1"/>
    <s v="ANT-0417"/>
    <s v="5G"/>
    <x v="1"/>
    <s v="En Cours"/>
    <n v="101"/>
    <s v="Bloqué 5Go"/>
    <n v="416"/>
    <d v="1899-12-30T06:56:00"/>
    <n v="83.49"/>
    <x v="3"/>
  </r>
  <r>
    <s v="Clients_Churn_Part_10.xlsx"/>
    <s v="CLI-01210"/>
    <x v="11"/>
    <s v="ANT-0900"/>
    <s v="4G"/>
    <x v="2"/>
    <s v="Résolu"/>
    <n v="1"/>
    <s v="Illimité 50Go"/>
    <n v="213"/>
    <d v="1899-12-30T03:33:00"/>
    <n v="52.16"/>
    <x v="0"/>
  </r>
  <r>
    <s v="Clients_Churn_Part_10.xlsx"/>
    <s v="CLI-00218"/>
    <x v="14"/>
    <s v="ANT-0952"/>
    <s v="4G"/>
    <x v="2"/>
    <s v="Résolu"/>
    <n v="111"/>
    <s v="Bloqué 5Go"/>
    <n v="76"/>
    <d v="1899-12-30T01:16:00"/>
    <n v="38.19"/>
    <x v="4"/>
  </r>
  <r>
    <s v="Clients_Churn_Part_10.xlsx"/>
    <s v="CLI-01662"/>
    <x v="6"/>
    <s v="ANT-0339"/>
    <s v="5G"/>
    <x v="2"/>
    <s v="Résolu"/>
    <n v="120"/>
    <s v="Premium 5G 150Go"/>
    <n v="391"/>
    <d v="1899-12-30T06:31:00"/>
    <n v="67.77"/>
    <x v="5"/>
  </r>
  <r>
    <s v="Clients_Churn_Part_10.xlsx"/>
    <s v="CLI-00315"/>
    <x v="7"/>
    <s v="ANT-0295"/>
    <s v="5G"/>
    <x v="2"/>
    <s v="Résolu"/>
    <n v="20"/>
    <s v="Pro Monde"/>
    <n v="93"/>
    <d v="1899-12-30T01:33:00"/>
    <n v="84.45"/>
    <x v="1"/>
  </r>
  <r>
    <s v="Clients_Churn_Part_10.xlsx"/>
    <s v="CLI-01990"/>
    <x v="14"/>
    <s v="ANT-0952"/>
    <s v="4G"/>
    <x v="2"/>
    <s v="Résolu"/>
    <n v="100"/>
    <s v="Illimité 50Go"/>
    <n v="240"/>
    <d v="1899-12-30T04:00:00"/>
    <n v="24.83"/>
    <x v="5"/>
  </r>
  <r>
    <s v="Clients_Churn_Part_10.xlsx"/>
    <s v="CLI-00167"/>
    <x v="15"/>
    <s v="ANT-0162"/>
    <s v="4G"/>
    <x v="2"/>
    <s v="Résolu"/>
    <n v="84"/>
    <s v="Bloqué 5Go"/>
    <n v="380"/>
    <d v="1899-12-30T06:20:00"/>
    <n v="82.3"/>
    <x v="2"/>
  </r>
  <r>
    <s v="Clients_Churn_Part_10.xlsx"/>
    <s v="CLI-00943"/>
    <x v="14"/>
    <s v="ANT-0952"/>
    <s v="4G"/>
    <x v="2"/>
    <s v="Résolu"/>
    <n v="19"/>
    <s v="Bloqué 5Go"/>
    <n v="71"/>
    <d v="1899-12-30T01:11:00"/>
    <n v="68.2"/>
    <x v="1"/>
  </r>
  <r>
    <s v="Clients_Churn_Part_10.xlsx"/>
    <s v="CLI-01450"/>
    <x v="10"/>
    <s v="ANT-0205"/>
    <s v="4G"/>
    <x v="1"/>
    <s v="Résolu"/>
    <n v="41"/>
    <s v="Premium 5G 150Go"/>
    <n v="383"/>
    <d v="1899-12-30T06:23:00"/>
    <n v="27.53"/>
    <x v="5"/>
  </r>
  <r>
    <s v="Clients_Churn_Part_10.xlsx"/>
    <s v="CLI-01351"/>
    <x v="4"/>
    <s v="ANT-0472"/>
    <s v="4G"/>
    <x v="2"/>
    <s v="En Cours"/>
    <n v="19"/>
    <s v="Premium 5G 150Go"/>
    <n v="270"/>
    <d v="1899-12-30T04:30:00"/>
    <n v="19.760000000000002"/>
    <x v="0"/>
  </r>
  <r>
    <s v="Clients_Churn_Part_10.xlsx"/>
    <s v="CLI-00983"/>
    <x v="12"/>
    <s v="ANT-0183"/>
    <s v="5G"/>
    <x v="1"/>
    <s v="Non Résolu"/>
    <n v="50"/>
    <s v="Illimité 50Go"/>
    <n v="357"/>
    <d v="1899-12-30T05:57:00"/>
    <n v="17"/>
    <x v="0"/>
  </r>
  <r>
    <s v="Clients_Churn_Part_10.xlsx"/>
    <s v="CLI-01709"/>
    <x v="8"/>
    <s v="ANT-0131"/>
    <s v="5G"/>
    <x v="1"/>
    <s v="Non Résolu"/>
    <n v="58"/>
    <s v="Premium 5G 150Go"/>
    <n v="485"/>
    <d v="1899-12-30T08:05:00"/>
    <n v="64.290000000000006"/>
    <x v="5"/>
  </r>
  <r>
    <s v="Clients_Churn_Part_10.xlsx"/>
    <s v="CLI-01782"/>
    <x v="21"/>
    <s v="ANT-0407"/>
    <s v="5G"/>
    <x v="2"/>
    <s v="En Cours"/>
    <n v="93"/>
    <s v="Pro Monde"/>
    <n v="153"/>
    <d v="1899-12-30T02:33:00"/>
    <n v="86.19"/>
    <x v="1"/>
  </r>
  <r>
    <s v="Clients_Churn_Part_10.xlsx"/>
    <s v="CLI-00552"/>
    <x v="14"/>
    <s v="ANT-0952"/>
    <s v="4G"/>
    <x v="2"/>
    <s v="En Cours"/>
    <n v="102"/>
    <s v="Illimité 50Go"/>
    <n v="240"/>
    <d v="1899-12-30T04:00:00"/>
    <n v="12.52"/>
    <x v="3"/>
  </r>
  <r>
    <s v="Clients_Churn_Part_10.xlsx"/>
    <s v="CLI-01766"/>
    <x v="4"/>
    <s v="ANT-0472"/>
    <s v="4G"/>
    <x v="2"/>
    <s v="En Cours"/>
    <n v="101"/>
    <s v="Pro Monde"/>
    <n v="210"/>
    <d v="1899-12-30T03:30:00"/>
    <n v="35.4"/>
    <x v="2"/>
  </r>
  <r>
    <s v="Clients_Churn_Part_10.xlsx"/>
    <s v="CLI-01348"/>
    <x v="12"/>
    <s v="ANT-0183"/>
    <s v="5G"/>
    <x v="2"/>
    <s v="En Cours"/>
    <n v="62"/>
    <s v="Illimité 50Go"/>
    <n v="369"/>
    <d v="1899-12-30T06:09:00"/>
    <n v="58.74"/>
    <x v="2"/>
  </r>
  <r>
    <s v="Clients_Churn_Part_10.xlsx"/>
    <s v="CLI-00012"/>
    <x v="17"/>
    <s v="ANT-0668"/>
    <s v="5G"/>
    <x v="2"/>
    <s v="Non Résolu"/>
    <n v="105"/>
    <s v="Illimité 50Go"/>
    <n v="172"/>
    <d v="1899-12-30T02:52:00"/>
    <n v="15.88"/>
    <x v="4"/>
  </r>
  <r>
    <s v="Clients_Churn_Part_10.xlsx"/>
    <s v="CLI-01926"/>
    <x v="8"/>
    <s v="ANT-0131"/>
    <s v="5G"/>
    <x v="2"/>
    <s v="Non Résolu"/>
    <n v="9"/>
    <s v="Illimité 50Go"/>
    <n v="227"/>
    <d v="1899-12-30T03:47:00"/>
    <n v="63.74"/>
    <x v="0"/>
  </r>
  <r>
    <s v="Clients_Churn_Part_10.xlsx"/>
    <s v="CLI-00090"/>
    <x v="13"/>
    <s v="ANT-0236"/>
    <s v="3G"/>
    <x v="1"/>
    <s v="Non Résolu"/>
    <n v="15"/>
    <s v="Bloqué 5Go"/>
    <n v="400"/>
    <d v="1899-12-30T06:40:00"/>
    <n v="78.09"/>
    <x v="1"/>
  </r>
  <r>
    <s v="Clients_Churn_Part_10.xlsx"/>
    <s v="CLI-01344"/>
    <x v="7"/>
    <s v="ANT-0295"/>
    <s v="5G"/>
    <x v="3"/>
    <s v="En Cours"/>
    <n v="74"/>
    <s v="Illimité 50Go"/>
    <n v="330"/>
    <d v="1899-12-30T05:30:00"/>
    <n v="37.82"/>
    <x v="4"/>
  </r>
  <r>
    <s v="Clients_Churn_Part_10.xlsx"/>
    <s v="CLI-01275"/>
    <x v="0"/>
    <s v="ANT-0966"/>
    <s v="3G"/>
    <x v="1"/>
    <s v="Non Résolu"/>
    <n v="55"/>
    <s v="Bloqué 5Go"/>
    <n v="355"/>
    <d v="1899-12-30T05:55:00"/>
    <n v="59.65"/>
    <x v="1"/>
  </r>
  <r>
    <s v="Clients_Churn_Part_10.xlsx"/>
    <s v="CLI-00928"/>
    <x v="20"/>
    <s v="ANT-0007"/>
    <s v="5G"/>
    <x v="3"/>
    <s v="En Cours"/>
    <n v="94"/>
    <s v="Illimité 50Go"/>
    <n v="6"/>
    <d v="1899-12-30T00:06:00"/>
    <n v="67.459999999999994"/>
    <x v="4"/>
  </r>
  <r>
    <s v="Clients_Churn_Part_11.xlsx"/>
    <s v="CLI-00666"/>
    <x v="2"/>
    <s v="ANT-0855"/>
    <s v="5G"/>
    <x v="3"/>
    <s v="En Cours"/>
    <n v="120"/>
    <s v="Bloqué 5Go"/>
    <n v="27"/>
    <d v="1899-12-30T00:27:00"/>
    <n v="24.46"/>
    <x v="0"/>
  </r>
  <r>
    <s v="Clients_Churn_Part_11.xlsx"/>
    <s v="CLI-01499"/>
    <x v="13"/>
    <s v="ANT-0236"/>
    <s v="3G"/>
    <x v="2"/>
    <s v="Résolu"/>
    <n v="38"/>
    <s v="Bloqué 5Go"/>
    <n v="108"/>
    <d v="1899-12-30T01:48:00"/>
    <n v="72.7"/>
    <x v="0"/>
  </r>
  <r>
    <s v="Clients_Churn_Part_11.xlsx"/>
    <s v="CLI-01166"/>
    <x v="25"/>
    <s v="ANT-0515"/>
    <s v="4G"/>
    <x v="0"/>
    <s v="Résolu"/>
    <n v="21"/>
    <s v="Illimité 50Go"/>
    <n v="444"/>
    <d v="1899-12-30T07:24:00"/>
    <n v="41.92"/>
    <x v="0"/>
  </r>
  <r>
    <s v="Clients_Churn_Part_11.xlsx"/>
    <s v="CLI-00265"/>
    <x v="11"/>
    <s v="ANT-0357"/>
    <s v="5G"/>
    <x v="3"/>
    <s v="En Cours"/>
    <n v="9"/>
    <s v="Bloqué 5Go"/>
    <n v="11"/>
    <d v="1899-12-30T00:11:00"/>
    <n v="72.36"/>
    <x v="3"/>
  </r>
  <r>
    <s v="Clients_Churn_Part_11.xlsx"/>
    <s v="CLI-00433"/>
    <x v="7"/>
    <s v="ANT-0295"/>
    <s v="5G"/>
    <x v="3"/>
    <s v="En Cours"/>
    <n v="36"/>
    <s v="Illimité 50Go"/>
    <n v="487"/>
    <d v="1899-12-30T08:07:00"/>
    <n v="45.02"/>
    <x v="3"/>
  </r>
  <r>
    <s v="Clients_Churn_Part_11.xlsx"/>
    <s v="CLI-00100"/>
    <x v="20"/>
    <s v="ANT-0007"/>
    <s v="5G"/>
    <x v="3"/>
    <s v="Non Résolu"/>
    <n v="74"/>
    <s v="Bloqué 5Go"/>
    <n v="388"/>
    <d v="1899-12-30T06:28:00"/>
    <n v="10.89"/>
    <x v="5"/>
  </r>
  <r>
    <s v="Clients_Churn_Part_11.xlsx"/>
    <s v="CLI-01319"/>
    <x v="20"/>
    <s v="ANT-0007"/>
    <s v="5G"/>
    <x v="3"/>
    <s v="Non Résolu"/>
    <n v="47"/>
    <s v="Premium 5G 150Go"/>
    <n v="350"/>
    <d v="1899-12-30T05:50:00"/>
    <n v="80.48"/>
    <x v="0"/>
  </r>
  <r>
    <s v="Clients_Churn_Part_11.xlsx"/>
    <s v="CLI-01598"/>
    <x v="3"/>
    <s v="ANT-0588"/>
    <s v="3G"/>
    <x v="1"/>
    <s v="Non Résolu"/>
    <n v="46"/>
    <s v="Pro Monde"/>
    <n v="216"/>
    <d v="1899-12-30T03:36:00"/>
    <n v="63.74"/>
    <x v="5"/>
  </r>
  <r>
    <s v="Clients_Churn_Part_11.xlsx"/>
    <s v="CLI-00662"/>
    <x v="8"/>
    <s v="ANT-0131"/>
    <s v="5G"/>
    <x v="0"/>
    <s v="En Cours"/>
    <n v="12"/>
    <s v="Illimité 50Go"/>
    <n v="138"/>
    <d v="1899-12-30T02:18:00"/>
    <n v="17"/>
    <x v="3"/>
  </r>
  <r>
    <s v="Clients_Churn_Part_11.xlsx"/>
    <s v="CLI-01979"/>
    <x v="2"/>
    <s v="ANT-0855"/>
    <s v="5G"/>
    <x v="0"/>
    <s v="En Cours"/>
    <n v="10"/>
    <s v="Pro Monde"/>
    <n v="129"/>
    <d v="1899-12-30T02:09:00"/>
    <n v="70.12"/>
    <x v="1"/>
  </r>
  <r>
    <s v="Clients_Churn_Part_11.xlsx"/>
    <s v="CLI-00145"/>
    <x v="20"/>
    <s v="ANT-0007"/>
    <s v="5G"/>
    <x v="0"/>
    <s v="En Cours"/>
    <n v="23"/>
    <s v="Bloqué 5Go"/>
    <n v="325"/>
    <d v="1899-12-30T05:25:00"/>
    <n v="65.489999999999995"/>
    <x v="2"/>
  </r>
  <r>
    <s v="Clients_Churn_Part_11.xlsx"/>
    <s v="CLI-01121"/>
    <x v="25"/>
    <s v="ANT-0515"/>
    <s v="4G"/>
    <x v="3"/>
    <s v="Non Résolu"/>
    <n v="91"/>
    <s v="Illimité 50Go"/>
    <n v="90"/>
    <d v="1899-12-30T01:30:00"/>
    <n v="39.14"/>
    <x v="0"/>
  </r>
  <r>
    <s v="Clients_Churn_Part_11.xlsx"/>
    <s v="CLI-01804"/>
    <x v="21"/>
    <s v="ANT-0407"/>
    <s v="5G"/>
    <x v="0"/>
    <s v="En Cours"/>
    <n v="99"/>
    <s v="Pro Monde"/>
    <n v="42"/>
    <d v="1899-12-30T00:42:00"/>
    <n v="98.77"/>
    <x v="0"/>
  </r>
  <r>
    <s v="Clients_Churn_Part_11.xlsx"/>
    <s v="CLI-00782"/>
    <x v="23"/>
    <s v="ANT-0670"/>
    <s v="5G"/>
    <x v="0"/>
    <s v="En Cours"/>
    <n v="59"/>
    <s v="Pro Monde"/>
    <n v="72"/>
    <d v="1899-12-30T01:12:00"/>
    <n v="94.51"/>
    <x v="3"/>
  </r>
  <r>
    <s v="Clients_Churn_Part_11.xlsx"/>
    <s v="CLI-00190"/>
    <x v="5"/>
    <s v="ANT-0558"/>
    <s v="4G"/>
    <x v="2"/>
    <s v="Non Résolu"/>
    <n v="34"/>
    <s v="Bloqué 5Go"/>
    <n v="35"/>
    <d v="1899-12-30T00:35:00"/>
    <n v="76.86"/>
    <x v="2"/>
  </r>
  <r>
    <s v="Clients_Churn_Part_11.xlsx"/>
    <s v="CLI-00817"/>
    <x v="13"/>
    <s v="ANT-0236"/>
    <s v="3G"/>
    <x v="1"/>
    <s v="Non Résolu"/>
    <n v="61"/>
    <s v="Premium 5G 150Go"/>
    <n v="140"/>
    <d v="1899-12-30T02:20:00"/>
    <n v="76.3"/>
    <x v="5"/>
  </r>
  <r>
    <s v="Clients_Churn_Part_11.xlsx"/>
    <s v="CLI-00523"/>
    <x v="21"/>
    <s v="ANT-0407"/>
    <s v="5G"/>
    <x v="0"/>
    <s v="Non Résolu"/>
    <n v="33"/>
    <s v="Pro Monde"/>
    <n v="207"/>
    <d v="1899-12-30T03:27:00"/>
    <n v="38.49"/>
    <x v="5"/>
  </r>
  <r>
    <s v="Clients_Churn_Part_11.xlsx"/>
    <s v="CLI-00365"/>
    <x v="10"/>
    <s v="ANT-0205"/>
    <s v="4G"/>
    <x v="2"/>
    <s v="Non Résolu"/>
    <n v="98"/>
    <s v="Pro Monde"/>
    <n v="41"/>
    <d v="1899-12-30T00:41:00"/>
    <n v="23.55"/>
    <x v="2"/>
  </r>
  <r>
    <s v="Clients_Churn_Part_11.xlsx"/>
    <s v="CLI-00492"/>
    <x v="4"/>
    <s v="ANT-0472"/>
    <s v="4G"/>
    <x v="2"/>
    <s v="Non Résolu"/>
    <n v="113"/>
    <s v="Pro Monde"/>
    <n v="152"/>
    <d v="1899-12-30T02:32:00"/>
    <n v="51.28"/>
    <x v="5"/>
  </r>
  <r>
    <s v="Clients_Churn_Part_11.xlsx"/>
    <s v="CLI-01485"/>
    <x v="8"/>
    <s v="ANT-0131"/>
    <s v="5G"/>
    <x v="2"/>
    <s v="Non Résolu"/>
    <n v="57"/>
    <s v="Bloqué 5Go"/>
    <n v="447"/>
    <d v="1899-12-30T07:27:00"/>
    <n v="23.27"/>
    <x v="0"/>
  </r>
  <r>
    <s v="Clients_Churn_Part_11.xlsx"/>
    <s v="CLI-01719"/>
    <x v="0"/>
    <s v="ANT-0966"/>
    <s v="3G"/>
    <x v="0"/>
    <s v="Résolu"/>
    <n v="84"/>
    <s v="Bloqué 5Go"/>
    <n v="364"/>
    <d v="1899-12-30T06:04:00"/>
    <n v="87.79"/>
    <x v="0"/>
  </r>
  <r>
    <s v="Clients_Churn_Part_11.xlsx"/>
    <s v="CLI-01739"/>
    <x v="17"/>
    <s v="ANT-0737"/>
    <s v="5G"/>
    <x v="0"/>
    <s v="Résolu"/>
    <n v="119"/>
    <s v="Illimité 50Go"/>
    <n v="231"/>
    <d v="1899-12-30T03:51:00"/>
    <n v="20.22"/>
    <x v="3"/>
  </r>
  <r>
    <s v="Clients_Churn_Part_11.xlsx"/>
    <s v="CLI-00427"/>
    <x v="11"/>
    <s v="ANT-0357"/>
    <s v="5G"/>
    <x v="0"/>
    <s v="Résolu"/>
    <n v="18"/>
    <s v="Bloqué 5Go"/>
    <n v="446"/>
    <d v="1899-12-30T07:26:00"/>
    <n v="97.3"/>
    <x v="4"/>
  </r>
  <r>
    <s v="Clients_Churn_Part_11.xlsx"/>
    <s v="CLI-00334"/>
    <x v="25"/>
    <s v="ANT-0515"/>
    <s v="4G"/>
    <x v="2"/>
    <s v="Non Résolu"/>
    <n v="16"/>
    <s v="Pro Monde"/>
    <n v="214"/>
    <d v="1899-12-30T03:34:00"/>
    <n v="46.57"/>
    <x v="4"/>
  </r>
  <r>
    <s v="Clients_Churn_Part_11.xlsx"/>
    <s v="CLI-01852"/>
    <x v="1"/>
    <s v="ANT-0551"/>
    <s v="5G"/>
    <x v="1"/>
    <s v="Résolu"/>
    <n v="73"/>
    <s v="Pro Monde"/>
    <n v="268"/>
    <d v="1899-12-30T04:28:00"/>
    <n v="56.86"/>
    <x v="4"/>
  </r>
  <r>
    <s v="Clients_Churn_Part_11.xlsx"/>
    <s v="CLI-00825"/>
    <x v="24"/>
    <s v="ANT-0282"/>
    <s v="4G"/>
    <x v="2"/>
    <s v="Non Résolu"/>
    <n v="63"/>
    <s v="Illimité 50Go"/>
    <n v="109"/>
    <d v="1899-12-30T01:49:00"/>
    <n v="10.33"/>
    <x v="0"/>
  </r>
  <r>
    <s v="Clients_Churn_Part_11.xlsx"/>
    <s v="CLI-00584"/>
    <x v="15"/>
    <s v="ANT-0294"/>
    <s v="5G"/>
    <x v="0"/>
    <s v="En Cours"/>
    <n v="6"/>
    <s v="Pro Monde"/>
    <n v="342"/>
    <d v="1899-12-30T05:42:00"/>
    <n v="50.55"/>
    <x v="4"/>
  </r>
  <r>
    <s v="Clients_Churn_Part_11.xlsx"/>
    <s v="CLI-01668"/>
    <x v="9"/>
    <s v="ANT-0270"/>
    <s v="5G"/>
    <x v="0"/>
    <s v="En Cours"/>
    <n v="47"/>
    <s v="Premium 5G 150Go"/>
    <n v="457"/>
    <d v="1899-12-30T07:37:00"/>
    <n v="84.93"/>
    <x v="3"/>
  </r>
  <r>
    <s v="Clients_Churn_Part_11.xlsx"/>
    <s v="CLI-01340"/>
    <x v="8"/>
    <s v="ANT-0131"/>
    <s v="5G"/>
    <x v="0"/>
    <s v="En Cours"/>
    <n v="110"/>
    <s v="Bloqué 5Go"/>
    <n v="132"/>
    <d v="1899-12-30T02:12:00"/>
    <n v="21.31"/>
    <x v="4"/>
  </r>
  <r>
    <s v="Clients_Churn_Part_11.xlsx"/>
    <s v="CLI-00316"/>
    <x v="8"/>
    <s v="ANT-0416"/>
    <s v="3G"/>
    <x v="2"/>
    <s v="Non Résolu"/>
    <n v="37"/>
    <s v="Premium 5G 150Go"/>
    <n v="94"/>
    <d v="1899-12-30T01:34:00"/>
    <n v="50.44"/>
    <x v="5"/>
  </r>
  <r>
    <s v="Clients_Churn_Part_11.xlsx"/>
    <s v="CLI-00247"/>
    <x v="12"/>
    <s v="ANT-0677"/>
    <s v="4G"/>
    <x v="2"/>
    <s v="Non Résolu"/>
    <n v="52"/>
    <s v="Premium 5G 150Go"/>
    <n v="425"/>
    <d v="1899-12-30T07:05:00"/>
    <n v="97.25"/>
    <x v="1"/>
  </r>
  <r>
    <s v="Clients_Churn_Part_11.xlsx"/>
    <s v="CLI-00612"/>
    <x v="13"/>
    <s v="ANT-0236"/>
    <s v="3G"/>
    <x v="2"/>
    <s v="Résolu"/>
    <n v="53"/>
    <s v="Pro Monde"/>
    <n v="27"/>
    <d v="1899-12-30T00:27:00"/>
    <n v="18.77"/>
    <x v="1"/>
  </r>
  <r>
    <s v="Clients_Churn_Part_11.xlsx"/>
    <s v="CLI-01006"/>
    <x v="22"/>
    <s v="ANT-0194"/>
    <s v="3G"/>
    <x v="2"/>
    <s v="Résolu"/>
    <n v="110"/>
    <s v="Illimité 50Go"/>
    <n v="47"/>
    <d v="1899-12-30T00:47:00"/>
    <n v="29.68"/>
    <x v="1"/>
  </r>
  <r>
    <s v="Clients_Churn_Part_11.xlsx"/>
    <s v="CLI-00886"/>
    <x v="2"/>
    <s v="ANT-0715"/>
    <s v="4G"/>
    <x v="1"/>
    <s v="Résolu"/>
    <n v="80"/>
    <s v="Pro Monde"/>
    <n v="458"/>
    <d v="1899-12-30T07:38:00"/>
    <n v="98.11"/>
    <x v="1"/>
  </r>
  <r>
    <s v="Clients_Churn_Part_11.xlsx"/>
    <s v="CLI-00636"/>
    <x v="6"/>
    <s v="ANT-0833"/>
    <s v="3G"/>
    <x v="3"/>
    <s v="En Cours"/>
    <n v="118"/>
    <s v="Bloqué 5Go"/>
    <n v="461"/>
    <d v="1899-12-30T07:41:00"/>
    <n v="47.82"/>
    <x v="4"/>
  </r>
  <r>
    <s v="Clients_Churn_Part_11.xlsx"/>
    <s v="CLI-01403"/>
    <x v="14"/>
    <s v="ANT-0430"/>
    <s v="4G"/>
    <x v="1"/>
    <s v="Résolu"/>
    <n v="88"/>
    <s v="Premium 5G 150Go"/>
    <n v="219"/>
    <d v="1899-12-30T03:39:00"/>
    <n v="59.15"/>
    <x v="1"/>
  </r>
  <r>
    <s v="Clients_Churn_Part_11.xlsx"/>
    <s v="CLI-01236"/>
    <x v="5"/>
    <s v="ANT-0558"/>
    <s v="4G"/>
    <x v="1"/>
    <s v="Résolu"/>
    <n v="17"/>
    <s v="Pro Monde"/>
    <n v="175"/>
    <d v="1899-12-30T02:55:00"/>
    <n v="24.95"/>
    <x v="5"/>
  </r>
  <r>
    <s v="Clients_Churn_Part_11.xlsx"/>
    <s v="CLI-00269"/>
    <x v="18"/>
    <s v="ANT-0690"/>
    <s v="3G"/>
    <x v="3"/>
    <s v="En Cours"/>
    <n v="57"/>
    <s v="Bloqué 5Go"/>
    <n v="493"/>
    <d v="1899-12-30T08:13:00"/>
    <n v="43.98"/>
    <x v="0"/>
  </r>
  <r>
    <s v="Clients_Churn_Part_11.xlsx"/>
    <s v="CLI-00736"/>
    <x v="13"/>
    <s v="ANT-0236"/>
    <s v="3G"/>
    <x v="3"/>
    <s v="Résolu"/>
    <n v="47"/>
    <s v="Illimité 50Go"/>
    <n v="385"/>
    <d v="1899-12-30T06:25:00"/>
    <n v="41.33"/>
    <x v="1"/>
  </r>
  <r>
    <s v="Clients_Churn_Part_11.xlsx"/>
    <s v="CLI-01363"/>
    <x v="25"/>
    <s v="ANT-0515"/>
    <s v="4G"/>
    <x v="1"/>
    <s v="Non Résolu"/>
    <n v="66"/>
    <s v="Pro Monde"/>
    <n v="152"/>
    <d v="1899-12-30T02:32:00"/>
    <n v="95.71"/>
    <x v="0"/>
  </r>
  <r>
    <s v="Clients_Churn_Part_11.xlsx"/>
    <s v="CLI-00197"/>
    <x v="10"/>
    <s v="ANT-0205"/>
    <s v="4G"/>
    <x v="2"/>
    <s v="Non Résolu"/>
    <n v="109"/>
    <s v="Illimité 50Go"/>
    <n v="84"/>
    <d v="1899-12-30T01:24:00"/>
    <n v="97.46"/>
    <x v="4"/>
  </r>
  <r>
    <s v="Clients_Churn_Part_11.xlsx"/>
    <s v="CLI-01981"/>
    <x v="16"/>
    <s v="ANT-0701"/>
    <s v="3G"/>
    <x v="3"/>
    <s v="Résolu"/>
    <n v="80"/>
    <s v="Illimité 50Go"/>
    <n v="101"/>
    <d v="1899-12-30T01:41:00"/>
    <n v="61.92"/>
    <x v="5"/>
  </r>
  <r>
    <s v="Clients_Churn_Part_11.xlsx"/>
    <s v="CLI-01050"/>
    <x v="5"/>
    <s v="ANT-0543"/>
    <s v="4G"/>
    <x v="2"/>
    <s v="Non Résolu"/>
    <n v="41"/>
    <s v="Premium 5G 150Go"/>
    <n v="178"/>
    <d v="1899-12-30T02:58:00"/>
    <n v="11.29"/>
    <x v="5"/>
  </r>
  <r>
    <s v="Clients_Churn_Part_11.xlsx"/>
    <s v="CLI-01783"/>
    <x v="5"/>
    <s v="ANT-0543"/>
    <s v="4G"/>
    <x v="2"/>
    <s v="Non Résolu"/>
    <n v="48"/>
    <s v="Bloqué 5Go"/>
    <n v="482"/>
    <d v="1899-12-30T08:02:00"/>
    <n v="83.24"/>
    <x v="1"/>
  </r>
  <r>
    <s v="Clients_Churn_Part_11.xlsx"/>
    <s v="CLI-01003"/>
    <x v="12"/>
    <s v="ANT-0677"/>
    <s v="4G"/>
    <x v="2"/>
    <s v="Non Résolu"/>
    <n v="11"/>
    <s v="Pro Monde"/>
    <n v="214"/>
    <d v="1899-12-30T03:34:00"/>
    <n v="11.46"/>
    <x v="4"/>
  </r>
  <r>
    <s v="Clients_Churn_Part_11.xlsx"/>
    <s v="CLI-00913"/>
    <x v="6"/>
    <s v="ANT-0833"/>
    <s v="3G"/>
    <x v="3"/>
    <s v="Non Résolu"/>
    <n v="88"/>
    <s v="Bloqué 5Go"/>
    <n v="246"/>
    <d v="1899-12-30T04:06:00"/>
    <n v="90.7"/>
    <x v="0"/>
  </r>
  <r>
    <s v="Clients_Churn_Part_11.xlsx"/>
    <s v="CLI-00795"/>
    <x v="14"/>
    <s v="ANT-0430"/>
    <s v="4G"/>
    <x v="2"/>
    <s v="Non Résolu"/>
    <n v="53"/>
    <s v="Premium 5G 150Go"/>
    <n v="243"/>
    <d v="1899-12-30T04:03:00"/>
    <n v="55.19"/>
    <x v="5"/>
  </r>
  <r>
    <s v="Clients_Churn_Part_11.xlsx"/>
    <s v="CLI-00976"/>
    <x v="23"/>
    <s v="ANT-0691"/>
    <s v="4G"/>
    <x v="1"/>
    <s v="Non Résolu"/>
    <n v="65"/>
    <s v="Pro Monde"/>
    <n v="274"/>
    <d v="1899-12-30T04:34:00"/>
    <n v="88.1"/>
    <x v="5"/>
  </r>
  <r>
    <s v="Clients_Churn_Part_11.xlsx"/>
    <s v="CLI-00550"/>
    <x v="21"/>
    <s v="ANT-0407"/>
    <s v="5G"/>
    <x v="0"/>
    <s v="En Cours"/>
    <n v="58"/>
    <s v="Pro Monde"/>
    <n v="352"/>
    <d v="1899-12-30T05:52:00"/>
    <n v="72.94"/>
    <x v="1"/>
  </r>
  <r>
    <s v="Clients_Churn_Part_11.xlsx"/>
    <s v="CLI-01544"/>
    <x v="7"/>
    <s v="ANT-0794"/>
    <s v="3G"/>
    <x v="3"/>
    <s v="Non Résolu"/>
    <n v="34"/>
    <s v="Illimité 50Go"/>
    <n v="401"/>
    <d v="1899-12-30T06:41:00"/>
    <n v="68.400000000000006"/>
    <x v="4"/>
  </r>
  <r>
    <s v="Clients_Churn_Part_12.xlsx"/>
    <s v="CLI-01722"/>
    <x v="15"/>
    <s v="ANT-0294"/>
    <s v="5G"/>
    <x v="3"/>
    <s v="Non Résolu"/>
    <n v="51"/>
    <s v="Illimité 50Go"/>
    <n v="152"/>
    <d v="1899-12-30T02:32:00"/>
    <n v="34.630000000000003"/>
    <x v="3"/>
  </r>
  <r>
    <s v="Clients_Churn_Part_12.xlsx"/>
    <s v="CLI-01654"/>
    <x v="25"/>
    <s v="ANT-0515"/>
    <s v="4G"/>
    <x v="0"/>
    <s v="Résolu"/>
    <n v="25"/>
    <s v="Bloqué 5Go"/>
    <n v="5"/>
    <d v="1899-12-30T00:05:00"/>
    <n v="27.93"/>
    <x v="1"/>
  </r>
  <r>
    <s v="Clients_Churn_Part_12.xlsx"/>
    <s v="CLI-01847"/>
    <x v="23"/>
    <s v="ANT-0691"/>
    <s v="4G"/>
    <x v="0"/>
    <s v="Résolu"/>
    <n v="79"/>
    <s v="Bloqué 5Go"/>
    <n v="462"/>
    <d v="1899-12-30T07:42:00"/>
    <n v="18.28"/>
    <x v="1"/>
  </r>
  <r>
    <s v="Clients_Churn_Part_12.xlsx"/>
    <s v="CLI-01816"/>
    <x v="16"/>
    <s v="ANT-0701"/>
    <s v="3G"/>
    <x v="3"/>
    <s v="En Cours"/>
    <n v="83"/>
    <s v="Pro Monde"/>
    <n v="91"/>
    <d v="1899-12-30T01:31:00"/>
    <n v="73.73"/>
    <x v="3"/>
  </r>
  <r>
    <s v="Clients_Churn_Part_12.xlsx"/>
    <s v="CLI-00755"/>
    <x v="24"/>
    <s v="ANT-0282"/>
    <s v="4G"/>
    <x v="0"/>
    <s v="Résolu"/>
    <n v="51"/>
    <s v="Bloqué 5Go"/>
    <n v="337"/>
    <d v="1899-12-30T05:37:00"/>
    <n v="68.67"/>
    <x v="4"/>
  </r>
  <r>
    <s v="Clients_Churn_Part_12.xlsx"/>
    <s v="CLI-01258"/>
    <x v="14"/>
    <s v="ANT-0430"/>
    <s v="4G"/>
    <x v="0"/>
    <s v="Résolu"/>
    <n v="107"/>
    <s v="Illimité 50Go"/>
    <n v="290"/>
    <d v="1899-12-30T04:50:00"/>
    <n v="52.03"/>
    <x v="1"/>
  </r>
  <r>
    <s v="Clients_Churn_Part_12.xlsx"/>
    <s v="CLI-00382"/>
    <x v="9"/>
    <s v="ANT-0270"/>
    <s v="5G"/>
    <x v="3"/>
    <s v="En Cours"/>
    <n v="7"/>
    <s v="Pro Monde"/>
    <n v="323"/>
    <d v="1899-12-30T05:23:00"/>
    <n v="82.81"/>
    <x v="4"/>
  </r>
  <r>
    <s v="Clients_Churn_Part_12.xlsx"/>
    <s v="CLI-00890"/>
    <x v="6"/>
    <s v="ANT-0833"/>
    <s v="3G"/>
    <x v="3"/>
    <s v="En Cours"/>
    <n v="103"/>
    <s v="Premium 5G 150Go"/>
    <n v="310"/>
    <d v="1899-12-30T05:10:00"/>
    <n v="49.25"/>
    <x v="3"/>
  </r>
  <r>
    <s v="Clients_Churn_Part_12.xlsx"/>
    <s v="CLI-01292"/>
    <x v="14"/>
    <s v="ANT-0430"/>
    <s v="4G"/>
    <x v="3"/>
    <s v="En Cours"/>
    <n v="120"/>
    <s v="Illimité 50Go"/>
    <n v="437"/>
    <d v="1899-12-30T07:17:00"/>
    <n v="95.17"/>
    <x v="2"/>
  </r>
  <r>
    <s v="Clients_Churn_Part_12.xlsx"/>
    <s v="CLI-00873"/>
    <x v="4"/>
    <s v="ANT-0441"/>
    <s v="3G"/>
    <x v="3"/>
    <s v="Non Résolu"/>
    <n v="74"/>
    <s v="Illimité 50Go"/>
    <n v="16"/>
    <d v="1899-12-30T00:16:00"/>
    <n v="93.01"/>
    <x v="0"/>
  </r>
  <r>
    <s v="Clients_Churn_Part_12.xlsx"/>
    <s v="CLI-00191"/>
    <x v="5"/>
    <s v="ANT-0543"/>
    <s v="4G"/>
    <x v="0"/>
    <s v="Résolu"/>
    <n v="55"/>
    <s v="Illimité 50Go"/>
    <n v="60"/>
    <d v="1899-12-30T01:00:00"/>
    <n v="32.51"/>
    <x v="5"/>
  </r>
  <r>
    <s v="Clients_Churn_Part_12.xlsx"/>
    <s v="CLI-00083"/>
    <x v="23"/>
    <s v="ANT-0691"/>
    <s v="4G"/>
    <x v="0"/>
    <s v="Résolu"/>
    <n v="17"/>
    <s v="Premium 5G 150Go"/>
    <n v="499"/>
    <d v="1899-12-30T08:19:00"/>
    <n v="27.81"/>
    <x v="3"/>
  </r>
  <r>
    <s v="Clients_Churn_Part_12.xlsx"/>
    <s v="CLI-01052"/>
    <x v="0"/>
    <s v="ANT-0966"/>
    <s v="3G"/>
    <x v="0"/>
    <s v="En Cours"/>
    <n v="82"/>
    <s v="Illimité 50Go"/>
    <n v="175"/>
    <d v="1899-12-30T02:55:00"/>
    <n v="86.14"/>
    <x v="2"/>
  </r>
  <r>
    <s v="Clients_Churn_Part_12.xlsx"/>
    <s v="CLI-00700"/>
    <x v="2"/>
    <s v="ANT-0715"/>
    <s v="4G"/>
    <x v="0"/>
    <s v="En Cours"/>
    <n v="50"/>
    <s v="Illimité 50Go"/>
    <n v="177"/>
    <d v="1899-12-30T02:57:00"/>
    <n v="74.569999999999993"/>
    <x v="5"/>
  </r>
  <r>
    <s v="Clients_Churn_Part_12.xlsx"/>
    <s v="CLI-00950"/>
    <x v="11"/>
    <s v="ANT-0110"/>
    <s v="3G"/>
    <x v="0"/>
    <s v="En Cours"/>
    <n v="94"/>
    <s v="Pro Monde"/>
    <n v="247"/>
    <d v="1899-12-30T04:07:00"/>
    <n v="96.57"/>
    <x v="1"/>
  </r>
  <r>
    <s v="Clients_Churn_Part_12.xlsx"/>
    <s v="CLI-01386"/>
    <x v="5"/>
    <s v="ANT-0543"/>
    <s v="4G"/>
    <x v="0"/>
    <s v="En Cours"/>
    <n v="23"/>
    <s v="Premium 5G 150Go"/>
    <n v="314"/>
    <d v="1899-12-30T05:14:00"/>
    <n v="19.260000000000002"/>
    <x v="0"/>
  </r>
  <r>
    <s v="Clients_Churn_Part_12.xlsx"/>
    <s v="CLI-01704"/>
    <x v="3"/>
    <s v="ANT-0957"/>
    <s v="4G"/>
    <x v="2"/>
    <s v="En Cours"/>
    <n v="52"/>
    <s v="Bloqué 5Go"/>
    <n v="307"/>
    <d v="1899-12-30T05:07:00"/>
    <n v="81.38"/>
    <x v="3"/>
  </r>
  <r>
    <s v="Clients_Churn_Part_12.xlsx"/>
    <s v="CLI-01327"/>
    <x v="24"/>
    <s v="ANT-0282"/>
    <s v="4G"/>
    <x v="2"/>
    <s v="En Cours"/>
    <n v="116"/>
    <s v="Premium 5G 150Go"/>
    <n v="279"/>
    <d v="1899-12-30T04:39:00"/>
    <n v="62.88"/>
    <x v="5"/>
  </r>
  <r>
    <s v="Clients_Churn_Part_12.xlsx"/>
    <s v="CLI-01406"/>
    <x v="18"/>
    <s v="ANT-0690"/>
    <s v="3G"/>
    <x v="0"/>
    <s v="Résolu"/>
    <n v="41"/>
    <s v="Bloqué 5Go"/>
    <n v="2"/>
    <d v="1899-12-30T00:02:00"/>
    <n v="24.91"/>
    <x v="2"/>
  </r>
  <r>
    <s v="Clients_Churn_Part_12.xlsx"/>
    <s v="CLI-00318"/>
    <x v="4"/>
    <s v="ANT-0441"/>
    <s v="3G"/>
    <x v="0"/>
    <s v="Résolu"/>
    <n v="67"/>
    <s v="Illimité 50Go"/>
    <n v="81"/>
    <d v="1899-12-30T01:21:00"/>
    <n v="28.52"/>
    <x v="5"/>
  </r>
  <r>
    <s v="Clients_Churn_Part_12.xlsx"/>
    <s v="CLI-01015"/>
    <x v="5"/>
    <s v="ANT-0587"/>
    <s v="4G"/>
    <x v="1"/>
    <s v="Non Résolu"/>
    <n v="21"/>
    <s v="Bloqué 5Go"/>
    <n v="267"/>
    <d v="1899-12-30T04:27:00"/>
    <n v="74.989999999999995"/>
    <x v="2"/>
  </r>
  <r>
    <s v="Clients_Churn_Part_12.xlsx"/>
    <s v="CLI-01080"/>
    <x v="15"/>
    <s v="ANT-0066"/>
    <s v="5G"/>
    <x v="1"/>
    <s v="Non Résolu"/>
    <n v="56"/>
    <s v="Bloqué 5Go"/>
    <n v="379"/>
    <d v="1899-12-30T06:19:00"/>
    <n v="49.01"/>
    <x v="1"/>
  </r>
  <r>
    <s v="Clients_Churn_Part_12.xlsx"/>
    <s v="CLI-01290"/>
    <x v="20"/>
    <s v="ANT-0839"/>
    <s v="4G"/>
    <x v="3"/>
    <s v="Résolu"/>
    <n v="30"/>
    <s v="Bloqué 5Go"/>
    <n v="130"/>
    <d v="1899-12-30T02:10:00"/>
    <n v="50.15"/>
    <x v="5"/>
  </r>
  <r>
    <s v="Clients_Churn_Part_12.xlsx"/>
    <s v="CLI-01473"/>
    <x v="10"/>
    <s v="ANT-0205"/>
    <s v="4G"/>
    <x v="3"/>
    <s v="Résolu"/>
    <n v="13"/>
    <s v="Pro Monde"/>
    <n v="474"/>
    <d v="1899-12-30T07:54:00"/>
    <n v="63.67"/>
    <x v="3"/>
  </r>
  <r>
    <s v="Clients_Churn_Part_12.xlsx"/>
    <s v="CLI-01075"/>
    <x v="19"/>
    <s v="ANT-0533"/>
    <s v="3G"/>
    <x v="0"/>
    <s v="En Cours"/>
    <n v="91"/>
    <s v="Bloqué 5Go"/>
    <n v="62"/>
    <d v="1899-12-30T01:02:00"/>
    <n v="34.450000000000003"/>
    <x v="4"/>
  </r>
  <r>
    <s v="Clients_Churn_Part_12.xlsx"/>
    <s v="CLI-01971"/>
    <x v="1"/>
    <s v="ANT-0081"/>
    <s v="4G"/>
    <x v="1"/>
    <s v="Non Résolu"/>
    <n v="103"/>
    <s v="Bloqué 5Go"/>
    <n v="98"/>
    <d v="1899-12-30T01:38:00"/>
    <n v="38.69"/>
    <x v="5"/>
  </r>
  <r>
    <s v="Clients_Churn_Part_12.xlsx"/>
    <s v="CLI-00596"/>
    <x v="19"/>
    <s v="ANT-0533"/>
    <s v="3G"/>
    <x v="0"/>
    <s v="Résolu"/>
    <n v="17"/>
    <s v="Illimité 50Go"/>
    <n v="310"/>
    <d v="1899-12-30T05:10:00"/>
    <n v="19.68"/>
    <x v="4"/>
  </r>
  <r>
    <s v="Clients_Churn_Part_12.xlsx"/>
    <s v="CLI-01871"/>
    <x v="10"/>
    <s v="ANT-0205"/>
    <s v="4G"/>
    <x v="3"/>
    <s v="Non Résolu"/>
    <n v="65"/>
    <s v="Premium 5G 150Go"/>
    <n v="15"/>
    <d v="1899-12-30T00:15:00"/>
    <n v="44.47"/>
    <x v="1"/>
  </r>
  <r>
    <s v="Clients_Churn_Part_12.xlsx"/>
    <s v="CLI-00896"/>
    <x v="5"/>
    <s v="ANT-0587"/>
    <s v="4G"/>
    <x v="3"/>
    <s v="Non Résolu"/>
    <n v="16"/>
    <s v="Premium 5G 150Go"/>
    <n v="274"/>
    <d v="1899-12-30T04:34:00"/>
    <n v="27.97"/>
    <x v="5"/>
  </r>
  <r>
    <s v="Clients_Churn_Part_12.xlsx"/>
    <s v="CLI-00163"/>
    <x v="0"/>
    <s v="ANT-0966"/>
    <s v="3G"/>
    <x v="0"/>
    <s v="Résolu"/>
    <n v="81"/>
    <s v="Illimité 50Go"/>
    <n v="11"/>
    <d v="1899-12-30T00:11:00"/>
    <n v="41.76"/>
    <x v="4"/>
  </r>
  <r>
    <s v="Clients_Churn_Part_12.xlsx"/>
    <s v="CLI-00979"/>
    <x v="1"/>
    <s v="ANT-0081"/>
    <s v="4G"/>
    <x v="3"/>
    <s v="Non Résolu"/>
    <n v="74"/>
    <s v="Bloqué 5Go"/>
    <n v="265"/>
    <d v="1899-12-30T04:25:00"/>
    <n v="90.81"/>
    <x v="0"/>
  </r>
  <r>
    <s v="Clients_Churn_Part_12.xlsx"/>
    <s v="CLI-00616"/>
    <x v="15"/>
    <s v="ANT-0066"/>
    <s v="5G"/>
    <x v="1"/>
    <s v="Résolu"/>
    <n v="101"/>
    <s v="Bloqué 5Go"/>
    <n v="262"/>
    <d v="1899-12-30T04:22:00"/>
    <n v="83.74"/>
    <x v="4"/>
  </r>
  <r>
    <s v="Clients_Churn_Part_12.xlsx"/>
    <s v="CLI-01578"/>
    <x v="18"/>
    <s v="ANT-0690"/>
    <s v="3G"/>
    <x v="0"/>
    <s v="Non Résolu"/>
    <n v="51"/>
    <s v="Pro Monde"/>
    <n v="389"/>
    <d v="1899-12-30T06:29:00"/>
    <n v="50.45"/>
    <x v="0"/>
  </r>
  <r>
    <s v="Clients_Churn_Part_12.xlsx"/>
    <s v="CLI-01604"/>
    <x v="0"/>
    <s v="ANT-0966"/>
    <s v="3G"/>
    <x v="0"/>
    <s v="Non Résolu"/>
    <n v="108"/>
    <s v="Premium 5G 150Go"/>
    <n v="78"/>
    <d v="1899-12-30T01:18:00"/>
    <n v="90.05"/>
    <x v="3"/>
  </r>
  <r>
    <s v="Clients_Churn_Part_12.xlsx"/>
    <s v="CLI-01669"/>
    <x v="17"/>
    <s v="ANT-0737"/>
    <s v="5G"/>
    <x v="0"/>
    <s v="Non Résolu"/>
    <n v="98"/>
    <s v="Illimité 50Go"/>
    <n v="110"/>
    <d v="1899-12-30T01:50:00"/>
    <n v="96.23"/>
    <x v="3"/>
  </r>
  <r>
    <s v="Clients_Churn_Part_12.xlsx"/>
    <s v="CLI-01419"/>
    <x v="18"/>
    <s v="ANT-0690"/>
    <s v="3G"/>
    <x v="0"/>
    <s v="Non Résolu"/>
    <n v="81"/>
    <s v="Pro Monde"/>
    <n v="443"/>
    <d v="1899-12-30T07:23:00"/>
    <n v="32.78"/>
    <x v="2"/>
  </r>
  <r>
    <s v="Clients_Churn_Part_12.xlsx"/>
    <s v="CLI-00510"/>
    <x v="18"/>
    <s v="ANT-0690"/>
    <s v="3G"/>
    <x v="0"/>
    <s v="Non Résolu"/>
    <n v="118"/>
    <s v="Bloqué 5Go"/>
    <n v="186"/>
    <d v="1899-12-30T03:06:00"/>
    <n v="46.88"/>
    <x v="2"/>
  </r>
  <r>
    <s v="Clients_Churn_Part_12.xlsx"/>
    <s v="CLI-01072"/>
    <x v="13"/>
    <s v="ANT-0056"/>
    <s v="4G"/>
    <x v="3"/>
    <s v="En Cours"/>
    <n v="34"/>
    <s v="Pro Monde"/>
    <n v="58"/>
    <d v="1899-12-30T00:58:00"/>
    <n v="64.349999999999994"/>
    <x v="1"/>
  </r>
  <r>
    <s v="Clients_Churn_Part_12.xlsx"/>
    <s v="CLI-00876"/>
    <x v="5"/>
    <s v="ANT-0587"/>
    <s v="4G"/>
    <x v="3"/>
    <s v="En Cours"/>
    <n v="108"/>
    <s v="Bloqué 5Go"/>
    <n v="460"/>
    <d v="1899-12-30T07:40:00"/>
    <n v="88.95"/>
    <x v="0"/>
  </r>
  <r>
    <s v="Clients_Churn_Part_12.xlsx"/>
    <s v="CLI-00606"/>
    <x v="4"/>
    <s v="ANT-0745"/>
    <s v="5G"/>
    <x v="3"/>
    <s v="En Cours"/>
    <n v="71"/>
    <s v="Pro Monde"/>
    <n v="111"/>
    <d v="1899-12-30T01:51:00"/>
    <n v="95.53"/>
    <x v="0"/>
  </r>
  <r>
    <s v="Clients_Churn_Part_12.xlsx"/>
    <s v="CLI-01165"/>
    <x v="20"/>
    <s v="ANT-0839"/>
    <s v="4G"/>
    <x v="3"/>
    <s v="En Cours"/>
    <n v="21"/>
    <s v="Bloqué 5Go"/>
    <n v="15"/>
    <d v="1899-12-30T00:15:00"/>
    <n v="57.74"/>
    <x v="1"/>
  </r>
  <r>
    <s v="Clients_Churn_Part_12.xlsx"/>
    <s v="CLI-00098"/>
    <x v="3"/>
    <s v="ANT-0957"/>
    <s v="4G"/>
    <x v="3"/>
    <s v="En Cours"/>
    <n v="42"/>
    <s v="Pro Monde"/>
    <n v="167"/>
    <d v="1899-12-30T02:47:00"/>
    <n v="45.85"/>
    <x v="3"/>
  </r>
  <r>
    <s v="Clients_Churn_Part_12.xlsx"/>
    <s v="CLI-01129"/>
    <x v="8"/>
    <s v="ANT-0416"/>
    <s v="3G"/>
    <x v="2"/>
    <s v="Résolu"/>
    <n v="27"/>
    <s v="Bloqué 5Go"/>
    <n v="70"/>
    <d v="1899-12-30T01:10:00"/>
    <n v="20.32"/>
    <x v="0"/>
  </r>
  <r>
    <s v="Clients_Churn_Part_12.xlsx"/>
    <s v="CLI-00157"/>
    <x v="21"/>
    <s v="ANT-0407"/>
    <s v="5G"/>
    <x v="3"/>
    <s v="Non Résolu"/>
    <n v="12"/>
    <s v="Illimité 50Go"/>
    <n v="112"/>
    <d v="1899-12-30T01:52:00"/>
    <n v="82.81"/>
    <x v="1"/>
  </r>
  <r>
    <s v="Clients_Churn_Part_12.xlsx"/>
    <s v="CLI-00093"/>
    <x v="21"/>
    <s v="ANT-0407"/>
    <s v="5G"/>
    <x v="3"/>
    <s v="Non Résolu"/>
    <n v="12"/>
    <s v="Pro Monde"/>
    <n v="42"/>
    <d v="1899-12-30T00:42:00"/>
    <n v="48.64"/>
    <x v="1"/>
  </r>
  <r>
    <s v="Clients_Churn_Part_12.xlsx"/>
    <s v="CLI-01438"/>
    <x v="7"/>
    <s v="ANT-0794"/>
    <s v="3G"/>
    <x v="2"/>
    <s v="Résolu"/>
    <n v="4"/>
    <s v="Pro Monde"/>
    <n v="372"/>
    <d v="1899-12-30T06:12:00"/>
    <n v="26.73"/>
    <x v="0"/>
  </r>
  <r>
    <s v="Clients_Churn_Part_12.xlsx"/>
    <s v="CLI-00221"/>
    <x v="22"/>
    <s v="ANT-0607"/>
    <s v="4G"/>
    <x v="0"/>
    <s v="Non Résolu"/>
    <n v="56"/>
    <s v="Premium 5G 150Go"/>
    <n v="354"/>
    <d v="1899-12-30T05:54:00"/>
    <n v="32.08"/>
    <x v="2"/>
  </r>
  <r>
    <s v="Clients_Churn_Part_12.xlsx"/>
    <s v="CLI-01046"/>
    <x v="0"/>
    <s v="ANT-0966"/>
    <s v="3G"/>
    <x v="2"/>
    <s v="Résolu"/>
    <n v="2"/>
    <s v="Pro Monde"/>
    <n v="481"/>
    <d v="1899-12-30T08:01:00"/>
    <n v="29.37"/>
    <x v="5"/>
  </r>
  <r>
    <s v="Clients_Churn_Part_12.xlsx"/>
    <s v="CLI-00871"/>
    <x v="15"/>
    <s v="ANT-0066"/>
    <s v="5G"/>
    <x v="0"/>
    <s v="Non Résolu"/>
    <n v="81"/>
    <s v="Illimité 50Go"/>
    <n v="64"/>
    <d v="1899-12-30T01:04:00"/>
    <n v="43.45"/>
    <x v="3"/>
  </r>
  <r>
    <s v="Clients_Churn_Part_12.xlsx"/>
    <s v="CLI-01820"/>
    <x v="16"/>
    <s v="ANT-0701"/>
    <s v="3G"/>
    <x v="0"/>
    <s v="Non Résolu"/>
    <n v="99"/>
    <s v="Illimité 50Go"/>
    <n v="137"/>
    <d v="1899-12-30T02:17:00"/>
    <n v="23.05"/>
    <x v="5"/>
  </r>
  <r>
    <s v="Clients_Churn_Part_13.xlsx"/>
    <s v="CLI-01530"/>
    <x v="10"/>
    <s v="ANT-0205"/>
    <s v="4G"/>
    <x v="0"/>
    <s v="Non Résolu"/>
    <n v="18"/>
    <s v="Pro Monde"/>
    <n v="75"/>
    <d v="1899-12-30T01:15:00"/>
    <n v="57.66"/>
    <x v="2"/>
  </r>
  <r>
    <s v="Clients_Churn_Part_13.xlsx"/>
    <s v="CLI-00952"/>
    <x v="18"/>
    <s v="ANT-0690"/>
    <s v="3G"/>
    <x v="0"/>
    <s v="Non Résolu"/>
    <n v="14"/>
    <s v="Pro Monde"/>
    <n v="236"/>
    <d v="1899-12-30T03:56:00"/>
    <n v="54.43"/>
    <x v="0"/>
  </r>
  <r>
    <s v="Clients_Churn_Part_13.xlsx"/>
    <s v="CLI-01354"/>
    <x v="2"/>
    <s v="ANT-0837"/>
    <s v="5G"/>
    <x v="3"/>
    <s v="Non Résolu"/>
    <n v="42"/>
    <s v="Bloqué 5Go"/>
    <n v="448"/>
    <d v="1899-12-30T07:28:00"/>
    <n v="49.02"/>
    <x v="1"/>
  </r>
  <r>
    <s v="Clients_Churn_Part_13.xlsx"/>
    <s v="CLI-01410"/>
    <x v="5"/>
    <s v="ANT-0587"/>
    <s v="4G"/>
    <x v="0"/>
    <s v="En Cours"/>
    <n v="111"/>
    <s v="Illimité 50Go"/>
    <n v="54"/>
    <d v="1899-12-30T00:54:00"/>
    <n v="71.3"/>
    <x v="1"/>
  </r>
  <r>
    <s v="Clients_Churn_Part_13.xlsx"/>
    <s v="CLI-01868"/>
    <x v="22"/>
    <s v="ANT-0607"/>
    <s v="4G"/>
    <x v="1"/>
    <s v="Résolu"/>
    <n v="89"/>
    <s v="Pro Monde"/>
    <n v="381"/>
    <d v="1899-12-30T06:21:00"/>
    <n v="68.17"/>
    <x v="1"/>
  </r>
  <r>
    <s v="Clients_Churn_Part_13.xlsx"/>
    <s v="CLI-00728"/>
    <x v="18"/>
    <s v="ANT-0690"/>
    <s v="3G"/>
    <x v="2"/>
    <s v="En Cours"/>
    <n v="93"/>
    <s v="Pro Monde"/>
    <n v="56"/>
    <d v="1899-12-30T00:56:00"/>
    <n v="96.31"/>
    <x v="5"/>
  </r>
  <r>
    <s v="Clients_Churn_Part_13.xlsx"/>
    <s v="CLI-00522"/>
    <x v="23"/>
    <s v="ANT-0185"/>
    <s v="5G"/>
    <x v="3"/>
    <s v="Non Résolu"/>
    <n v="56"/>
    <s v="Premium 5G 150Go"/>
    <n v="123"/>
    <d v="1899-12-30T02:03:00"/>
    <n v="29.76"/>
    <x v="4"/>
  </r>
  <r>
    <s v="Clients_Churn_Part_13.xlsx"/>
    <s v="CLI-01542"/>
    <x v="10"/>
    <s v="ANT-0205"/>
    <s v="4G"/>
    <x v="1"/>
    <s v="Résolu"/>
    <n v="29"/>
    <s v="Premium 5G 150Go"/>
    <n v="8"/>
    <d v="1899-12-30T00:08:00"/>
    <n v="14.78"/>
    <x v="3"/>
  </r>
  <r>
    <s v="Clients_Churn_Part_13.xlsx"/>
    <s v="CLI-00168"/>
    <x v="13"/>
    <s v="ANT-0056"/>
    <s v="4G"/>
    <x v="1"/>
    <s v="Résolu"/>
    <n v="22"/>
    <s v="Pro Monde"/>
    <n v="457"/>
    <d v="1899-12-30T07:37:00"/>
    <n v="13.21"/>
    <x v="2"/>
  </r>
  <r>
    <s v="Clients_Churn_Part_13.xlsx"/>
    <s v="CLI-01619"/>
    <x v="24"/>
    <s v="ANT-0564"/>
    <s v="5G"/>
    <x v="2"/>
    <s v="En Cours"/>
    <n v="12"/>
    <s v="Illimité 50Go"/>
    <n v="235"/>
    <d v="1899-12-30T03:55:00"/>
    <n v="33.96"/>
    <x v="5"/>
  </r>
  <r>
    <s v="Clients_Churn_Part_13.xlsx"/>
    <s v="CLI-00034"/>
    <x v="17"/>
    <s v="ANT-0737"/>
    <s v="5G"/>
    <x v="2"/>
    <s v="En Cours"/>
    <n v="25"/>
    <s v="Bloqué 5Go"/>
    <n v="95"/>
    <d v="1899-12-30T01:35:00"/>
    <n v="15.93"/>
    <x v="5"/>
  </r>
  <r>
    <s v="Clients_Churn_Part_13.xlsx"/>
    <s v="CLI-00234"/>
    <x v="16"/>
    <s v="ANT-0578"/>
    <s v="5G"/>
    <x v="2"/>
    <s v="En Cours"/>
    <n v="93"/>
    <s v="Premium 5G 150Go"/>
    <n v="136"/>
    <d v="1899-12-30T02:16:00"/>
    <n v="19.09"/>
    <x v="2"/>
  </r>
  <r>
    <s v="Clients_Churn_Part_13.xlsx"/>
    <s v="CLI-01355"/>
    <x v="20"/>
    <s v="ANT-0839"/>
    <s v="4G"/>
    <x v="0"/>
    <s v="Non Résolu"/>
    <n v="116"/>
    <s v="Premium 5G 150Go"/>
    <n v="14"/>
    <d v="1899-12-30T00:14:00"/>
    <n v="30.38"/>
    <x v="2"/>
  </r>
  <r>
    <s v="Clients_Churn_Part_13.xlsx"/>
    <s v="CLI-01731"/>
    <x v="17"/>
    <s v="ANT-0737"/>
    <s v="5G"/>
    <x v="3"/>
    <s v="Non Résolu"/>
    <n v="104"/>
    <s v="Bloqué 5Go"/>
    <n v="243"/>
    <d v="1899-12-30T04:03:00"/>
    <n v="65.819999999999993"/>
    <x v="1"/>
  </r>
  <r>
    <s v="Clients_Churn_Part_13.xlsx"/>
    <s v="CLI-01622"/>
    <x v="21"/>
    <s v="ANT-0117"/>
    <s v="4G"/>
    <x v="0"/>
    <s v="Non Résolu"/>
    <n v="48"/>
    <s v="Premium 5G 150Go"/>
    <n v="338"/>
    <d v="1899-12-30T05:38:00"/>
    <n v="74.42"/>
    <x v="1"/>
  </r>
  <r>
    <s v="Clients_Churn_Part_13.xlsx"/>
    <s v="CLI-00374"/>
    <x v="2"/>
    <s v="ANT-0837"/>
    <s v="5G"/>
    <x v="3"/>
    <s v="Non Résolu"/>
    <n v="105"/>
    <s v="Illimité 50Go"/>
    <n v="271"/>
    <d v="1899-12-30T04:31:00"/>
    <n v="45.27"/>
    <x v="3"/>
  </r>
  <r>
    <s v="Clients_Churn_Part_13.xlsx"/>
    <s v="CLI-01861"/>
    <x v="18"/>
    <s v="ANT-0690"/>
    <s v="3G"/>
    <x v="0"/>
    <s v="Non Résolu"/>
    <n v="116"/>
    <s v="Illimité 50Go"/>
    <n v="231"/>
    <d v="1899-12-30T03:51:00"/>
    <n v="19.12"/>
    <x v="4"/>
  </r>
  <r>
    <s v="Clients_Churn_Part_13.xlsx"/>
    <s v="CLI-01432"/>
    <x v="12"/>
    <s v="ANT-0843"/>
    <s v="5G"/>
    <x v="3"/>
    <s v="Non Résolu"/>
    <n v="69"/>
    <s v="Bloqué 5Go"/>
    <n v="180"/>
    <d v="1899-12-30T03:00:00"/>
    <n v="76.05"/>
    <x v="3"/>
  </r>
  <r>
    <s v="Clients_Churn_Part_13.xlsx"/>
    <s v="CLI-00171"/>
    <x v="6"/>
    <s v="ANT-0775"/>
    <s v="3G"/>
    <x v="0"/>
    <s v="Non Résolu"/>
    <n v="1"/>
    <s v="Bloqué 5Go"/>
    <n v="135"/>
    <d v="1899-12-30T02:15:00"/>
    <n v="89.16"/>
    <x v="0"/>
  </r>
  <r>
    <s v="Clients_Churn_Part_13.xlsx"/>
    <s v="CLI-01535"/>
    <x v="14"/>
    <s v="ANT-0524"/>
    <s v="4G"/>
    <x v="1"/>
    <s v="Non Résolu"/>
    <n v="120"/>
    <s v="Pro Monde"/>
    <n v="60"/>
    <d v="1899-12-30T01:00:00"/>
    <n v="34.14"/>
    <x v="0"/>
  </r>
  <r>
    <s v="Clients_Churn_Part_13.xlsx"/>
    <s v="CLI-01843"/>
    <x v="5"/>
    <s v="ANT-0587"/>
    <s v="4G"/>
    <x v="2"/>
    <s v="Résolu"/>
    <n v="89"/>
    <s v="Bloqué 5Go"/>
    <n v="474"/>
    <d v="1899-12-30T07:54:00"/>
    <n v="28.51"/>
    <x v="4"/>
  </r>
  <r>
    <s v="Clients_Churn_Part_13.xlsx"/>
    <s v="CLI-01780"/>
    <x v="0"/>
    <s v="ANT-0966"/>
    <s v="3G"/>
    <x v="0"/>
    <s v="Non Résolu"/>
    <n v="112"/>
    <s v="Illimité 50Go"/>
    <n v="281"/>
    <d v="1899-12-30T04:41:00"/>
    <n v="80.72"/>
    <x v="3"/>
  </r>
  <r>
    <s v="Clients_Churn_Part_13.xlsx"/>
    <s v="CLI-01203"/>
    <x v="3"/>
    <s v="ANT-0957"/>
    <s v="4G"/>
    <x v="2"/>
    <s v="Résolu"/>
    <n v="7"/>
    <s v="Bloqué 5Go"/>
    <n v="43"/>
    <d v="1899-12-30T00:43:00"/>
    <n v="41.29"/>
    <x v="5"/>
  </r>
  <r>
    <s v="Clients_Churn_Part_13.xlsx"/>
    <s v="CLI-00932"/>
    <x v="10"/>
    <s v="ANT-0276"/>
    <s v="4G"/>
    <x v="2"/>
    <s v="Résolu"/>
    <n v="34"/>
    <s v="Illimité 50Go"/>
    <n v="181"/>
    <d v="1899-12-30T03:01:00"/>
    <n v="35.92"/>
    <x v="3"/>
  </r>
  <r>
    <s v="Clients_Churn_Part_13.xlsx"/>
    <s v="CLI-01373"/>
    <x v="19"/>
    <s v="ANT-0533"/>
    <s v="3G"/>
    <x v="0"/>
    <s v="Non Résolu"/>
    <n v="114"/>
    <s v="Pro Monde"/>
    <n v="220"/>
    <d v="1899-12-30T03:40:00"/>
    <n v="63.67"/>
    <x v="4"/>
  </r>
  <r>
    <s v="Clients_Churn_Part_13.xlsx"/>
    <s v="CLI-00922"/>
    <x v="21"/>
    <s v="ANT-0143"/>
    <s v="4G"/>
    <x v="2"/>
    <s v="Non Résolu"/>
    <n v="101"/>
    <s v="Pro Monde"/>
    <n v="108"/>
    <d v="1899-12-30T01:48:00"/>
    <n v="76.05"/>
    <x v="0"/>
  </r>
  <r>
    <s v="Clients_Churn_Part_13.xlsx"/>
    <s v="CLI-01278"/>
    <x v="25"/>
    <s v="ANT-0869"/>
    <s v="5G"/>
    <x v="1"/>
    <s v="Non Résolu"/>
    <n v="6"/>
    <s v="Illimité 50Go"/>
    <n v="77"/>
    <d v="1899-12-30T01:17:00"/>
    <n v="18.48"/>
    <x v="3"/>
  </r>
  <r>
    <s v="Clients_Churn_Part_13.xlsx"/>
    <s v="CLI-00543"/>
    <x v="4"/>
    <s v="ANT-0745"/>
    <s v="5G"/>
    <x v="1"/>
    <s v="Non Résolu"/>
    <n v="15"/>
    <s v="Pro Monde"/>
    <n v="203"/>
    <d v="1899-12-30T03:23:00"/>
    <n v="55.29"/>
    <x v="3"/>
  </r>
  <r>
    <s v="Clients_Churn_Part_13.xlsx"/>
    <s v="CLI-01728"/>
    <x v="24"/>
    <s v="ANT-0282"/>
    <s v="4G"/>
    <x v="2"/>
    <s v="Non Résolu"/>
    <n v="7"/>
    <s v="Bloqué 5Go"/>
    <n v="257"/>
    <d v="1899-12-30T04:17:00"/>
    <n v="73.040000000000006"/>
    <x v="0"/>
  </r>
  <r>
    <s v="Clients_Churn_Part_13.xlsx"/>
    <s v="CLI-00384"/>
    <x v="12"/>
    <s v="ANT-0843"/>
    <s v="5G"/>
    <x v="3"/>
    <s v="En Cours"/>
    <n v="39"/>
    <s v="Premium 5G 150Go"/>
    <n v="220"/>
    <d v="1899-12-30T03:40:00"/>
    <n v="52.91"/>
    <x v="1"/>
  </r>
  <r>
    <s v="Clients_Churn_Part_13.xlsx"/>
    <s v="CLI-01496"/>
    <x v="16"/>
    <s v="ANT-0988"/>
    <s v="5G"/>
    <x v="3"/>
    <s v="En Cours"/>
    <n v="10"/>
    <s v="Illimité 50Go"/>
    <n v="260"/>
    <d v="1899-12-30T04:20:00"/>
    <n v="37.479999999999997"/>
    <x v="3"/>
  </r>
  <r>
    <s v="Clients_Churn_Part_13.xlsx"/>
    <s v="CLI-00380"/>
    <x v="25"/>
    <s v="ANT-0869"/>
    <s v="5G"/>
    <x v="3"/>
    <s v="En Cours"/>
    <n v="34"/>
    <s v="Premium 5G 150Go"/>
    <n v="170"/>
    <d v="1899-12-30T02:50:00"/>
    <n v="91.6"/>
    <x v="3"/>
  </r>
  <r>
    <s v="Clients_Churn_Part_13.xlsx"/>
    <s v="CLI-00161"/>
    <x v="21"/>
    <s v="ANT-0143"/>
    <s v="4G"/>
    <x v="2"/>
    <s v="Non Résolu"/>
    <n v="43"/>
    <s v="Premium 5G 150Go"/>
    <n v="27"/>
    <d v="1899-12-30T00:27:00"/>
    <n v="31.48"/>
    <x v="4"/>
  </r>
  <r>
    <s v="Clients_Churn_Part_13.xlsx"/>
    <s v="CLI-01238"/>
    <x v="6"/>
    <s v="ANT-0775"/>
    <s v="3G"/>
    <x v="3"/>
    <s v="En Cours"/>
    <n v="89"/>
    <s v="Pro Monde"/>
    <n v="225"/>
    <d v="1899-12-30T03:45:00"/>
    <n v="38.36"/>
    <x v="3"/>
  </r>
  <r>
    <s v="Clients_Churn_Part_13.xlsx"/>
    <s v="CLI-00532"/>
    <x v="8"/>
    <s v="ANT-0419"/>
    <s v="3G"/>
    <x v="3"/>
    <s v="En Cours"/>
    <n v="79"/>
    <s v="Illimité 50Go"/>
    <n v="139"/>
    <d v="1899-12-30T02:19:00"/>
    <n v="16.25"/>
    <x v="5"/>
  </r>
  <r>
    <s v="Clients_Churn_Part_13.xlsx"/>
    <s v="CLI-01520"/>
    <x v="17"/>
    <s v="ANT-0737"/>
    <s v="5G"/>
    <x v="3"/>
    <s v="En Cours"/>
    <n v="102"/>
    <s v="Bloqué 5Go"/>
    <n v="189"/>
    <d v="1899-12-30T03:09:00"/>
    <n v="26.86"/>
    <x v="4"/>
  </r>
  <r>
    <s v="Clients_Churn_Part_13.xlsx"/>
    <s v="CLI-00889"/>
    <x v="24"/>
    <s v="ANT-0282"/>
    <s v="4G"/>
    <x v="2"/>
    <s v="Non Résolu"/>
    <n v="104"/>
    <s v="Illimité 50Go"/>
    <n v="50"/>
    <d v="1899-12-30T00:50:00"/>
    <n v="90.99"/>
    <x v="5"/>
  </r>
  <r>
    <s v="Clients_Churn_Part_13.xlsx"/>
    <s v="CLI-01095"/>
    <x v="10"/>
    <s v="ANT-0276"/>
    <s v="4G"/>
    <x v="2"/>
    <s v="Non Résolu"/>
    <n v="49"/>
    <s v="Illimité 50Go"/>
    <n v="25"/>
    <d v="1899-12-30T00:25:00"/>
    <n v="22.77"/>
    <x v="0"/>
  </r>
  <r>
    <s v="Clients_Churn_Part_13.xlsx"/>
    <s v="CLI-00037"/>
    <x v="11"/>
    <s v="ANT-0357"/>
    <s v="5G"/>
    <x v="3"/>
    <s v="Résolu"/>
    <n v="35"/>
    <s v="Premium 5G 150Go"/>
    <n v="332"/>
    <d v="1899-12-30T05:32:00"/>
    <n v="11.15"/>
    <x v="1"/>
  </r>
  <r>
    <s v="Clients_Churn_Part_13.xlsx"/>
    <s v="CLI-01759"/>
    <x v="23"/>
    <s v="ANT-0248"/>
    <s v="4G"/>
    <x v="2"/>
    <s v="En Cours"/>
    <n v="90"/>
    <s v="Pro Monde"/>
    <n v="195"/>
    <d v="1899-12-30T03:15:00"/>
    <n v="52.71"/>
    <x v="3"/>
  </r>
  <r>
    <s v="Clients_Churn_Part_13.xlsx"/>
    <s v="CLI-01629"/>
    <x v="6"/>
    <s v="ANT-0775"/>
    <s v="3G"/>
    <x v="3"/>
    <s v="Non Résolu"/>
    <n v="22"/>
    <s v="Pro Monde"/>
    <n v="374"/>
    <d v="1899-12-30T06:14:00"/>
    <n v="40.06"/>
    <x v="4"/>
  </r>
  <r>
    <s v="Clients_Churn_Part_13.xlsx"/>
    <s v="CLI-00239"/>
    <x v="2"/>
    <s v="ANT-0837"/>
    <s v="5G"/>
    <x v="3"/>
    <s v="Non Résolu"/>
    <n v="119"/>
    <s v="Illimité 50Go"/>
    <n v="475"/>
    <d v="1899-12-30T07:55:00"/>
    <n v="25.98"/>
    <x v="5"/>
  </r>
  <r>
    <s v="Clients_Churn_Part_13.xlsx"/>
    <s v="CLI-00028"/>
    <x v="14"/>
    <s v="ANT-0524"/>
    <s v="4G"/>
    <x v="2"/>
    <s v="En Cours"/>
    <n v="18"/>
    <s v="Pro Monde"/>
    <n v="216"/>
    <d v="1899-12-30T03:36:00"/>
    <n v="33.74"/>
    <x v="4"/>
  </r>
  <r>
    <s v="Clients_Churn_Part_13.xlsx"/>
    <s v="CLI-00352"/>
    <x v="4"/>
    <s v="ANT-0557"/>
    <s v="3G"/>
    <x v="3"/>
    <s v="Non Résolu"/>
    <n v="75"/>
    <s v="Illimité 50Go"/>
    <n v="99"/>
    <d v="1899-12-30T01:39:00"/>
    <n v="16.93"/>
    <x v="4"/>
  </r>
  <r>
    <s v="Clients_Churn_Part_13.xlsx"/>
    <s v="CLI-01503"/>
    <x v="8"/>
    <s v="ANT-0714"/>
    <s v="3G"/>
    <x v="3"/>
    <s v="En Cours"/>
    <n v="59"/>
    <s v="Bloqué 5Go"/>
    <n v="150"/>
    <d v="1899-12-30T02:30:00"/>
    <n v="71.13"/>
    <x v="1"/>
  </r>
  <r>
    <s v="Clients_Churn_Part_13.xlsx"/>
    <s v="CLI-00978"/>
    <x v="14"/>
    <s v="ANT-0524"/>
    <s v="4G"/>
    <x v="2"/>
    <s v="En Cours"/>
    <n v="16"/>
    <s v="Premium 5G 150Go"/>
    <n v="96"/>
    <d v="1899-12-30T01:36:00"/>
    <n v="86.78"/>
    <x v="2"/>
  </r>
  <r>
    <s v="Clients_Churn_Part_13.xlsx"/>
    <s v="CLI-01876"/>
    <x v="18"/>
    <s v="ANT-0964"/>
    <s v="5G"/>
    <x v="3"/>
    <s v="En Cours"/>
    <n v="17"/>
    <s v="Pro Monde"/>
    <n v="206"/>
    <d v="1899-12-30T03:26:00"/>
    <n v="63.46"/>
    <x v="0"/>
  </r>
  <r>
    <s v="Clients_Churn_Part_13.xlsx"/>
    <s v="CLI-00830"/>
    <x v="15"/>
    <s v="ANT-0066"/>
    <s v="5G"/>
    <x v="3"/>
    <s v="Non Résolu"/>
    <n v="41"/>
    <s v="Illimité 50Go"/>
    <n v="90"/>
    <d v="1899-12-30T01:30:00"/>
    <n v="97.26"/>
    <x v="2"/>
  </r>
  <r>
    <s v="Clients_Churn_Part_13.xlsx"/>
    <s v="CLI-01507"/>
    <x v="17"/>
    <s v="ANT-0737"/>
    <s v="5G"/>
    <x v="3"/>
    <s v="Non Résolu"/>
    <n v="111"/>
    <s v="Premium 5G 150Go"/>
    <n v="304"/>
    <d v="1899-12-30T05:04:00"/>
    <n v="62.48"/>
    <x v="4"/>
  </r>
  <r>
    <s v="Clients_Churn_Part_13.xlsx"/>
    <s v="CLI-01969"/>
    <x v="18"/>
    <s v="ANT-0964"/>
    <s v="5G"/>
    <x v="3"/>
    <s v="Non Résolu"/>
    <n v="19"/>
    <s v="Bloqué 5Go"/>
    <n v="141"/>
    <d v="1899-12-30T02:21:00"/>
    <n v="53.95"/>
    <x v="2"/>
  </r>
  <r>
    <s v="Clients_Churn_Part_14.xlsx"/>
    <s v="CLI-00997"/>
    <x v="3"/>
    <s v="ANT-0957"/>
    <s v="4G"/>
    <x v="2"/>
    <s v="Résolu"/>
    <n v="20"/>
    <s v="Bloqué 5Go"/>
    <n v="297"/>
    <d v="1899-12-30T04:57:00"/>
    <n v="14.77"/>
    <x v="1"/>
  </r>
  <r>
    <s v="Clients_Churn_Part_14.xlsx"/>
    <s v="CLI-00621"/>
    <x v="11"/>
    <s v="ANT-0357"/>
    <s v="5G"/>
    <x v="0"/>
    <s v="Résolu"/>
    <n v="67"/>
    <s v="Premium 5G 150Go"/>
    <n v="262"/>
    <d v="1899-12-30T04:22:00"/>
    <n v="28.46"/>
    <x v="0"/>
  </r>
  <r>
    <s v="Clients_Churn_Part_14.xlsx"/>
    <s v="CLI-01267"/>
    <x v="0"/>
    <s v="ANT-0059"/>
    <s v="5G"/>
    <x v="0"/>
    <s v="Résolu"/>
    <n v="38"/>
    <s v="Illimité 50Go"/>
    <n v="191"/>
    <d v="1899-12-30T03:11:00"/>
    <n v="22.97"/>
    <x v="0"/>
  </r>
  <r>
    <s v="Clients_Churn_Part_14.xlsx"/>
    <s v="CLI-01264"/>
    <x v="4"/>
    <s v="ANT-0557"/>
    <s v="3G"/>
    <x v="0"/>
    <s v="Résolu"/>
    <n v="80"/>
    <s v="Bloqué 5Go"/>
    <n v="65"/>
    <d v="1899-12-30T01:05:00"/>
    <n v="76.64"/>
    <x v="0"/>
  </r>
  <r>
    <s v="Clients_Churn_Part_14.xlsx"/>
    <s v="CLI-01600"/>
    <x v="9"/>
    <s v="ANT-0270"/>
    <s v="5G"/>
    <x v="1"/>
    <s v="Résolu"/>
    <n v="72"/>
    <s v="Pro Monde"/>
    <n v="317"/>
    <d v="1899-12-30T05:17:00"/>
    <n v="54.58"/>
    <x v="2"/>
  </r>
  <r>
    <s v="Clients_Churn_Part_14.xlsx"/>
    <s v="CLI-01360"/>
    <x v="3"/>
    <s v="ANT-0957"/>
    <s v="4G"/>
    <x v="2"/>
    <s v="Résolu"/>
    <n v="86"/>
    <s v="Premium 5G 150Go"/>
    <n v="278"/>
    <d v="1899-12-30T04:38:00"/>
    <n v="30.12"/>
    <x v="1"/>
  </r>
  <r>
    <s v="Clients_Churn_Part_14.xlsx"/>
    <s v="CLI-01630"/>
    <x v="12"/>
    <s v="ANT-0843"/>
    <s v="5G"/>
    <x v="1"/>
    <s v="Résolu"/>
    <n v="21"/>
    <s v="Illimité 50Go"/>
    <n v="460"/>
    <d v="1899-12-30T07:40:00"/>
    <n v="70.81"/>
    <x v="3"/>
  </r>
  <r>
    <s v="Clients_Churn_Part_14.xlsx"/>
    <s v="CLI-00180"/>
    <x v="9"/>
    <s v="ANT-0270"/>
    <s v="5G"/>
    <x v="1"/>
    <s v="Résolu"/>
    <n v="39"/>
    <s v="Pro Monde"/>
    <n v="289"/>
    <d v="1899-12-30T04:49:00"/>
    <n v="86.7"/>
    <x v="0"/>
  </r>
  <r>
    <s v="Clients_Churn_Part_14.xlsx"/>
    <s v="CLI-00257"/>
    <x v="24"/>
    <s v="ANT-0563"/>
    <s v="3G"/>
    <x v="0"/>
    <s v="Non Résolu"/>
    <n v="63"/>
    <s v="Pro Monde"/>
    <n v="449"/>
    <d v="1899-12-30T07:29:00"/>
    <n v="37.08"/>
    <x v="1"/>
  </r>
  <r>
    <s v="Clients_Churn_Part_14.xlsx"/>
    <s v="CLI-00277"/>
    <x v="2"/>
    <s v="ANT-0837"/>
    <s v="5G"/>
    <x v="1"/>
    <s v="Résolu"/>
    <n v="37"/>
    <s v="Pro Monde"/>
    <n v="150"/>
    <d v="1899-12-30T02:30:00"/>
    <n v="37.979999999999997"/>
    <x v="5"/>
  </r>
  <r>
    <s v="Clients_Churn_Part_14.xlsx"/>
    <s v="CLI-01714"/>
    <x v="14"/>
    <s v="ANT-0524"/>
    <s v="4G"/>
    <x v="2"/>
    <s v="Résolu"/>
    <n v="9"/>
    <s v="Bloqué 5Go"/>
    <n v="27"/>
    <d v="1899-12-30T00:27:00"/>
    <n v="99.02"/>
    <x v="0"/>
  </r>
  <r>
    <s v="Clients_Churn_Part_14.xlsx"/>
    <s v="CLI-01701"/>
    <x v="19"/>
    <s v="ANT-0533"/>
    <s v="3G"/>
    <x v="3"/>
    <s v="Non Résolu"/>
    <n v="103"/>
    <s v="Premium 5G 150Go"/>
    <n v="386"/>
    <d v="1899-12-30T06:26:00"/>
    <n v="10.58"/>
    <x v="1"/>
  </r>
  <r>
    <s v="Clients_Churn_Part_14.xlsx"/>
    <s v="CLI-01949"/>
    <x v="2"/>
    <s v="ANT-0837"/>
    <s v="5G"/>
    <x v="1"/>
    <s v="Résolu"/>
    <n v="38"/>
    <s v="Premium 5G 150Go"/>
    <n v="432"/>
    <d v="1899-12-30T07:12:00"/>
    <n v="53.65"/>
    <x v="5"/>
  </r>
  <r>
    <s v="Clients_Churn_Part_14.xlsx"/>
    <s v="CLI-00033"/>
    <x v="1"/>
    <s v="ANT-0287"/>
    <s v="5G"/>
    <x v="1"/>
    <s v="Résolu"/>
    <n v="2"/>
    <s v="Premium 5G 150Go"/>
    <n v="201"/>
    <d v="1899-12-30T03:21:00"/>
    <n v="71.900000000000006"/>
    <x v="3"/>
  </r>
  <r>
    <s v="Clients_Churn_Part_14.xlsx"/>
    <s v="CLI-00386"/>
    <x v="16"/>
    <s v="ANT-0988"/>
    <s v="5G"/>
    <x v="1"/>
    <s v="Résolu"/>
    <n v="59"/>
    <s v="Illimité 50Go"/>
    <n v="64"/>
    <d v="1899-12-30T01:04:00"/>
    <n v="20.32"/>
    <x v="1"/>
  </r>
  <r>
    <s v="Clients_Churn_Part_14.xlsx"/>
    <s v="CLI-00055"/>
    <x v="23"/>
    <s v="ANT-0754"/>
    <s v="3G"/>
    <x v="3"/>
    <s v="En Cours"/>
    <n v="6"/>
    <s v="Pro Monde"/>
    <n v="206"/>
    <d v="1899-12-30T03:26:00"/>
    <n v="10"/>
    <x v="4"/>
  </r>
  <r>
    <s v="Clients_Churn_Part_14.xlsx"/>
    <s v="CLI-00429"/>
    <x v="20"/>
    <s v="ANT-0436"/>
    <s v="5G"/>
    <x v="1"/>
    <s v="Résolu"/>
    <n v="28"/>
    <s v="Premium 5G 150Go"/>
    <n v="343"/>
    <d v="1899-12-30T05:43:00"/>
    <n v="64.34"/>
    <x v="4"/>
  </r>
  <r>
    <s v="Clients_Churn_Part_14.xlsx"/>
    <s v="CLI-00986"/>
    <x v="7"/>
    <s v="ANT-0794"/>
    <s v="3G"/>
    <x v="3"/>
    <s v="En Cours"/>
    <n v="37"/>
    <s v="Illimité 50Go"/>
    <n v="3"/>
    <d v="1899-12-30T00:03:00"/>
    <n v="20.89"/>
    <x v="4"/>
  </r>
  <r>
    <s v="Clients_Churn_Part_14.xlsx"/>
    <s v="CLI-01329"/>
    <x v="19"/>
    <s v="ANT-0533"/>
    <s v="3G"/>
    <x v="3"/>
    <s v="En Cours"/>
    <n v="106"/>
    <s v="Illimité 50Go"/>
    <n v="236"/>
    <d v="1899-12-30T03:56:00"/>
    <n v="18.72"/>
    <x v="5"/>
  </r>
  <r>
    <s v="Clients_Churn_Part_14.xlsx"/>
    <s v="CLI-00298"/>
    <x v="1"/>
    <s v="ANT-0287"/>
    <s v="5G"/>
    <x v="1"/>
    <s v="Résolu"/>
    <n v="76"/>
    <s v="Premium 5G 150Go"/>
    <n v="413"/>
    <d v="1899-12-30T06:53:00"/>
    <n v="28.39"/>
    <x v="0"/>
  </r>
  <r>
    <s v="Clients_Churn_Part_14.xlsx"/>
    <s v="CLI-00496"/>
    <x v="4"/>
    <s v="ANT-0557"/>
    <s v="3G"/>
    <x v="2"/>
    <s v="Non Résolu"/>
    <n v="16"/>
    <s v="Illimité 50Go"/>
    <n v="390"/>
    <d v="1899-12-30T06:30:00"/>
    <n v="52.64"/>
    <x v="1"/>
  </r>
  <r>
    <s v="Clients_Churn_Part_14.xlsx"/>
    <s v="CLI-01591"/>
    <x v="21"/>
    <s v="ANT-0531"/>
    <s v="4G"/>
    <x v="1"/>
    <s v="Résolu"/>
    <n v="7"/>
    <s v="Pro Monde"/>
    <n v="447"/>
    <d v="1899-12-30T07:27:00"/>
    <n v="84.95"/>
    <x v="3"/>
  </r>
  <r>
    <s v="Clients_Churn_Part_14.xlsx"/>
    <s v="CLI-01283"/>
    <x v="24"/>
    <s v="ANT-0224"/>
    <s v="5G"/>
    <x v="1"/>
    <s v="Résolu"/>
    <n v="63"/>
    <s v="Illimité 50Go"/>
    <n v="265"/>
    <d v="1899-12-30T04:25:00"/>
    <n v="49.94"/>
    <x v="2"/>
  </r>
  <r>
    <s v="Clients_Churn_Part_14.xlsx"/>
    <s v="CLI-01104"/>
    <x v="22"/>
    <s v="ANT-0194"/>
    <s v="3G"/>
    <x v="2"/>
    <s v="En Cours"/>
    <n v="40"/>
    <s v="Premium 5G 150Go"/>
    <n v="235"/>
    <d v="1899-12-30T03:55:00"/>
    <n v="15.01"/>
    <x v="0"/>
  </r>
  <r>
    <s v="Clients_Churn_Part_14.xlsx"/>
    <s v="CLI-01339"/>
    <x v="0"/>
    <s v="ANT-0059"/>
    <s v="5G"/>
    <x v="1"/>
    <s v="Résolu"/>
    <n v="1"/>
    <s v="Premium 5G 150Go"/>
    <n v="429"/>
    <d v="1899-12-30T07:09:00"/>
    <n v="20.96"/>
    <x v="4"/>
  </r>
  <r>
    <s v="Clients_Churn_Part_14.xlsx"/>
    <s v="CLI-00177"/>
    <x v="19"/>
    <s v="ANT-0533"/>
    <s v="3G"/>
    <x v="2"/>
    <s v="En Cours"/>
    <n v="56"/>
    <s v="Bloqué 5Go"/>
    <n v="27"/>
    <d v="1899-12-30T00:27:00"/>
    <n v="46.41"/>
    <x v="0"/>
  </r>
  <r>
    <s v="Clients_Churn_Part_14.xlsx"/>
    <s v="CLI-01848"/>
    <x v="10"/>
    <s v="ANT-0276"/>
    <s v="4G"/>
    <x v="1"/>
    <s v="En Cours"/>
    <n v="46"/>
    <s v="Premium 5G 150Go"/>
    <n v="43"/>
    <d v="1899-12-30T00:43:00"/>
    <n v="98.44"/>
    <x v="3"/>
  </r>
  <r>
    <s v="Clients_Churn_Part_14.xlsx"/>
    <s v="CLI-01436"/>
    <x v="9"/>
    <s v="ANT-0270"/>
    <s v="5G"/>
    <x v="1"/>
    <s v="En Cours"/>
    <n v="85"/>
    <s v="Pro Monde"/>
    <n v="28"/>
    <d v="1899-12-30T00:28:00"/>
    <n v="83.82"/>
    <x v="1"/>
  </r>
  <r>
    <s v="Clients_Churn_Part_14.xlsx"/>
    <s v="CLI-01555"/>
    <x v="17"/>
    <s v="ANT-0737"/>
    <s v="5G"/>
    <x v="1"/>
    <s v="En Cours"/>
    <n v="107"/>
    <s v="Illimité 50Go"/>
    <n v="138"/>
    <d v="1899-12-30T02:18:00"/>
    <n v="85.75"/>
    <x v="2"/>
  </r>
  <r>
    <s v="Clients_Churn_Part_14.xlsx"/>
    <s v="CLI-00971"/>
    <x v="22"/>
    <s v="ANT-0194"/>
    <s v="3G"/>
    <x v="0"/>
    <s v="Résolu"/>
    <n v="1"/>
    <s v="Pro Monde"/>
    <n v="424"/>
    <d v="1899-12-30T07:04:00"/>
    <n v="59.2"/>
    <x v="3"/>
  </r>
  <r>
    <s v="Clients_Churn_Part_14.xlsx"/>
    <s v="CLI-01998"/>
    <x v="20"/>
    <s v="ANT-0436"/>
    <s v="5G"/>
    <x v="2"/>
    <s v="Non Résolu"/>
    <n v="7"/>
    <s v="Pro Monde"/>
    <n v="332"/>
    <d v="1899-12-30T05:32:00"/>
    <n v="83.95"/>
    <x v="5"/>
  </r>
  <r>
    <s v="Clients_Churn_Part_14.xlsx"/>
    <s v="CLI-00045"/>
    <x v="11"/>
    <s v="ANT-0357"/>
    <s v="5G"/>
    <x v="2"/>
    <s v="Non Résolu"/>
    <n v="33"/>
    <s v="Bloqué 5Go"/>
    <n v="54"/>
    <d v="1899-12-30T00:54:00"/>
    <n v="71.319999999999993"/>
    <x v="5"/>
  </r>
  <r>
    <s v="Clients_Churn_Part_14.xlsx"/>
    <s v="CLI-01543"/>
    <x v="21"/>
    <s v="ANT-0531"/>
    <s v="4G"/>
    <x v="1"/>
    <s v="En Cours"/>
    <n v="18"/>
    <s v="Illimité 50Go"/>
    <n v="170"/>
    <d v="1899-12-30T02:50:00"/>
    <n v="87.34"/>
    <x v="2"/>
  </r>
  <r>
    <s v="Clients_Churn_Part_14.xlsx"/>
    <s v="CLI-00341"/>
    <x v="8"/>
    <s v="ANT-0714"/>
    <s v="3G"/>
    <x v="0"/>
    <s v="Résolu"/>
    <n v="45"/>
    <s v="Pro Monde"/>
    <n v="304"/>
    <d v="1899-12-30T05:04:00"/>
    <n v="65.540000000000006"/>
    <x v="3"/>
  </r>
  <r>
    <s v="Clients_Churn_Part_14.xlsx"/>
    <s v="CLI-00313"/>
    <x v="14"/>
    <s v="ANT-0850"/>
    <s v="3G"/>
    <x v="0"/>
    <s v="Résolu"/>
    <n v="113"/>
    <s v="Premium 5G 150Go"/>
    <n v="49"/>
    <d v="1899-12-30T00:49:00"/>
    <n v="48.91"/>
    <x v="4"/>
  </r>
  <r>
    <s v="Clients_Churn_Part_14.xlsx"/>
    <s v="CLI-00912"/>
    <x v="0"/>
    <s v="ANT-0059"/>
    <s v="5G"/>
    <x v="2"/>
    <s v="En Cours"/>
    <n v="37"/>
    <s v="Premium 5G 150Go"/>
    <n v="420"/>
    <d v="1899-12-30T07:00:00"/>
    <n v="67.260000000000005"/>
    <x v="5"/>
  </r>
  <r>
    <s v="Clients_Churn_Part_14.xlsx"/>
    <s v="CLI-01595"/>
    <x v="5"/>
    <s v="ANT-0543"/>
    <s v="4G"/>
    <x v="1"/>
    <s v="En Cours"/>
    <n v="101"/>
    <s v="Pro Monde"/>
    <n v="148"/>
    <d v="1899-12-30T02:28:00"/>
    <n v="26.63"/>
    <x v="0"/>
  </r>
  <r>
    <s v="Clients_Churn_Part_14.xlsx"/>
    <s v="CLI-00966"/>
    <x v="23"/>
    <s v="ANT-0622"/>
    <s v="5G"/>
    <x v="1"/>
    <s v="En Cours"/>
    <n v="110"/>
    <s v="Premium 5G 150Go"/>
    <n v="289"/>
    <d v="1899-12-30T04:49:00"/>
    <n v="83.67"/>
    <x v="5"/>
  </r>
  <r>
    <s v="Clients_Churn_Part_14.xlsx"/>
    <s v="CLI-01975"/>
    <x v="22"/>
    <s v="ANT-0194"/>
    <s v="3G"/>
    <x v="1"/>
    <s v="Résolu"/>
    <n v="65"/>
    <s v="Pro Monde"/>
    <n v="246"/>
    <d v="1899-12-30T04:06:00"/>
    <n v="69.17"/>
    <x v="1"/>
  </r>
  <r>
    <s v="Clients_Churn_Part_14.xlsx"/>
    <s v="CLI-00921"/>
    <x v="5"/>
    <s v="ANT-0543"/>
    <s v="4G"/>
    <x v="1"/>
    <s v="Résolu"/>
    <n v="86"/>
    <s v="Pro Monde"/>
    <n v="353"/>
    <d v="1899-12-30T05:53:00"/>
    <n v="25.37"/>
    <x v="2"/>
  </r>
  <r>
    <s v="Clients_Churn_Part_14.xlsx"/>
    <s v="CLI-01199"/>
    <x v="5"/>
    <s v="ANT-0543"/>
    <s v="4G"/>
    <x v="1"/>
    <s v="Résolu"/>
    <n v="99"/>
    <s v="Pro Monde"/>
    <n v="169"/>
    <d v="1899-12-30T02:49:00"/>
    <n v="76.75"/>
    <x v="4"/>
  </r>
  <r>
    <s v="Clients_Churn_Part_14.xlsx"/>
    <s v="CLI-00497"/>
    <x v="4"/>
    <s v="ANT-0883"/>
    <s v="3G"/>
    <x v="1"/>
    <s v="Résolu"/>
    <n v="72"/>
    <s v="Pro Monde"/>
    <n v="442"/>
    <d v="1899-12-30T07:22:00"/>
    <n v="59.2"/>
    <x v="2"/>
  </r>
  <r>
    <s v="Clients_Churn_Part_14.xlsx"/>
    <s v="CLI-00413"/>
    <x v="10"/>
    <s v="ANT-0276"/>
    <s v="4G"/>
    <x v="1"/>
    <s v="Résolu"/>
    <n v="20"/>
    <s v="Pro Monde"/>
    <n v="31"/>
    <d v="1899-12-30T00:31:00"/>
    <n v="52.85"/>
    <x v="3"/>
  </r>
  <r>
    <s v="Clients_Churn_Part_14.xlsx"/>
    <s v="CLI-00604"/>
    <x v="14"/>
    <s v="ANT-0430"/>
    <s v="4G"/>
    <x v="1"/>
    <s v="Résolu"/>
    <n v="12"/>
    <s v="Bloqué 5Go"/>
    <n v="62"/>
    <d v="1899-12-30T01:02:00"/>
    <n v="36.1"/>
    <x v="4"/>
  </r>
  <r>
    <s v="Clients_Churn_Part_14.xlsx"/>
    <s v="CLI-01167"/>
    <x v="18"/>
    <s v="ANT-0964"/>
    <s v="5G"/>
    <x v="0"/>
    <s v="Non Résolu"/>
    <n v="92"/>
    <s v="Bloqué 5Go"/>
    <n v="379"/>
    <d v="1899-12-30T06:19:00"/>
    <n v="70.08"/>
    <x v="4"/>
  </r>
  <r>
    <s v="Clients_Churn_Part_14.xlsx"/>
    <s v="CLI-00803"/>
    <x v="6"/>
    <s v="ANT-0292"/>
    <s v="3G"/>
    <x v="1"/>
    <s v="En Cours"/>
    <n v="35"/>
    <s v="Pro Monde"/>
    <n v="299"/>
    <d v="1899-12-30T04:59:00"/>
    <n v="96.32"/>
    <x v="5"/>
  </r>
  <r>
    <s v="Clients_Churn_Part_14.xlsx"/>
    <s v="CLI-00105"/>
    <x v="1"/>
    <s v="ANT-0287"/>
    <s v="5G"/>
    <x v="2"/>
    <s v="Résolu"/>
    <n v="19"/>
    <s v="Bloqué 5Go"/>
    <n v="345"/>
    <d v="1899-12-30T05:45:00"/>
    <n v="54.37"/>
    <x v="3"/>
  </r>
  <r>
    <s v="Clients_Churn_Part_14.xlsx"/>
    <s v="CLI-00684"/>
    <x v="13"/>
    <s v="ANT-0056"/>
    <s v="4G"/>
    <x v="1"/>
    <s v="En Cours"/>
    <n v="94"/>
    <s v="Illimité 50Go"/>
    <n v="261"/>
    <d v="1899-12-30T04:21:00"/>
    <n v="70.09"/>
    <x v="0"/>
  </r>
  <r>
    <s v="Clients_Churn_Part_14.xlsx"/>
    <s v="CLI-01851"/>
    <x v="23"/>
    <s v="ANT-0622"/>
    <s v="5G"/>
    <x v="0"/>
    <s v="Non Résolu"/>
    <n v="26"/>
    <s v="Premium 5G 150Go"/>
    <n v="378"/>
    <d v="1899-12-30T06:18:00"/>
    <n v="45.21"/>
    <x v="4"/>
  </r>
  <r>
    <s v="Clients_Churn_Part_14.xlsx"/>
    <s v="CLI-00211"/>
    <x v="1"/>
    <s v="ANT-0287"/>
    <s v="5G"/>
    <x v="0"/>
    <s v="Non Résolu"/>
    <n v="56"/>
    <s v="Illimité 50Go"/>
    <n v="367"/>
    <d v="1899-12-30T06:07:00"/>
    <n v="72.790000000000006"/>
    <x v="2"/>
  </r>
  <r>
    <s v="Clients_Churn_Part_15.xlsx"/>
    <s v="CLI-01442"/>
    <x v="10"/>
    <s v="ANT-0276"/>
    <s v="4G"/>
    <x v="2"/>
    <s v="Résolu"/>
    <n v="97"/>
    <s v="Bloqué 5Go"/>
    <n v="173"/>
    <d v="1899-12-30T02:53:00"/>
    <n v="19.37"/>
    <x v="4"/>
  </r>
  <r>
    <s v="Clients_Churn_Part_15.xlsx"/>
    <s v="CLI-00885"/>
    <x v="24"/>
    <s v="ANT-0045"/>
    <s v="5G"/>
    <x v="0"/>
    <s v="Non Résolu"/>
    <n v="54"/>
    <s v="Illimité 50Go"/>
    <n v="215"/>
    <d v="1899-12-30T03:35:00"/>
    <n v="54.69"/>
    <x v="1"/>
  </r>
  <r>
    <s v="Clients_Churn_Part_15.xlsx"/>
    <s v="CLI-00852"/>
    <x v="12"/>
    <s v="ANT-0708"/>
    <s v="3G"/>
    <x v="3"/>
    <s v="Résolu"/>
    <n v="119"/>
    <s v="Bloqué 5Go"/>
    <n v="133"/>
    <d v="1899-12-30T02:13:00"/>
    <n v="30.27"/>
    <x v="4"/>
  </r>
  <r>
    <s v="Clients_Churn_Part_15.xlsx"/>
    <s v="CLI-01016"/>
    <x v="2"/>
    <s v="ANT-0370"/>
    <s v="4G"/>
    <x v="2"/>
    <s v="Résolu"/>
    <n v="9"/>
    <s v="Illimité 50Go"/>
    <n v="102"/>
    <d v="1899-12-30T01:42:00"/>
    <n v="41.52"/>
    <x v="1"/>
  </r>
  <r>
    <s v="Clients_Churn_Part_15.xlsx"/>
    <s v="CLI-01186"/>
    <x v="6"/>
    <s v="ANT-0507"/>
    <s v="4G"/>
    <x v="2"/>
    <s v="Résolu"/>
    <n v="8"/>
    <s v="Bloqué 5Go"/>
    <n v="171"/>
    <d v="1899-12-30T02:51:00"/>
    <n v="52.98"/>
    <x v="1"/>
  </r>
  <r>
    <s v="Clients_Churn_Part_15.xlsx"/>
    <s v="CLI-01221"/>
    <x v="24"/>
    <s v="ANT-0045"/>
    <s v="5G"/>
    <x v="3"/>
    <s v="Résolu"/>
    <n v="79"/>
    <s v="Premium 5G 150Go"/>
    <n v="454"/>
    <d v="1899-12-30T07:34:00"/>
    <n v="80.34"/>
    <x v="3"/>
  </r>
  <r>
    <s v="Clients_Churn_Part_15.xlsx"/>
    <s v="CLI-01136"/>
    <x v="6"/>
    <s v="ANT-0507"/>
    <s v="4G"/>
    <x v="2"/>
    <s v="Résolu"/>
    <n v="33"/>
    <s v="Pro Monde"/>
    <n v="391"/>
    <d v="1899-12-30T06:31:00"/>
    <n v="88.88"/>
    <x v="5"/>
  </r>
  <r>
    <s v="Clients_Churn_Part_15.xlsx"/>
    <s v="CLI-01797"/>
    <x v="8"/>
    <s v="ANT-0714"/>
    <s v="3G"/>
    <x v="0"/>
    <s v="En Cours"/>
    <n v="15"/>
    <s v="Bloqué 5Go"/>
    <n v="30"/>
    <d v="1899-12-30T00:30:00"/>
    <n v="30.5"/>
    <x v="2"/>
  </r>
  <r>
    <s v="Clients_Churn_Part_15.xlsx"/>
    <s v="CLI-01995"/>
    <x v="1"/>
    <s v="ANT-0287"/>
    <s v="5G"/>
    <x v="1"/>
    <s v="Résolu"/>
    <n v="5"/>
    <s v="Premium 5G 150Go"/>
    <n v="71"/>
    <d v="1899-12-30T01:11:00"/>
    <n v="93.81"/>
    <x v="0"/>
  </r>
  <r>
    <s v="Clients_Churn_Part_15.xlsx"/>
    <s v="CLI-00999"/>
    <x v="7"/>
    <s v="ANT-0985"/>
    <s v="5G"/>
    <x v="1"/>
    <s v="Résolu"/>
    <n v="109"/>
    <s v="Illimité 50Go"/>
    <n v="104"/>
    <d v="1899-12-30T01:44:00"/>
    <n v="12.37"/>
    <x v="4"/>
  </r>
  <r>
    <s v="Clients_Churn_Part_15.xlsx"/>
    <s v="CLI-00819"/>
    <x v="22"/>
    <s v="ANT-0194"/>
    <s v="3G"/>
    <x v="0"/>
    <s v="En Cours"/>
    <n v="96"/>
    <s v="Pro Monde"/>
    <n v="280"/>
    <d v="1899-12-30T04:40:00"/>
    <n v="80.36"/>
    <x v="4"/>
  </r>
  <r>
    <s v="Clients_Churn_Part_15.xlsx"/>
    <s v="CLI-01977"/>
    <x v="11"/>
    <s v="ANT-0721"/>
    <s v="4G"/>
    <x v="2"/>
    <s v="Résolu"/>
    <n v="10"/>
    <s v="Illimité 50Go"/>
    <n v="418"/>
    <d v="1899-12-30T06:58:00"/>
    <n v="27.66"/>
    <x v="3"/>
  </r>
  <r>
    <s v="Clients_Churn_Part_15.xlsx"/>
    <s v="CLI-01765"/>
    <x v="20"/>
    <s v="ANT-0096"/>
    <s v="3G"/>
    <x v="3"/>
    <s v="En Cours"/>
    <n v="57"/>
    <s v="Illimité 50Go"/>
    <n v="375"/>
    <d v="1899-12-30T06:15:00"/>
    <n v="64.73"/>
    <x v="2"/>
  </r>
  <r>
    <s v="Clients_Churn_Part_15.xlsx"/>
    <s v="CLI-01211"/>
    <x v="25"/>
    <s v="ANT-0446"/>
    <s v="4G"/>
    <x v="0"/>
    <s v="En Cours"/>
    <n v="98"/>
    <s v="Pro Monde"/>
    <n v="168"/>
    <d v="1899-12-30T02:48:00"/>
    <n v="44.14"/>
    <x v="0"/>
  </r>
  <r>
    <s v="Clients_Churn_Part_15.xlsx"/>
    <s v="CLI-01253"/>
    <x v="1"/>
    <s v="ANT-0287"/>
    <s v="5G"/>
    <x v="0"/>
    <s v="En Cours"/>
    <n v="48"/>
    <s v="Premium 5G 150Go"/>
    <n v="473"/>
    <d v="1899-12-30T07:53:00"/>
    <n v="71.52"/>
    <x v="4"/>
  </r>
  <r>
    <s v="Clients_Churn_Part_15.xlsx"/>
    <s v="CLI-01000"/>
    <x v="20"/>
    <s v="ANT-0096"/>
    <s v="3G"/>
    <x v="3"/>
    <s v="En Cours"/>
    <n v="78"/>
    <s v="Premium 5G 150Go"/>
    <n v="387"/>
    <d v="1899-12-30T06:27:00"/>
    <n v="11.63"/>
    <x v="3"/>
  </r>
  <r>
    <s v="Clients_Churn_Part_15.xlsx"/>
    <s v="CLI-00475"/>
    <x v="19"/>
    <s v="ANT-0533"/>
    <s v="3G"/>
    <x v="3"/>
    <s v="Non Résolu"/>
    <n v="81"/>
    <s v="Illimité 50Go"/>
    <n v="339"/>
    <d v="1899-12-30T05:39:00"/>
    <n v="53.4"/>
    <x v="3"/>
  </r>
  <r>
    <s v="Clients_Churn_Part_15.xlsx"/>
    <s v="CLI-00125"/>
    <x v="13"/>
    <s v="ANT-0056"/>
    <s v="4G"/>
    <x v="0"/>
    <s v="En Cours"/>
    <n v="108"/>
    <s v="Bloqué 5Go"/>
    <n v="467"/>
    <d v="1899-12-30T07:47:00"/>
    <n v="44.84"/>
    <x v="5"/>
  </r>
  <r>
    <s v="Clients_Churn_Part_15.xlsx"/>
    <s v="CLI-01082"/>
    <x v="11"/>
    <s v="ANT-0721"/>
    <s v="4G"/>
    <x v="1"/>
    <s v="Non Résolu"/>
    <n v="4"/>
    <s v="Pro Monde"/>
    <n v="449"/>
    <d v="1899-12-30T07:29:00"/>
    <n v="43.95"/>
    <x v="3"/>
  </r>
  <r>
    <s v="Clients_Churn_Part_15.xlsx"/>
    <s v="CLI-00039"/>
    <x v="21"/>
    <s v="ANT-0407"/>
    <s v="5G"/>
    <x v="0"/>
    <s v="Non Résolu"/>
    <n v="119"/>
    <s v="Pro Monde"/>
    <n v="31"/>
    <d v="1899-12-30T00:31:00"/>
    <n v="21.27"/>
    <x v="4"/>
  </r>
  <r>
    <s v="Clients_Churn_Part_15.xlsx"/>
    <s v="CLI-01832"/>
    <x v="22"/>
    <s v="ANT-0607"/>
    <s v="4G"/>
    <x v="2"/>
    <s v="Non Résolu"/>
    <n v="23"/>
    <s v="Pro Monde"/>
    <n v="120"/>
    <d v="1899-12-30T02:00:00"/>
    <n v="73.12"/>
    <x v="2"/>
  </r>
  <r>
    <s v="Clients_Churn_Part_15.xlsx"/>
    <s v="CLI-01181"/>
    <x v="22"/>
    <s v="ANT-0607"/>
    <s v="4G"/>
    <x v="2"/>
    <s v="Non Résolu"/>
    <n v="42"/>
    <s v="Bloqué 5Go"/>
    <n v="252"/>
    <d v="1899-12-30T04:12:00"/>
    <n v="59.46"/>
    <x v="5"/>
  </r>
  <r>
    <s v="Clients_Churn_Part_15.xlsx"/>
    <s v="CLI-01589"/>
    <x v="4"/>
    <s v="ANT-0813"/>
    <s v="3G"/>
    <x v="3"/>
    <s v="Non Résolu"/>
    <n v="14"/>
    <s v="Bloqué 5Go"/>
    <n v="37"/>
    <d v="1899-12-30T00:37:00"/>
    <n v="20.399999999999999"/>
    <x v="3"/>
  </r>
  <r>
    <s v="Clients_Churn_Part_15.xlsx"/>
    <s v="CLI-01134"/>
    <x v="22"/>
    <s v="ANT-0607"/>
    <s v="4G"/>
    <x v="2"/>
    <s v="Non Résolu"/>
    <n v="90"/>
    <s v="Illimité 50Go"/>
    <n v="412"/>
    <d v="1899-12-30T06:52:00"/>
    <n v="20.62"/>
    <x v="3"/>
  </r>
  <r>
    <s v="Clients_Churn_Part_15.xlsx"/>
    <s v="CLI-01966"/>
    <x v="8"/>
    <s v="ANT-0714"/>
    <s v="3G"/>
    <x v="0"/>
    <s v="Non Résolu"/>
    <n v="58"/>
    <s v="Premium 5G 150Go"/>
    <n v="485"/>
    <d v="1899-12-30T08:05:00"/>
    <n v="65.41"/>
    <x v="4"/>
  </r>
  <r>
    <s v="Clients_Churn_Part_15.xlsx"/>
    <s v="CLI-00549"/>
    <x v="24"/>
    <s v="ANT-0045"/>
    <s v="5G"/>
    <x v="0"/>
    <s v="Non Résolu"/>
    <n v="49"/>
    <s v="Bloqué 5Go"/>
    <n v="288"/>
    <d v="1899-12-30T04:48:00"/>
    <n v="91.32"/>
    <x v="5"/>
  </r>
  <r>
    <s v="Clients_Churn_Part_15.xlsx"/>
    <s v="CLI-00855"/>
    <x v="12"/>
    <s v="ANT-0134"/>
    <s v="4G"/>
    <x v="2"/>
    <s v="Non Résolu"/>
    <n v="18"/>
    <s v="Bloqué 5Go"/>
    <n v="463"/>
    <d v="1899-12-30T07:43:00"/>
    <n v="41.66"/>
    <x v="5"/>
  </r>
  <r>
    <s v="Clients_Churn_Part_15.xlsx"/>
    <s v="CLI-00970"/>
    <x v="17"/>
    <s v="ANT-0718"/>
    <s v="3G"/>
    <x v="0"/>
    <s v="Non Résolu"/>
    <n v="82"/>
    <s v="Pro Monde"/>
    <n v="312"/>
    <d v="1899-12-30T05:12:00"/>
    <n v="40.880000000000003"/>
    <x v="1"/>
  </r>
  <r>
    <s v="Clients_Churn_Part_15.xlsx"/>
    <s v="CLI-01890"/>
    <x v="18"/>
    <s v="ANT-0029"/>
    <s v="3G"/>
    <x v="0"/>
    <s v="Non Résolu"/>
    <n v="74"/>
    <s v="Illimité 50Go"/>
    <n v="359"/>
    <d v="1899-12-30T05:59:00"/>
    <n v="92.63"/>
    <x v="1"/>
  </r>
  <r>
    <s v="Clients_Churn_Part_15.xlsx"/>
    <s v="CLI-01566"/>
    <x v="3"/>
    <s v="ANT-0957"/>
    <s v="4G"/>
    <x v="1"/>
    <s v="Résolu"/>
    <n v="72"/>
    <s v="Bloqué 5Go"/>
    <n v="427"/>
    <d v="1899-12-30T07:07:00"/>
    <n v="31.44"/>
    <x v="3"/>
  </r>
  <r>
    <s v="Clients_Churn_Part_15.xlsx"/>
    <s v="CLI-00711"/>
    <x v="7"/>
    <s v="ANT-0985"/>
    <s v="5G"/>
    <x v="0"/>
    <s v="Non Résolu"/>
    <n v="26"/>
    <s v="Premium 5G 150Go"/>
    <n v="391"/>
    <d v="1899-12-30T06:31:00"/>
    <n v="18.28"/>
    <x v="0"/>
  </r>
  <r>
    <s v="Clients_Churn_Part_15.xlsx"/>
    <s v="CLI-00919"/>
    <x v="15"/>
    <s v="ANT-0066"/>
    <s v="5G"/>
    <x v="0"/>
    <s v="Non Résolu"/>
    <n v="26"/>
    <s v="Bloqué 5Go"/>
    <n v="413"/>
    <d v="1899-12-30T06:53:00"/>
    <n v="10.9"/>
    <x v="4"/>
  </r>
  <r>
    <s v="Clients_Churn_Part_15.xlsx"/>
    <s v="CLI-01568"/>
    <x v="14"/>
    <s v="ANT-0430"/>
    <s v="4G"/>
    <x v="1"/>
    <s v="Résolu"/>
    <n v="33"/>
    <s v="Illimité 50Go"/>
    <n v="18"/>
    <d v="1899-12-30T00:18:00"/>
    <n v="47.18"/>
    <x v="5"/>
  </r>
  <r>
    <s v="Clients_Churn_Part_15.xlsx"/>
    <s v="CLI-01479"/>
    <x v="1"/>
    <s v="ANT-0287"/>
    <s v="5G"/>
    <x v="0"/>
    <s v="Non Résolu"/>
    <n v="63"/>
    <s v="Premium 5G 150Go"/>
    <n v="177"/>
    <d v="1899-12-30T02:57:00"/>
    <n v="77.73"/>
    <x v="0"/>
  </r>
  <r>
    <s v="Clients_Churn_Part_15.xlsx"/>
    <s v="CLI-00331"/>
    <x v="14"/>
    <s v="ANT-0430"/>
    <s v="4G"/>
    <x v="1"/>
    <s v="Résolu"/>
    <n v="57"/>
    <s v="Premium 5G 150Go"/>
    <n v="36"/>
    <d v="1899-12-30T00:36:00"/>
    <n v="82.7"/>
    <x v="3"/>
  </r>
  <r>
    <s v="Clients_Churn_Part_15.xlsx"/>
    <s v="CLI-01697"/>
    <x v="6"/>
    <s v="ANT-0882"/>
    <s v="5G"/>
    <x v="0"/>
    <s v="Non Résolu"/>
    <n v="87"/>
    <s v="Pro Monde"/>
    <n v="486"/>
    <d v="1899-12-30T08:06:00"/>
    <n v="58.26"/>
    <x v="1"/>
  </r>
  <r>
    <s v="Clients_Churn_Part_15.xlsx"/>
    <s v="CLI-00394"/>
    <x v="1"/>
    <s v="ANT-0287"/>
    <s v="5G"/>
    <x v="0"/>
    <s v="Non Résolu"/>
    <n v="37"/>
    <s v="Premium 5G 150Go"/>
    <n v="213"/>
    <d v="1899-12-30T03:33:00"/>
    <n v="14.12"/>
    <x v="2"/>
  </r>
  <r>
    <s v="Clients_Churn_Part_15.xlsx"/>
    <s v="CLI-00962"/>
    <x v="6"/>
    <s v="ANT-0882"/>
    <s v="5G"/>
    <x v="0"/>
    <s v="Non Résolu"/>
    <n v="29"/>
    <s v="Bloqué 5Go"/>
    <n v="306"/>
    <d v="1899-12-30T05:06:00"/>
    <n v="82.16"/>
    <x v="2"/>
  </r>
  <r>
    <s v="Clients_Churn_Part_15.xlsx"/>
    <s v="CLI-00705"/>
    <x v="21"/>
    <s v="ANT-0407"/>
    <s v="5G"/>
    <x v="0"/>
    <s v="Non Résolu"/>
    <n v="26"/>
    <s v="Illimité 50Go"/>
    <n v="378"/>
    <d v="1899-12-30T06:18:00"/>
    <n v="88.59"/>
    <x v="5"/>
  </r>
  <r>
    <s v="Clients_Churn_Part_15.xlsx"/>
    <s v="CLI-00898"/>
    <x v="25"/>
    <s v="ANT-0446"/>
    <s v="4G"/>
    <x v="0"/>
    <s v="En Cours"/>
    <n v="95"/>
    <s v="Premium 5G 150Go"/>
    <n v="313"/>
    <d v="1899-12-30T05:13:00"/>
    <n v="32.49"/>
    <x v="2"/>
  </r>
  <r>
    <s v="Clients_Churn_Part_15.xlsx"/>
    <s v="CLI-00476"/>
    <x v="15"/>
    <s v="ANT-0066"/>
    <s v="5G"/>
    <x v="0"/>
    <s v="En Cours"/>
    <n v="21"/>
    <s v="Bloqué 5Go"/>
    <n v="475"/>
    <d v="1899-12-30T07:55:00"/>
    <n v="15.12"/>
    <x v="3"/>
  </r>
  <r>
    <s v="Clients_Churn_Part_15.xlsx"/>
    <s v="CLI-01040"/>
    <x v="25"/>
    <s v="ANT-0446"/>
    <s v="4G"/>
    <x v="0"/>
    <s v="Non Résolu"/>
    <n v="56"/>
    <s v="Illimité 50Go"/>
    <n v="41"/>
    <d v="1899-12-30T00:41:00"/>
    <n v="15.1"/>
    <x v="4"/>
  </r>
  <r>
    <s v="Clients_Churn_Part_15.xlsx"/>
    <s v="CLI-00450"/>
    <x v="5"/>
    <s v="ANT-0543"/>
    <s v="4G"/>
    <x v="0"/>
    <s v="Non Résolu"/>
    <n v="105"/>
    <s v="Premium 5G 150Go"/>
    <n v="454"/>
    <d v="1899-12-30T07:34:00"/>
    <n v="49.47"/>
    <x v="5"/>
  </r>
  <r>
    <s v="Clients_Churn_Part_15.xlsx"/>
    <s v="CLI-01204"/>
    <x v="3"/>
    <s v="ANT-0423"/>
    <s v="4G"/>
    <x v="0"/>
    <s v="En Cours"/>
    <n v="68"/>
    <s v="Pro Monde"/>
    <n v="282"/>
    <d v="1899-12-30T04:42:00"/>
    <n v="35.43"/>
    <x v="2"/>
  </r>
  <r>
    <s v="Clients_Churn_Part_15.xlsx"/>
    <s v="CLI-01830"/>
    <x v="5"/>
    <s v="ANT-0989"/>
    <s v="3G"/>
    <x v="3"/>
    <s v="Non Résolu"/>
    <n v="104"/>
    <s v="Bloqué 5Go"/>
    <n v="245"/>
    <d v="1899-12-30T04:05:00"/>
    <n v="38.270000000000003"/>
    <x v="1"/>
  </r>
  <r>
    <s v="Clients_Churn_Part_15.xlsx"/>
    <s v="CLI-01488"/>
    <x v="15"/>
    <s v="ANT-0066"/>
    <s v="5G"/>
    <x v="1"/>
    <s v="En Cours"/>
    <n v="102"/>
    <s v="Bloqué 5Go"/>
    <n v="484"/>
    <d v="1899-12-30T08:04:00"/>
    <n v="64.22"/>
    <x v="3"/>
  </r>
  <r>
    <s v="Clients_Churn_Part_15.xlsx"/>
    <s v="CLI-00960"/>
    <x v="14"/>
    <s v="ANT-0238"/>
    <s v="5G"/>
    <x v="1"/>
    <s v="En Cours"/>
    <n v="25"/>
    <s v="Pro Monde"/>
    <n v="66"/>
    <d v="1899-12-30T01:06:00"/>
    <n v="90.14"/>
    <x v="4"/>
  </r>
  <r>
    <s v="Clients_Churn_Part_15.xlsx"/>
    <s v="CLI-01463"/>
    <x v="7"/>
    <s v="ANT-0985"/>
    <s v="5G"/>
    <x v="1"/>
    <s v="En Cours"/>
    <n v="12"/>
    <s v="Premium 5G 150Go"/>
    <n v="138"/>
    <d v="1899-12-30T02:18:00"/>
    <n v="99.83"/>
    <x v="2"/>
  </r>
  <r>
    <s v="Clients_Churn_Part_15.xlsx"/>
    <s v="CLI-00601"/>
    <x v="3"/>
    <s v="ANT-0423"/>
    <s v="4G"/>
    <x v="2"/>
    <s v="Résolu"/>
    <n v="75"/>
    <s v="Bloqué 5Go"/>
    <n v="370"/>
    <d v="1899-12-30T06:10:00"/>
    <n v="21.67"/>
    <x v="1"/>
  </r>
  <r>
    <s v="Clients_Churn_Part_15.xlsx"/>
    <s v="CLI-00800"/>
    <x v="24"/>
    <s v="ANT-0045"/>
    <s v="5G"/>
    <x v="3"/>
    <s v="Résolu"/>
    <n v="4"/>
    <s v="Bloqué 5Go"/>
    <n v="21"/>
    <d v="1899-12-30T00:21:00"/>
    <n v="45.8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9">
  <r>
    <x v="0"/>
    <s v="ANT-0037"/>
    <s v="3G"/>
    <s v="Nokia"/>
    <s v="Résolu"/>
    <n v="29"/>
    <n v="2"/>
    <s v="B2C"/>
    <s v="Premium 5G 150Go"/>
    <n v="214"/>
    <d v="1899-12-30T03:34:00"/>
    <n v="74.7"/>
    <n v="0.45"/>
    <n v="33.615000000000002"/>
  </r>
  <r>
    <x v="1"/>
    <s v="ANT-0271"/>
    <s v="5G"/>
    <s v="Ericsson"/>
    <s v="Non Résolu"/>
    <n v="63"/>
    <n v="5"/>
    <s v="B2B"/>
    <s v="Pro Monde"/>
    <n v="205"/>
    <d v="1899-12-30T03:25:00"/>
    <n v="89.19"/>
    <n v="0.1"/>
    <n v="8.9190000000000005"/>
  </r>
  <r>
    <x v="2"/>
    <s v="ANT-0855"/>
    <s v="5G"/>
    <s v="Ericsson"/>
    <s v="Non Résolu"/>
    <n v="34"/>
    <n v="2"/>
    <s v="B2B"/>
    <s v="Pro Monde"/>
    <n v="453"/>
    <d v="1899-12-30T07:33:00"/>
    <n v="56.84"/>
    <n v="0.45"/>
    <n v="25.578000000000003"/>
  </r>
  <r>
    <x v="3"/>
    <s v="ANT-0371"/>
    <s v="4G"/>
    <s v="Huawei"/>
    <s v="Résolu"/>
    <n v="44"/>
    <n v="3"/>
    <s v="B2C"/>
    <s v="Bloqué 5Go"/>
    <n v="348"/>
    <d v="1899-12-30T05:48:00"/>
    <n v="58.67"/>
    <n v="0.45"/>
    <n v="26.401500000000002"/>
  </r>
  <r>
    <x v="4"/>
    <s v="ANT-0852"/>
    <s v="3G"/>
    <s v="Nokia"/>
    <s v="En Cours"/>
    <n v="101"/>
    <n v="8"/>
    <s v="B2C"/>
    <s v="Illimité 50Go"/>
    <n v="358"/>
    <d v="1899-12-30T05:58:00"/>
    <n v="29.24"/>
    <n v="0.45"/>
    <n v="13.157999999999999"/>
  </r>
  <r>
    <x v="5"/>
    <s v="ANT-0624"/>
    <s v="3G"/>
    <s v="Nokia"/>
    <s v="En Cours"/>
    <n v="46"/>
    <n v="3"/>
    <s v="B2C"/>
    <s v="Premium 5G 150Go"/>
    <n v="283"/>
    <d v="1899-12-30T04:43:00"/>
    <n v="56.05"/>
    <n v="0.45"/>
    <n v="25.2225"/>
  </r>
  <r>
    <x v="6"/>
    <s v="ANT-0566"/>
    <s v="3G"/>
    <s v="Nokia"/>
    <s v="En Cours"/>
    <n v="99"/>
    <n v="8"/>
    <s v="B2C"/>
    <s v="Premium 5G 150Go"/>
    <n v="447"/>
    <d v="1899-12-30T07:27:00"/>
    <n v="38.1"/>
    <n v="0.45"/>
    <n v="17.145"/>
  </r>
  <r>
    <x v="5"/>
    <s v="ANT-0624"/>
    <s v="3G"/>
    <s v="Nokia"/>
    <s v="En Cours"/>
    <n v="6"/>
    <n v="0"/>
    <s v="B2C"/>
    <s v="Illimité 50Go"/>
    <n v="155"/>
    <d v="1899-12-30T02:35:00"/>
    <n v="40.659999999999997"/>
    <n v="0"/>
    <n v="0"/>
  </r>
  <r>
    <x v="7"/>
    <s v="ANT-0332"/>
    <s v="4G"/>
    <s v="Huawei"/>
    <s v="Résolu"/>
    <n v="99"/>
    <n v="8"/>
    <s v="B2C"/>
    <s v="Bloqué 5Go"/>
    <n v="369"/>
    <d v="1899-12-30T06:09:00"/>
    <n v="67.209999999999994"/>
    <n v="0.45"/>
    <n v="30.244499999999999"/>
  </r>
  <r>
    <x v="8"/>
    <s v="ANT-0166"/>
    <s v="5G"/>
    <s v="Ericsson"/>
    <s v="Non Résolu"/>
    <n v="113"/>
    <n v="9"/>
    <s v="B2C"/>
    <s v="Illimité 50Go"/>
    <n v="380"/>
    <d v="1899-12-30T06:20:00"/>
    <n v="12.11"/>
    <n v="0.45"/>
    <n v="5.4494999999999996"/>
  </r>
  <r>
    <x v="9"/>
    <s v="ANT-0379"/>
    <s v="4G"/>
    <s v="Huawei"/>
    <s v="Résolu"/>
    <n v="72"/>
    <n v="6"/>
    <s v="B2B"/>
    <s v="Pro Monde"/>
    <n v="160"/>
    <d v="1899-12-30T02:40:00"/>
    <n v="90.13"/>
    <n v="0.1"/>
    <n v="9.0129999999999999"/>
  </r>
  <r>
    <x v="10"/>
    <s v="ANT-0760"/>
    <s v="4G"/>
    <s v="Huawei"/>
    <s v="Résolu"/>
    <n v="35"/>
    <n v="2"/>
    <s v="B2B"/>
    <s v="Pro Monde"/>
    <n v="465"/>
    <d v="1899-12-30T07:45:00"/>
    <n v="58.59"/>
    <n v="0.45"/>
    <n v="26.365500000000001"/>
  </r>
  <r>
    <x v="11"/>
    <s v="ANT-0862"/>
    <s v="3G"/>
    <s v="Nokia"/>
    <s v="En Cours"/>
    <n v="115"/>
    <n v="9"/>
    <s v="B2C"/>
    <s v="Bloqué 5Go"/>
    <n v="176"/>
    <d v="1899-12-30T02:56:00"/>
    <n v="33.28"/>
    <n v="0"/>
    <n v="0"/>
  </r>
  <r>
    <x v="3"/>
    <s v="ANT-0371"/>
    <s v="4G"/>
    <s v="Huawei"/>
    <s v="Non Résolu"/>
    <n v="20"/>
    <n v="1"/>
    <s v="B2C"/>
    <s v="Illimité 50Go"/>
    <n v="4"/>
    <d v="1899-12-30T00:04:00"/>
    <n v="84.9"/>
    <n v="0"/>
    <n v="0"/>
  </r>
  <r>
    <x v="12"/>
    <s v="ANT-0134"/>
    <s v="4G"/>
    <s v="Huawei"/>
    <s v="Non Résolu"/>
    <n v="110"/>
    <n v="9"/>
    <s v="B2B"/>
    <s v="Pro Monde"/>
    <n v="423"/>
    <d v="1899-12-30T07:03:00"/>
    <n v="37.35"/>
    <n v="0.45"/>
    <n v="16.807500000000001"/>
  </r>
  <r>
    <x v="1"/>
    <s v="ANT-0271"/>
    <s v="5G"/>
    <s v="Ericsson"/>
    <s v="Résolu"/>
    <n v="89"/>
    <n v="7"/>
    <s v="B2C"/>
    <s v="Premium 5G 150Go"/>
    <n v="143"/>
    <d v="1899-12-30T02:23:00"/>
    <n v="48.05"/>
    <n v="0"/>
    <n v="0"/>
  </r>
  <r>
    <x v="6"/>
    <s v="ANT-0566"/>
    <s v="3G"/>
    <s v="ZTE"/>
    <s v="Non Résolu"/>
    <n v="112"/>
    <n v="9"/>
    <s v="B2C"/>
    <s v="Premium 5G 150Go"/>
    <n v="460"/>
    <d v="1899-12-30T07:40:00"/>
    <n v="55.47"/>
    <n v="0.45"/>
    <n v="24.961500000000001"/>
  </r>
  <r>
    <x v="13"/>
    <s v="ANT-0011"/>
    <s v="4G"/>
    <s v="Huawei"/>
    <s v="Non Résolu"/>
    <n v="66"/>
    <n v="5"/>
    <s v="B2C"/>
    <s v="Illimité 50Go"/>
    <n v="270"/>
    <d v="1899-12-30T04:30:00"/>
    <n v="75.88"/>
    <n v="0.45"/>
    <n v="34.146000000000001"/>
  </r>
  <r>
    <x v="7"/>
    <s v="ANT-0332"/>
    <s v="4G"/>
    <s v="Huawei"/>
    <s v="Non Résolu"/>
    <n v="78"/>
    <n v="6"/>
    <s v="B2C"/>
    <s v="Bloqué 5Go"/>
    <n v="312"/>
    <d v="1899-12-30T05:12:00"/>
    <n v="85.74"/>
    <n v="0.45"/>
    <n v="38.582999999999998"/>
  </r>
  <r>
    <x v="9"/>
    <s v="ANT-0379"/>
    <s v="4G"/>
    <s v="Ericsson"/>
    <s v="Résolu"/>
    <n v="86"/>
    <n v="7"/>
    <s v="B2C"/>
    <s v="Premium 5G 150Go"/>
    <n v="471"/>
    <d v="1899-12-30T07:51:00"/>
    <n v="33.380000000000003"/>
    <n v="0.45"/>
    <n v="15.021000000000001"/>
  </r>
  <r>
    <x v="7"/>
    <s v="ANT-0332"/>
    <s v="4G"/>
    <s v="Ericsson"/>
    <s v="Non Résolu"/>
    <n v="14"/>
    <n v="1"/>
    <s v="B2C"/>
    <s v="Premium 5G 150Go"/>
    <n v="75"/>
    <d v="1899-12-30T01:15:00"/>
    <n v="55.67"/>
    <n v="0.45"/>
    <n v="25.051500000000001"/>
  </r>
  <r>
    <x v="8"/>
    <s v="ANT-0166"/>
    <s v="5G"/>
    <s v="Ericsson"/>
    <s v="Non Résolu"/>
    <n v="91"/>
    <n v="7"/>
    <s v="B2B"/>
    <s v="Pro Monde"/>
    <n v="358"/>
    <d v="1899-12-30T05:58:00"/>
    <n v="21.14"/>
    <n v="0.45"/>
    <n v="9.5129999999999999"/>
  </r>
  <r>
    <x v="6"/>
    <s v="ANT-0566"/>
    <s v="3G"/>
    <s v="ZTE"/>
    <s v="En Cours"/>
    <n v="7"/>
    <n v="0"/>
    <s v="B2C"/>
    <s v="Premium 5G 150Go"/>
    <n v="206"/>
    <d v="1899-12-30T03:26:00"/>
    <n v="78.09"/>
    <n v="0.45"/>
    <n v="35.140500000000003"/>
  </r>
  <r>
    <x v="14"/>
    <s v="ANT-0952"/>
    <s v="4G"/>
    <s v="Ericsson"/>
    <s v="Non Résolu"/>
    <n v="119"/>
    <n v="9"/>
    <s v="B2C"/>
    <s v="Illimité 50Go"/>
    <n v="228"/>
    <d v="1899-12-30T03:48:00"/>
    <n v="94.72"/>
    <n v="0"/>
    <n v="0"/>
  </r>
  <r>
    <x v="5"/>
    <s v="ANT-0284"/>
    <s v="4G"/>
    <s v="Ericsson"/>
    <s v="Non Résolu"/>
    <n v="57"/>
    <n v="4"/>
    <s v="B2C"/>
    <s v="Illimité 50Go"/>
    <n v="329"/>
    <d v="1899-12-30T05:29:00"/>
    <n v="50.39"/>
    <n v="0.45"/>
    <n v="22.6755"/>
  </r>
  <r>
    <x v="0"/>
    <s v="ANT-0037"/>
    <s v="3G"/>
    <s v="ZTE"/>
    <s v="En Cours"/>
    <n v="103"/>
    <n v="8"/>
    <s v="B2B"/>
    <s v="Pro Monde"/>
    <n v="105"/>
    <d v="1899-12-30T01:45:00"/>
    <n v="61.52"/>
    <n v="0.1"/>
    <n v="6.152000000000001"/>
  </r>
  <r>
    <x v="6"/>
    <s v="ANT-0566"/>
    <s v="3G"/>
    <s v="ZTE"/>
    <s v="En Cours"/>
    <n v="59"/>
    <n v="4"/>
    <s v="B2C"/>
    <s v="Illimité 50Go"/>
    <n v="454"/>
    <d v="1899-12-30T07:34:00"/>
    <n v="10.47"/>
    <n v="0.45"/>
    <n v="4.7115"/>
  </r>
  <r>
    <x v="10"/>
    <s v="ANT-0760"/>
    <s v="4G"/>
    <s v="ZTE"/>
    <s v="En Cours"/>
    <n v="108"/>
    <n v="9"/>
    <s v="B2C"/>
    <s v="Illimité 50Go"/>
    <n v="278"/>
    <d v="1899-12-30T04:38:00"/>
    <n v="40.51"/>
    <n v="0.45"/>
    <n v="18.229499999999998"/>
  </r>
  <r>
    <x v="15"/>
    <s v="ANT-0731"/>
    <s v="5G"/>
    <s v="Ericsson"/>
    <s v="Résolu"/>
    <n v="97"/>
    <n v="8"/>
    <s v="B2B"/>
    <s v="Pro Monde"/>
    <n v="319"/>
    <d v="1899-12-30T05:19:00"/>
    <n v="31.25"/>
    <n v="0.45"/>
    <n v="14.0625"/>
  </r>
  <r>
    <x v="9"/>
    <s v="ANT-0379"/>
    <s v="4G"/>
    <s v="ZTE"/>
    <s v="Résolu"/>
    <n v="15"/>
    <n v="1"/>
    <s v="B2B"/>
    <s v="Pro Monde"/>
    <n v="403"/>
    <d v="1899-12-30T06:43:00"/>
    <n v="77.12"/>
    <n v="0.45"/>
    <n v="34.704000000000001"/>
  </r>
  <r>
    <x v="16"/>
    <s v="ANT-0315"/>
    <s v="4G"/>
    <s v="ZTE"/>
    <s v="Résolu"/>
    <n v="14"/>
    <n v="1"/>
    <s v="B2B"/>
    <s v="Pro Monde"/>
    <n v="316"/>
    <d v="1899-12-30T05:16:00"/>
    <n v="62.34"/>
    <n v="0.45"/>
    <n v="28.053000000000001"/>
  </r>
  <r>
    <x v="17"/>
    <s v="ANT-0737"/>
    <s v="5G"/>
    <s v="ZTE"/>
    <s v="Résolu"/>
    <n v="101"/>
    <n v="8"/>
    <s v="B2B"/>
    <s v="Pro Monde"/>
    <n v="333"/>
    <d v="1899-12-30T05:33:00"/>
    <n v="74.319999999999993"/>
    <n v="0.45"/>
    <n v="33.443999999999996"/>
  </r>
  <r>
    <x v="18"/>
    <s v="ANT-0913"/>
    <s v="5G"/>
    <s v="ZTE"/>
    <s v="Résolu"/>
    <n v="79"/>
    <n v="6"/>
    <s v="B2C"/>
    <s v="Premium 5G 150Go"/>
    <n v="226"/>
    <d v="1899-12-30T03:46:00"/>
    <n v="94.38"/>
    <n v="0"/>
    <n v="0"/>
  </r>
  <r>
    <x v="4"/>
    <s v="ANT-0852"/>
    <s v="3G"/>
    <s v="ZTE"/>
    <s v="Résolu"/>
    <n v="79"/>
    <n v="6"/>
    <s v="B2C"/>
    <s v="Bloqué 5Go"/>
    <n v="357"/>
    <d v="1899-12-30T05:57:00"/>
    <n v="69.900000000000006"/>
    <n v="0.45"/>
    <n v="31.455000000000002"/>
  </r>
  <r>
    <x v="19"/>
    <s v="ANT-0914"/>
    <s v="5G"/>
    <s v="ZTE"/>
    <s v="Résolu"/>
    <n v="101"/>
    <n v="8"/>
    <s v="B2B"/>
    <s v="Pro Monde"/>
    <n v="176"/>
    <d v="1899-12-30T02:56:00"/>
    <n v="86"/>
    <n v="0.1"/>
    <n v="8.6"/>
  </r>
  <r>
    <x v="4"/>
    <s v="ANT-0852"/>
    <s v="3G"/>
    <s v="ZTE"/>
    <s v="Résolu"/>
    <n v="110"/>
    <n v="9"/>
    <s v="B2C"/>
    <s v="Illimité 50Go"/>
    <n v="454"/>
    <d v="1899-12-30T07:34:00"/>
    <n v="31.05"/>
    <n v="0.45"/>
    <n v="13.9725"/>
  </r>
  <r>
    <x v="1"/>
    <s v="ANT-0271"/>
    <s v="5G"/>
    <s v="ZTE"/>
    <s v="Résolu"/>
    <n v="14"/>
    <n v="1"/>
    <s v="B2C"/>
    <s v="Bloqué 5Go"/>
    <n v="415"/>
    <d v="1899-12-30T06:55:00"/>
    <n v="36.93"/>
    <n v="0.45"/>
    <n v="16.618500000000001"/>
  </r>
  <r>
    <x v="7"/>
    <s v="ANT-0332"/>
    <s v="4G"/>
    <s v="Huawei"/>
    <s v="Résolu"/>
    <n v="106"/>
    <n v="8"/>
    <s v="B2C"/>
    <s v="Bloqué 5Go"/>
    <n v="400"/>
    <d v="1899-12-30T06:40:00"/>
    <n v="70.02"/>
    <n v="0.45"/>
    <n v="31.509"/>
  </r>
  <r>
    <x v="7"/>
    <s v="ANT-0332"/>
    <s v="4G"/>
    <s v="Ericsson"/>
    <s v="Résolu"/>
    <n v="72"/>
    <n v="6"/>
    <s v="B2C"/>
    <s v="Bloqué 5Go"/>
    <n v="332"/>
    <d v="1899-12-30T05:32:00"/>
    <n v="83.36"/>
    <n v="0.45"/>
    <n v="37.512"/>
  </r>
  <r>
    <x v="20"/>
    <s v="ANT-0096"/>
    <s v="3G"/>
    <s v="ZTE"/>
    <s v="Résolu"/>
    <n v="6"/>
    <n v="0"/>
    <s v="B2C"/>
    <s v="Premium 5G 150Go"/>
    <n v="207"/>
    <d v="1899-12-30T03:27:00"/>
    <n v="61.55"/>
    <n v="0.45"/>
    <n v="27.697499999999998"/>
  </r>
  <r>
    <x v="17"/>
    <s v="ANT-0737"/>
    <s v="5G"/>
    <s v="ZTE"/>
    <s v="Résolu"/>
    <n v="65"/>
    <n v="5"/>
    <s v="B2C"/>
    <s v="Premium 5G 150Go"/>
    <n v="397"/>
    <d v="1899-12-30T06:37:00"/>
    <n v="22.6"/>
    <n v="0.45"/>
    <n v="10.170000000000002"/>
  </r>
  <r>
    <x v="5"/>
    <s v="ANT-0284"/>
    <s v="4G"/>
    <s v="Huawei"/>
    <s v="Non Résolu"/>
    <n v="14"/>
    <n v="1"/>
    <s v="B2B"/>
    <s v="Pro Monde"/>
    <n v="101"/>
    <d v="1899-12-30T01:41:00"/>
    <n v="43.99"/>
    <n v="0.1"/>
    <n v="4.399"/>
  </r>
  <r>
    <x v="12"/>
    <s v="ANT-0134"/>
    <s v="4G"/>
    <s v="Ericsson"/>
    <s v="Résolu"/>
    <n v="22"/>
    <n v="1"/>
    <s v="B2C"/>
    <s v="Illimité 50Go"/>
    <n v="451"/>
    <d v="1899-12-30T07:31:00"/>
    <n v="76.38"/>
    <n v="0.45"/>
    <n v="34.371000000000002"/>
  </r>
  <r>
    <x v="21"/>
    <s v="ANT-0302"/>
    <s v="4G"/>
    <s v="Ericsson"/>
    <s v="Résolu"/>
    <n v="81"/>
    <n v="6"/>
    <s v="B2B"/>
    <s v="Pro Monde"/>
    <n v="154"/>
    <d v="1899-12-30T02:34:00"/>
    <n v="19.47"/>
    <n v="0.1"/>
    <n v="1.9470000000000001"/>
  </r>
  <r>
    <x v="0"/>
    <s v="ANT-0037"/>
    <s v="3G"/>
    <s v="Huawei"/>
    <s v="En Cours"/>
    <n v="16"/>
    <n v="1"/>
    <s v="B2C"/>
    <s v="Bloqué 5Go"/>
    <n v="43"/>
    <d v="1899-12-30T00:43:00"/>
    <n v="56.48"/>
    <n v="0"/>
    <n v="0"/>
  </r>
  <r>
    <x v="14"/>
    <s v="ANT-0850"/>
    <s v="3G"/>
    <s v="Huawei"/>
    <s v="En Cours"/>
    <n v="112"/>
    <n v="9"/>
    <s v="B2B"/>
    <s v="Pro Monde"/>
    <n v="18"/>
    <d v="1899-12-30T00:18:00"/>
    <n v="27.33"/>
    <n v="0.1"/>
    <n v="2.7330000000000001"/>
  </r>
  <r>
    <x v="8"/>
    <s v="ANT-0166"/>
    <s v="5G"/>
    <s v="ZTE"/>
    <s v="En Cours"/>
    <n v="27"/>
    <n v="2"/>
    <s v="B2C"/>
    <s v="Bloqué 5Go"/>
    <n v="275"/>
    <d v="1899-12-30T04:35:00"/>
    <n v="80.069999999999993"/>
    <n v="0.45"/>
    <n v="36.031500000000001"/>
  </r>
  <r>
    <x v="15"/>
    <s v="ANT-0731"/>
    <s v="5G"/>
    <s v="ZTE"/>
    <s v="En Cours"/>
    <n v="117"/>
    <n v="9"/>
    <s v="B2C"/>
    <s v="Illimité 50Go"/>
    <n v="171"/>
    <d v="1899-12-30T02:51:00"/>
    <n v="50.89"/>
    <n v="0"/>
    <n v="0"/>
  </r>
  <r>
    <x v="14"/>
    <s v="ANT-0850"/>
    <s v="3G"/>
    <s v="Huawei"/>
    <s v="Résolu"/>
    <n v="47"/>
    <n v="3"/>
    <s v="B2C"/>
    <s v="Bloqué 5Go"/>
    <n v="199"/>
    <d v="1899-12-30T03:19:00"/>
    <n v="23.19"/>
    <n v="0"/>
    <n v="0"/>
  </r>
  <r>
    <x v="16"/>
    <s v="ANT-0451"/>
    <s v="3G"/>
    <s v="Huawei"/>
    <s v="Résolu"/>
    <n v="21"/>
    <n v="1"/>
    <s v="B2C"/>
    <s v="Premium 5G 150Go"/>
    <n v="371"/>
    <d v="1899-12-30T06:11:00"/>
    <n v="48.31"/>
    <n v="0.45"/>
    <n v="21.739500000000003"/>
  </r>
  <r>
    <x v="14"/>
    <s v="ANT-0850"/>
    <s v="3G"/>
    <s v="Huawei"/>
    <s v="Résolu"/>
    <n v="82"/>
    <n v="6"/>
    <s v="B2C"/>
    <s v="Bloqué 5Go"/>
    <n v="132"/>
    <d v="1899-12-30T02:12:00"/>
    <n v="50.14"/>
    <n v="0"/>
    <n v="0"/>
  </r>
  <r>
    <x v="4"/>
    <s v="ANT-0441"/>
    <s v="3G"/>
    <s v="Huawei"/>
    <s v="Résolu"/>
    <n v="59"/>
    <n v="4"/>
    <s v="B2C"/>
    <s v="Illimité 50Go"/>
    <n v="192"/>
    <d v="1899-12-30T03:12:00"/>
    <n v="86.17"/>
    <n v="0"/>
    <n v="0"/>
  </r>
  <r>
    <x v="22"/>
    <s v="ANT-0153"/>
    <s v="5G"/>
    <s v="Ericsson"/>
    <s v="Non Résolu"/>
    <n v="98"/>
    <n v="8"/>
    <s v="B2B"/>
    <s v="Pro Monde"/>
    <n v="482"/>
    <d v="1899-12-30T08:02:00"/>
    <n v="55.04"/>
    <n v="0.45"/>
    <n v="24.768000000000001"/>
  </r>
  <r>
    <x v="10"/>
    <s v="ANT-0760"/>
    <s v="4G"/>
    <s v="Ericsson"/>
    <s v="Non Résolu"/>
    <n v="58"/>
    <n v="4"/>
    <s v="B2C"/>
    <s v="Bloqué 5Go"/>
    <n v="423"/>
    <d v="1899-12-30T07:03:00"/>
    <n v="80.459999999999994"/>
    <n v="0.45"/>
    <n v="36.207000000000001"/>
  </r>
  <r>
    <x v="17"/>
    <s v="ANT-0737"/>
    <s v="5G"/>
    <s v="Ericsson"/>
    <s v="Non Résolu"/>
    <n v="86"/>
    <n v="7"/>
    <s v="B2C"/>
    <s v="Bloqué 5Go"/>
    <n v="460"/>
    <d v="1899-12-30T07:40:00"/>
    <n v="22.81"/>
    <n v="0.45"/>
    <n v="10.2645"/>
  </r>
  <r>
    <x v="20"/>
    <s v="ANT-0096"/>
    <s v="3G"/>
    <s v="Nokia"/>
    <s v="Non Résolu"/>
    <n v="58"/>
    <n v="4"/>
    <s v="B2C"/>
    <s v="Illimité 50Go"/>
    <n v="61"/>
    <d v="1899-12-30T01:01:00"/>
    <n v="58.64"/>
    <n v="0"/>
    <n v="0"/>
  </r>
  <r>
    <x v="13"/>
    <s v="ANT-0011"/>
    <s v="4G"/>
    <s v="Ericsson"/>
    <s v="Résolu"/>
    <n v="20"/>
    <n v="1"/>
    <s v="B2C"/>
    <s v="Bloqué 5Go"/>
    <n v="26"/>
    <d v="1899-12-30T00:26:00"/>
    <n v="25.14"/>
    <n v="0"/>
    <n v="0"/>
  </r>
  <r>
    <x v="14"/>
    <s v="ANT-0850"/>
    <s v="3G"/>
    <s v="Nokia"/>
    <s v="Non Résolu"/>
    <n v="111"/>
    <n v="9"/>
    <s v="B2C"/>
    <s v="Premium 5G 150Go"/>
    <n v="103"/>
    <d v="1899-12-30T01:43:00"/>
    <n v="32.06"/>
    <n v="0"/>
    <n v="0"/>
  </r>
  <r>
    <x v="4"/>
    <s v="ANT-0441"/>
    <s v="3G"/>
    <s v="Nokia"/>
    <s v="Non Résolu"/>
    <n v="94"/>
    <n v="7"/>
    <s v="B2C"/>
    <s v="Illimité 50Go"/>
    <n v="122"/>
    <d v="1899-12-30T02:02:00"/>
    <n v="95.74"/>
    <n v="0"/>
    <n v="0"/>
  </r>
  <r>
    <x v="10"/>
    <s v="ANT-0760"/>
    <s v="4G"/>
    <s v="Ericsson"/>
    <s v="Résolu"/>
    <n v="42"/>
    <n v="3"/>
    <s v="B2C"/>
    <s v="Illimité 50Go"/>
    <n v="385"/>
    <d v="1899-12-30T06:25:00"/>
    <n v="96.52"/>
    <n v="0.45"/>
    <n v="43.433999999999997"/>
  </r>
  <r>
    <x v="4"/>
    <s v="ANT-0441"/>
    <s v="3G"/>
    <s v="Nokia"/>
    <s v="Non Résolu"/>
    <n v="12"/>
    <n v="1"/>
    <s v="B2B"/>
    <s v="Pro Monde"/>
    <n v="305"/>
    <d v="1899-12-30T05:05:00"/>
    <n v="59.96"/>
    <n v="0.45"/>
    <n v="26.981999999999999"/>
  </r>
  <r>
    <x v="10"/>
    <s v="ANT-0760"/>
    <s v="4G"/>
    <s v="Ericsson"/>
    <s v="Résolu"/>
    <n v="103"/>
    <n v="8"/>
    <s v="B2C"/>
    <s v="Bloqué 5Go"/>
    <n v="300"/>
    <d v="1899-12-30T05:00:00"/>
    <n v="13.76"/>
    <n v="0.45"/>
    <n v="6.1920000000000002"/>
  </r>
  <r>
    <x v="10"/>
    <s v="ANT-0760"/>
    <s v="4G"/>
    <s v="Ericsson"/>
    <s v="Résolu"/>
    <n v="80"/>
    <n v="6"/>
    <s v="B2C"/>
    <s v="Premium 5G 150Go"/>
    <n v="121"/>
    <d v="1899-12-30T02:01:00"/>
    <n v="83.14"/>
    <n v="0"/>
    <n v="0"/>
  </r>
  <r>
    <x v="6"/>
    <s v="ANT-0566"/>
    <s v="3G"/>
    <s v="Nokia"/>
    <s v="Non Résolu"/>
    <n v="86"/>
    <n v="7"/>
    <s v="B2B"/>
    <s v="Pro Monde"/>
    <n v="252"/>
    <d v="1899-12-30T04:12:00"/>
    <n v="96.5"/>
    <n v="0.45"/>
    <n v="43.425000000000004"/>
  </r>
  <r>
    <x v="18"/>
    <s v="ANT-0913"/>
    <s v="5G"/>
    <s v="Ericsson"/>
    <s v="Résolu"/>
    <n v="80"/>
    <n v="6"/>
    <s v="B2C"/>
    <s v="Bloqué 5Go"/>
    <n v="260"/>
    <d v="1899-12-30T04:20:00"/>
    <n v="65.87"/>
    <n v="0.45"/>
    <n v="29.641500000000004"/>
  </r>
  <r>
    <x v="5"/>
    <s v="ANT-0790"/>
    <s v="5G"/>
    <s v="Ericsson"/>
    <s v="Résolu"/>
    <n v="53"/>
    <n v="4"/>
    <s v="B2B"/>
    <s v="Pro Monde"/>
    <n v="385"/>
    <d v="1899-12-30T06:25:00"/>
    <n v="68.78"/>
    <n v="0.45"/>
    <n v="30.951000000000001"/>
  </r>
  <r>
    <x v="13"/>
    <s v="ANT-0011"/>
    <s v="4G"/>
    <s v="Huawei"/>
    <s v="Résolu"/>
    <n v="50"/>
    <n v="4"/>
    <s v="B2C"/>
    <s v="Bloqué 5Go"/>
    <n v="258"/>
    <d v="1899-12-30T04:18:00"/>
    <n v="25.06"/>
    <n v="0.45"/>
    <n v="11.276999999999999"/>
  </r>
  <r>
    <x v="13"/>
    <s v="ANT-0011"/>
    <s v="4G"/>
    <s v="Huawei"/>
    <s v="Résolu"/>
    <n v="30"/>
    <n v="2"/>
    <s v="B2C"/>
    <s v="Premium 5G 150Go"/>
    <n v="197"/>
    <d v="1899-12-30T03:17:00"/>
    <n v="15.42"/>
    <n v="0.45"/>
    <n v="6.9390000000000001"/>
  </r>
  <r>
    <x v="5"/>
    <s v="ANT-0010"/>
    <s v="3G"/>
    <s v="Nokia"/>
    <s v="Non Résolu"/>
    <n v="116"/>
    <n v="9"/>
    <s v="B2B"/>
    <s v="Pro Monde"/>
    <n v="486"/>
    <d v="1899-12-30T08:06:00"/>
    <n v="92.96"/>
    <n v="0.45"/>
    <n v="41.832000000000001"/>
  </r>
  <r>
    <x v="22"/>
    <s v="ANT-0153"/>
    <s v="5G"/>
    <s v="ZTE"/>
    <s v="Non Résolu"/>
    <n v="51"/>
    <n v="4"/>
    <s v="B2C"/>
    <s v="Illimité 50Go"/>
    <n v="58"/>
    <d v="1899-12-30T00:58:00"/>
    <n v="34.6"/>
    <n v="0"/>
    <n v="0"/>
  </r>
  <r>
    <x v="0"/>
    <s v="ANT-0037"/>
    <s v="3G"/>
    <s v="Nokia"/>
    <s v="Non Résolu"/>
    <n v="44"/>
    <n v="3"/>
    <s v="B2B"/>
    <s v="Pro Monde"/>
    <n v="137"/>
    <d v="1899-12-30T02:17:00"/>
    <n v="32.58"/>
    <n v="0.1"/>
    <n v="3.258"/>
  </r>
  <r>
    <x v="17"/>
    <s v="ANT-0737"/>
    <s v="5G"/>
    <s v="Ericsson"/>
    <s v="En Cours"/>
    <n v="70"/>
    <n v="5"/>
    <s v="B2C"/>
    <s v="Bloqué 5Go"/>
    <n v="31"/>
    <d v="1899-12-30T00:31:00"/>
    <n v="71.2"/>
    <n v="0"/>
    <n v="0"/>
  </r>
  <r>
    <x v="10"/>
    <s v="ANT-0760"/>
    <s v="4G"/>
    <s v="Nokia"/>
    <s v="Non Résolu"/>
    <n v="6"/>
    <n v="0"/>
    <s v="B2C"/>
    <s v="Premium 5G 150Go"/>
    <n v="162"/>
    <d v="1899-12-30T02:42:00"/>
    <n v="99.93"/>
    <n v="0.45"/>
    <n v="44.968500000000006"/>
  </r>
  <r>
    <x v="10"/>
    <s v="ANT-0517"/>
    <s v="5G"/>
    <s v="Ericsson"/>
    <s v="Résolu"/>
    <n v="86"/>
    <n v="7"/>
    <s v="B2B"/>
    <s v="Pro Monde"/>
    <n v="237"/>
    <d v="1899-12-30T03:57:00"/>
    <n v="85.82"/>
    <n v="0.1"/>
    <n v="8.581999999999999"/>
  </r>
  <r>
    <x v="9"/>
    <s v="ANT-0379"/>
    <s v="4G"/>
    <s v="Huawei"/>
    <s v="En Cours"/>
    <n v="114"/>
    <n v="9"/>
    <s v="B2C"/>
    <s v="Premium 5G 150Go"/>
    <n v="283"/>
    <d v="1899-12-30T04:43:00"/>
    <n v="29.15"/>
    <n v="0.45"/>
    <n v="13.1175"/>
  </r>
  <r>
    <x v="7"/>
    <s v="ANT-0332"/>
    <s v="4G"/>
    <s v="Huawei"/>
    <s v="En Cours"/>
    <n v="57"/>
    <n v="4"/>
    <s v="B2C"/>
    <s v="Bloqué 5Go"/>
    <n v="208"/>
    <d v="1899-12-30T03:28:00"/>
    <n v="85.66"/>
    <n v="0"/>
    <n v="0"/>
  </r>
  <r>
    <x v="3"/>
    <s v="ANT-0371"/>
    <s v="4G"/>
    <s v="Huawei"/>
    <s v="En Cours"/>
    <n v="95"/>
    <n v="7"/>
    <s v="B2C"/>
    <s v="Bloqué 5Go"/>
    <n v="33"/>
    <d v="1899-12-30T00:33:00"/>
    <n v="35.32"/>
    <n v="0"/>
    <n v="0"/>
  </r>
  <r>
    <x v="6"/>
    <s v="ANT-0566"/>
    <s v="3G"/>
    <s v="Ericsson"/>
    <s v="Résolu"/>
    <n v="36"/>
    <n v="3"/>
    <s v="B2C"/>
    <s v="Bloqué 5Go"/>
    <n v="247"/>
    <d v="1899-12-30T04:07:00"/>
    <n v="24.53"/>
    <n v="0.45"/>
    <n v="11.038500000000001"/>
  </r>
  <r>
    <x v="18"/>
    <s v="ANT-0913"/>
    <s v="5G"/>
    <s v="Ericsson"/>
    <s v="Résolu"/>
    <n v="83"/>
    <n v="6"/>
    <s v="B2C"/>
    <s v="Illimité 50Go"/>
    <n v="14"/>
    <d v="1899-12-30T00:14:00"/>
    <n v="58.07"/>
    <n v="0"/>
    <n v="0"/>
  </r>
  <r>
    <x v="14"/>
    <s v="ANT-0770"/>
    <s v="4G"/>
    <s v="Huawei"/>
    <s v="En Cours"/>
    <n v="12"/>
    <n v="1"/>
    <s v="B2C"/>
    <s v="Premium 5G 150Go"/>
    <n v="208"/>
    <d v="1899-12-30T03:28:00"/>
    <n v="16.29"/>
    <n v="0.45"/>
    <n v="7.3304999999999998"/>
  </r>
  <r>
    <x v="16"/>
    <s v="ANT-0451"/>
    <s v="3G"/>
    <s v="ZTE"/>
    <s v="Résolu"/>
    <n v="111"/>
    <n v="9"/>
    <s v="B2C"/>
    <s v="Illimité 50Go"/>
    <n v="324"/>
    <d v="1899-12-30T05:24:00"/>
    <n v="18.07"/>
    <n v="0.45"/>
    <n v="8.1315000000000008"/>
  </r>
  <r>
    <x v="4"/>
    <s v="ANT-0441"/>
    <s v="3G"/>
    <s v="ZTE"/>
    <s v="Résolu"/>
    <n v="22"/>
    <n v="1"/>
    <s v="B2C"/>
    <s v="Illimité 50Go"/>
    <n v="119"/>
    <d v="1899-12-30T01:59:00"/>
    <n v="72.86"/>
    <n v="0"/>
    <n v="0"/>
  </r>
  <r>
    <x v="12"/>
    <s v="ANT-0708"/>
    <s v="3G"/>
    <s v="ZTE"/>
    <s v="Résolu"/>
    <n v="91"/>
    <n v="7"/>
    <s v="B2C"/>
    <s v="Premium 5G 150Go"/>
    <n v="467"/>
    <d v="1899-12-30T07:47:00"/>
    <n v="84.74"/>
    <n v="0.45"/>
    <n v="38.132999999999996"/>
  </r>
  <r>
    <x v="17"/>
    <s v="ANT-0737"/>
    <s v="5G"/>
    <s v="Nokia"/>
    <s v="En Cours"/>
    <n v="4"/>
    <n v="0"/>
    <s v="B2C"/>
    <s v="Bloqué 5Go"/>
    <n v="453"/>
    <d v="1899-12-30T07:33:00"/>
    <n v="75.260000000000005"/>
    <n v="0.45"/>
    <n v="33.867000000000004"/>
  </r>
  <r>
    <x v="0"/>
    <s v="ANT-0037"/>
    <s v="3G"/>
    <s v="Nokia"/>
    <s v="En Cours"/>
    <n v="74"/>
    <n v="6"/>
    <s v="B2C"/>
    <s v="Illimité 50Go"/>
    <n v="9"/>
    <d v="1899-12-30T00:09:00"/>
    <n v="99.89"/>
    <n v="0"/>
    <n v="0"/>
  </r>
  <r>
    <x v="6"/>
    <s v="ANT-0566"/>
    <s v="3G"/>
    <s v="Nokia"/>
    <s v="En Cours"/>
    <n v="81"/>
    <n v="6"/>
    <s v="B2C"/>
    <s v="Premium 5G 150Go"/>
    <n v="137"/>
    <d v="1899-12-30T02:17:00"/>
    <n v="89.05"/>
    <n v="0"/>
    <n v="0"/>
  </r>
  <r>
    <x v="22"/>
    <s v="ANT-0597"/>
    <s v="5G"/>
    <s v="Ericsson"/>
    <s v="Résolu"/>
    <n v="102"/>
    <n v="8"/>
    <s v="B2B"/>
    <s v="Pro Monde"/>
    <n v="283"/>
    <d v="1899-12-30T04:43:00"/>
    <n v="28.98"/>
    <n v="0.45"/>
    <n v="13.041"/>
  </r>
  <r>
    <x v="10"/>
    <s v="ANT-0517"/>
    <s v="5G"/>
    <s v="Ericsson"/>
    <s v="Résolu"/>
    <n v="99"/>
    <n v="8"/>
    <s v="B2C"/>
    <s v="Illimité 50Go"/>
    <n v="493"/>
    <d v="1899-12-30T08:13:00"/>
    <n v="55.43"/>
    <n v="0.45"/>
    <n v="24.9435"/>
  </r>
  <r>
    <x v="22"/>
    <s v="ANT-0597"/>
    <s v="5G"/>
    <s v="Ericsson"/>
    <s v="Résolu"/>
    <n v="91"/>
    <n v="7"/>
    <s v="B2C"/>
    <s v="Bloqué 5Go"/>
    <n v="300"/>
    <d v="1899-12-30T05:00:00"/>
    <n v="82.19"/>
    <n v="0.45"/>
    <n v="36.985500000000002"/>
  </r>
  <r>
    <x v="23"/>
    <s v="ANT-0797"/>
    <s v="4G"/>
    <s v="Ericsson"/>
    <s v="Résolu"/>
    <n v="40"/>
    <n v="3"/>
    <s v="B2C"/>
    <s v="Premium 5G 150Go"/>
    <n v="345"/>
    <d v="1899-12-30T05:45:00"/>
    <n v="89.55"/>
    <n v="0.45"/>
    <n v="40.297499999999999"/>
  </r>
  <r>
    <x v="21"/>
    <s v="ANT-0302"/>
    <s v="4G"/>
    <s v="Huawei"/>
    <s v="Résolu"/>
    <n v="72"/>
    <n v="6"/>
    <s v="B2C"/>
    <s v="Illimité 50Go"/>
    <n v="51"/>
    <d v="1899-12-30T00:51:00"/>
    <n v="95.09"/>
    <n v="0"/>
    <n v="0"/>
  </r>
  <r>
    <x v="5"/>
    <s v="ANT-0284"/>
    <s v="4G"/>
    <s v="Huawei"/>
    <s v="Résolu"/>
    <n v="83"/>
    <n v="6"/>
    <s v="B2C"/>
    <s v="Bloqué 5Go"/>
    <n v="126"/>
    <d v="1899-12-30T02:06:00"/>
    <n v="67.17"/>
    <n v="0"/>
    <n v="0"/>
  </r>
  <r>
    <x v="24"/>
    <s v="ANT-0454"/>
    <s v="3G"/>
    <s v="Nokia"/>
    <s v="En Cours"/>
    <n v="16"/>
    <n v="1"/>
    <s v="B2C"/>
    <s v="Bloqué 5Go"/>
    <n v="390"/>
    <d v="1899-12-30T06:30:00"/>
    <n v="98.17"/>
    <n v="0.45"/>
    <n v="44.176500000000004"/>
  </r>
  <r>
    <x v="6"/>
    <s v="ANT-0339"/>
    <s v="5G"/>
    <s v="Nokia"/>
    <s v="En Cours"/>
    <n v="83"/>
    <n v="6"/>
    <s v="B2C"/>
    <s v="Premium 5G 150Go"/>
    <n v="284"/>
    <d v="1899-12-30T04:44:00"/>
    <n v="73.7"/>
    <n v="0.45"/>
    <n v="33.164999999999999"/>
  </r>
  <r>
    <x v="3"/>
    <s v="ANT-0371"/>
    <s v="4G"/>
    <s v="Huawei"/>
    <s v="Résolu"/>
    <n v="72"/>
    <n v="6"/>
    <s v="B2B"/>
    <s v="Pro Monde"/>
    <n v="333"/>
    <d v="1899-12-30T05:33:00"/>
    <n v="34.57"/>
    <n v="0.45"/>
    <n v="15.5565"/>
  </r>
  <r>
    <x v="8"/>
    <s v="ANT-0596"/>
    <s v="4G"/>
    <s v="Huawei"/>
    <s v="Résolu"/>
    <n v="11"/>
    <n v="0"/>
    <s v="B2C"/>
    <s v="Bloqué 5Go"/>
    <n v="402"/>
    <d v="1899-12-30T06:42:00"/>
    <n v="69.599999999999994"/>
    <n v="0.45"/>
    <n v="31.319999999999997"/>
  </r>
  <r>
    <x v="13"/>
    <s v="ANT-0011"/>
    <s v="4G"/>
    <s v="Huawei"/>
    <s v="Résolu"/>
    <n v="25"/>
    <n v="2"/>
    <s v="B2C"/>
    <s v="Premium 5G 150Go"/>
    <n v="64"/>
    <d v="1899-12-30T01:04:00"/>
    <n v="38.950000000000003"/>
    <n v="0.45"/>
    <n v="17.527500000000003"/>
  </r>
  <r>
    <x v="25"/>
    <s v="ANT-0573"/>
    <s v="4G"/>
    <s v="Huawei"/>
    <s v="Résolu"/>
    <n v="80"/>
    <n v="6"/>
    <s v="B2C"/>
    <s v="Illimité 50Go"/>
    <n v="155"/>
    <d v="1899-12-30T02:35:00"/>
    <n v="28.96"/>
    <n v="0"/>
    <n v="0"/>
  </r>
  <r>
    <x v="13"/>
    <s v="ANT-0011"/>
    <s v="4G"/>
    <s v="Nokia"/>
    <s v="Résolu"/>
    <n v="70"/>
    <n v="5"/>
    <s v="B2B"/>
    <s v="Pro Monde"/>
    <n v="290"/>
    <d v="1899-12-30T04:50:00"/>
    <n v="96.31"/>
    <n v="0.45"/>
    <n v="43.339500000000001"/>
  </r>
  <r>
    <x v="20"/>
    <s v="ANT-0096"/>
    <s v="3G"/>
    <s v="Huawei"/>
    <s v="Résolu"/>
    <n v="74"/>
    <n v="6"/>
    <s v="B2C"/>
    <s v="Premium 5G 150Go"/>
    <n v="208"/>
    <d v="1899-12-30T03:28:00"/>
    <n v="39.56"/>
    <n v="0"/>
    <n v="0"/>
  </r>
  <r>
    <x v="5"/>
    <s v="ANT-0284"/>
    <s v="4G"/>
    <s v="Nokia"/>
    <s v="Résolu"/>
    <n v="87"/>
    <n v="7"/>
    <s v="B2B"/>
    <s v="Pro Monde"/>
    <n v="442"/>
    <d v="1899-12-30T07:22:00"/>
    <n v="22.39"/>
    <n v="0.45"/>
    <n v="10.0755"/>
  </r>
  <r>
    <x v="11"/>
    <s v="ANT-0534"/>
    <s v="5G"/>
    <s v="ZTE"/>
    <s v="Résolu"/>
    <n v="69"/>
    <n v="5"/>
    <s v="B2C"/>
    <s v="Bloqué 5Go"/>
    <n v="306"/>
    <d v="1899-12-30T05:06:00"/>
    <n v="13.97"/>
    <n v="0.45"/>
    <n v="6.2865000000000002"/>
  </r>
  <r>
    <x v="15"/>
    <s v="ANT-0731"/>
    <s v="5G"/>
    <s v="ZTE"/>
    <s v="Résolu"/>
    <n v="79"/>
    <n v="6"/>
    <s v="B2C"/>
    <s v="Illimité 50Go"/>
    <n v="403"/>
    <d v="1899-12-30T06:43:00"/>
    <n v="21.49"/>
    <n v="0.45"/>
    <n v="9.6704999999999988"/>
  </r>
  <r>
    <x v="15"/>
    <s v="ANT-0731"/>
    <s v="5G"/>
    <s v="Ericsson"/>
    <s v="En Cours"/>
    <n v="33"/>
    <n v="2"/>
    <s v="B2C"/>
    <s v="Illimité 50Go"/>
    <n v="337"/>
    <d v="1899-12-30T05:37:00"/>
    <n v="62.61"/>
    <n v="0.45"/>
    <n v="28.174500000000002"/>
  </r>
  <r>
    <x v="6"/>
    <s v="ANT-0339"/>
    <s v="5G"/>
    <s v="Ericsson"/>
    <s v="En Cours"/>
    <n v="88"/>
    <n v="7"/>
    <s v="B2C"/>
    <s v="Illimité 50Go"/>
    <n v="319"/>
    <d v="1899-12-30T05:19:00"/>
    <n v="56.18"/>
    <n v="0.45"/>
    <n v="25.280999999999999"/>
  </r>
  <r>
    <x v="4"/>
    <s v="ANT-0883"/>
    <s v="3G"/>
    <s v="Nokia"/>
    <s v="Résolu"/>
    <n v="72"/>
    <n v="6"/>
    <s v="B2C"/>
    <s v="Premium 5G 150Go"/>
    <n v="5"/>
    <d v="1899-12-30T00:05:00"/>
    <n v="68.650000000000006"/>
    <n v="0"/>
    <n v="0"/>
  </r>
  <r>
    <x v="17"/>
    <s v="ANT-0737"/>
    <s v="5G"/>
    <s v="Ericsson"/>
    <s v="En Cours"/>
    <n v="114"/>
    <n v="9"/>
    <s v="B2C"/>
    <s v="Premium 5G 150Go"/>
    <n v="232"/>
    <d v="1899-12-30T03:52:00"/>
    <n v="42.2"/>
    <n v="0"/>
    <n v="0"/>
  </r>
  <r>
    <x v="19"/>
    <s v="ANT-0914"/>
    <s v="5G"/>
    <s v="ZTE"/>
    <s v="Non Résolu"/>
    <n v="59"/>
    <n v="4"/>
    <s v="B2C"/>
    <s v="Bloqué 5Go"/>
    <n v="196"/>
    <d v="1899-12-30T03:16:00"/>
    <n v="62.53"/>
    <n v="0"/>
    <n v="0"/>
  </r>
  <r>
    <x v="6"/>
    <s v="ANT-0339"/>
    <s v="5G"/>
    <s v="Nokia"/>
    <s v="Résolu"/>
    <n v="1"/>
    <n v="0"/>
    <s v="B2C"/>
    <s v="Bloqué 5Go"/>
    <n v="237"/>
    <d v="1899-12-30T03:57:00"/>
    <n v="58.7"/>
    <n v="0"/>
    <n v="0"/>
  </r>
  <r>
    <x v="11"/>
    <s v="ANT-0534"/>
    <s v="5G"/>
    <s v="ZTE"/>
    <s v="En Cours"/>
    <n v="55"/>
    <n v="4"/>
    <s v="B2C"/>
    <s v="Bloqué 5Go"/>
    <n v="407"/>
    <d v="1899-12-30T06:47:00"/>
    <n v="23.11"/>
    <n v="0.45"/>
    <n v="10.3995"/>
  </r>
  <r>
    <x v="11"/>
    <s v="ANT-0534"/>
    <s v="5G"/>
    <s v="ZTE"/>
    <s v="En Cours"/>
    <n v="83"/>
    <n v="6"/>
    <s v="B2B"/>
    <s v="Pro Monde"/>
    <n v="219"/>
    <d v="1899-12-30T03:39:00"/>
    <n v="52.26"/>
    <n v="0.1"/>
    <n v="5.226"/>
  </r>
  <r>
    <x v="8"/>
    <s v="ANT-0596"/>
    <s v="4G"/>
    <s v="Nokia"/>
    <s v="Résolu"/>
    <n v="87"/>
    <n v="7"/>
    <s v="B2B"/>
    <s v="Pro Monde"/>
    <n v="450"/>
    <d v="1899-12-30T07:30:00"/>
    <n v="64.3"/>
    <n v="0.45"/>
    <n v="28.934999999999999"/>
  </r>
  <r>
    <x v="9"/>
    <s v="ANT-0902"/>
    <s v="3G"/>
    <s v="ZTE"/>
    <s v="En Cours"/>
    <n v="84"/>
    <n v="7"/>
    <s v="B2C"/>
    <s v="Bloqué 5Go"/>
    <n v="317"/>
    <d v="1899-12-30T05:17:00"/>
    <n v="36.200000000000003"/>
    <n v="0.45"/>
    <n v="16.290000000000003"/>
  </r>
  <r>
    <x v="18"/>
    <s v="ANT-0283"/>
    <s v="4G"/>
    <s v="Ericsson"/>
    <s v="En Cours"/>
    <n v="7"/>
    <n v="0"/>
    <s v="B2C"/>
    <s v="Premium 5G 150Go"/>
    <n v="317"/>
    <d v="1899-12-30T05:17:00"/>
    <n v="97.32"/>
    <n v="0.45"/>
    <n v="43.793999999999997"/>
  </r>
  <r>
    <x v="9"/>
    <s v="ANT-0902"/>
    <s v="3G"/>
    <s v="Ericsson"/>
    <s v="En Cours"/>
    <n v="110"/>
    <n v="9"/>
    <s v="B2C"/>
    <s v="Premium 5G 150Go"/>
    <n v="51"/>
    <d v="1899-12-30T00:51:00"/>
    <n v="56.59"/>
    <n v="0"/>
    <n v="0"/>
  </r>
  <r>
    <x v="2"/>
    <s v="ANT-0829"/>
    <s v="5G"/>
    <s v="ZTE"/>
    <s v="Résolu"/>
    <n v="42"/>
    <n v="3"/>
    <s v="B2C"/>
    <s v="Illimité 50Go"/>
    <n v="173"/>
    <d v="1899-12-30T02:53:00"/>
    <n v="69.19"/>
    <n v="0"/>
    <n v="0"/>
  </r>
  <r>
    <x v="24"/>
    <s v="ANT-0653"/>
    <s v="5G"/>
    <s v="ZTE"/>
    <s v="Résolu"/>
    <n v="56"/>
    <n v="4"/>
    <s v="B2C"/>
    <s v="Bloqué 5Go"/>
    <n v="333"/>
    <d v="1899-12-30T05:33:00"/>
    <n v="23.01"/>
    <n v="0.45"/>
    <n v="10.354500000000002"/>
  </r>
  <r>
    <x v="14"/>
    <s v="ANT-0770"/>
    <s v="4G"/>
    <s v="Ericsson"/>
    <s v="En Cours"/>
    <n v="109"/>
    <n v="9"/>
    <s v="B2B"/>
    <s v="Pro Monde"/>
    <n v="480"/>
    <d v="1899-12-30T08:00:00"/>
    <n v="31.36"/>
    <n v="0.45"/>
    <n v="14.112"/>
  </r>
  <r>
    <x v="19"/>
    <s v="ANT-0245"/>
    <s v="3G"/>
    <s v="ZTE"/>
    <s v="Résolu"/>
    <n v="53"/>
    <n v="4"/>
    <s v="B2C"/>
    <s v="Illimité 50Go"/>
    <n v="345"/>
    <d v="1899-12-30T05:45:00"/>
    <n v="83.73"/>
    <n v="0.45"/>
    <n v="37.6785"/>
  </r>
  <r>
    <x v="22"/>
    <s v="ANT-0719"/>
    <s v="5G"/>
    <s v="ZTE"/>
    <s v="Résolu"/>
    <n v="36"/>
    <n v="3"/>
    <s v="B2C"/>
    <s v="Premium 5G 150Go"/>
    <n v="400"/>
    <d v="1899-12-30T06:40:00"/>
    <n v="60.35"/>
    <n v="0.45"/>
    <n v="27.157500000000002"/>
  </r>
  <r>
    <x v="20"/>
    <s v="ANT-0096"/>
    <s v="3G"/>
    <s v="ZTE"/>
    <s v="Résolu"/>
    <n v="16"/>
    <n v="1"/>
    <s v="B2C"/>
    <s v="Bloqué 5Go"/>
    <n v="13"/>
    <d v="1899-12-30T00:13:00"/>
    <n v="14.91"/>
    <n v="0"/>
    <n v="0"/>
  </r>
  <r>
    <x v="6"/>
    <s v="ANT-0339"/>
    <s v="5G"/>
    <s v="ZTE"/>
    <s v="Résolu"/>
    <n v="88"/>
    <n v="7"/>
    <s v="B2C"/>
    <s v="Premium 5G 150Go"/>
    <n v="232"/>
    <d v="1899-12-30T03:52:00"/>
    <n v="40.94"/>
    <n v="0"/>
    <n v="0"/>
  </r>
  <r>
    <x v="7"/>
    <s v="ANT-0332"/>
    <s v="4G"/>
    <s v="Ericsson"/>
    <s v="Non Résolu"/>
    <n v="67"/>
    <n v="5"/>
    <s v="B2C"/>
    <s v="Illimité 50Go"/>
    <n v="264"/>
    <d v="1899-12-30T04:24:00"/>
    <n v="97.89"/>
    <n v="0.45"/>
    <n v="44.0505"/>
  </r>
  <r>
    <x v="16"/>
    <s v="ANT-0451"/>
    <s v="3G"/>
    <s v="ZTE"/>
    <s v="Résolu"/>
    <n v="60"/>
    <n v="5"/>
    <s v="B2C"/>
    <s v="Bloqué 5Go"/>
    <n v="168"/>
    <d v="1899-12-30T02:48:00"/>
    <n v="67.650000000000006"/>
    <n v="0"/>
    <n v="0"/>
  </r>
  <r>
    <x v="9"/>
    <s v="ANT-0902"/>
    <s v="3G"/>
    <s v="ZTE"/>
    <s v="Résolu"/>
    <n v="64"/>
    <n v="5"/>
    <s v="B2B"/>
    <s v="Pro Monde"/>
    <n v="300"/>
    <d v="1899-12-30T05:00:00"/>
    <n v="28.11"/>
    <n v="0.45"/>
    <n v="12.6495"/>
  </r>
  <r>
    <x v="1"/>
    <s v="ANT-0287"/>
    <s v="5G"/>
    <s v="Huawei"/>
    <s v="En Cours"/>
    <n v="47"/>
    <n v="3"/>
    <s v="B2C"/>
    <s v="Bloqué 5Go"/>
    <n v="98"/>
    <d v="1899-12-30T01:38:00"/>
    <n v="16.16"/>
    <n v="0"/>
    <n v="0"/>
  </r>
  <r>
    <x v="3"/>
    <s v="ANT-0371"/>
    <s v="4G"/>
    <s v="Huawei"/>
    <s v="En Cours"/>
    <n v="67"/>
    <n v="5"/>
    <s v="B2B"/>
    <s v="Pro Monde"/>
    <n v="55"/>
    <d v="1899-12-30T00:55:00"/>
    <n v="27.04"/>
    <n v="0.1"/>
    <n v="2.7040000000000002"/>
  </r>
  <r>
    <x v="22"/>
    <s v="ANT-0719"/>
    <s v="5G"/>
    <s v="Huawei"/>
    <s v="En Cours"/>
    <n v="98"/>
    <n v="8"/>
    <s v="B2C"/>
    <s v="Bloqué 5Go"/>
    <n v="52"/>
    <d v="1899-12-30T00:52:00"/>
    <n v="52.82"/>
    <n v="0"/>
    <n v="0"/>
  </r>
  <r>
    <x v="1"/>
    <s v="ANT-0287"/>
    <s v="5G"/>
    <s v="Huawei"/>
    <s v="Résolu"/>
    <n v="6"/>
    <n v="0"/>
    <s v="B2C"/>
    <s v="Bloqué 5Go"/>
    <n v="6"/>
    <d v="1899-12-30T00:06:00"/>
    <n v="72.27"/>
    <n v="0"/>
    <n v="0"/>
  </r>
  <r>
    <x v="1"/>
    <s v="ANT-0287"/>
    <s v="5G"/>
    <s v="Nokia"/>
    <s v="Non Résolu"/>
    <n v="114"/>
    <n v="9"/>
    <s v="B2C"/>
    <s v="Bloqué 5Go"/>
    <n v="304"/>
    <d v="1899-12-30T05:04:00"/>
    <n v="52.07"/>
    <n v="0.45"/>
    <n v="23.4315"/>
  </r>
  <r>
    <x v="8"/>
    <s v="ANT-0596"/>
    <s v="4G"/>
    <s v="Huawei"/>
    <s v="En Cours"/>
    <n v="93"/>
    <n v="7"/>
    <s v="B2C"/>
    <s v="Bloqué 5Go"/>
    <n v="365"/>
    <d v="1899-12-30T06:05:00"/>
    <n v="72.319999999999993"/>
    <n v="0.45"/>
    <n v="32.543999999999997"/>
  </r>
  <r>
    <x v="22"/>
    <s v="ANT-0719"/>
    <s v="5G"/>
    <s v="Nokia"/>
    <s v="Non Résolu"/>
    <n v="29"/>
    <n v="2"/>
    <s v="B2B"/>
    <s v="Pro Monde"/>
    <n v="34"/>
    <d v="1899-12-30T00:34:00"/>
    <n v="86.68"/>
    <n v="0.1"/>
    <n v="8.668000000000001"/>
  </r>
  <r>
    <x v="7"/>
    <s v="ANT-0332"/>
    <s v="4G"/>
    <s v="Huawei"/>
    <s v="En Cours"/>
    <n v="7"/>
    <n v="0"/>
    <s v="B2C"/>
    <s v="Premium 5G 150Go"/>
    <n v="303"/>
    <d v="1899-12-30T05:03:00"/>
    <n v="60.95"/>
    <n v="0.45"/>
    <n v="27.427500000000002"/>
  </r>
  <r>
    <x v="22"/>
    <s v="ANT-0719"/>
    <s v="5G"/>
    <s v="Nokia"/>
    <s v="Non Résolu"/>
    <n v="118"/>
    <n v="9"/>
    <s v="B2C"/>
    <s v="Illimité 50Go"/>
    <n v="430"/>
    <d v="1899-12-30T07:10:00"/>
    <n v="36.97"/>
    <n v="0.45"/>
    <n v="16.636500000000002"/>
  </r>
  <r>
    <x v="13"/>
    <s v="ANT-0011"/>
    <s v="4G"/>
    <s v="Huawei"/>
    <s v="Non Résolu"/>
    <n v="54"/>
    <n v="4"/>
    <s v="B2C"/>
    <s v="Bloqué 5Go"/>
    <n v="99"/>
    <d v="1899-12-30T01:39:00"/>
    <n v="39.58"/>
    <n v="0"/>
    <n v="0"/>
  </r>
  <r>
    <x v="3"/>
    <s v="ANT-0371"/>
    <s v="4G"/>
    <s v="Nokia"/>
    <s v="Non Résolu"/>
    <n v="69"/>
    <n v="5"/>
    <s v="B2B"/>
    <s v="Pro Monde"/>
    <n v="463"/>
    <d v="1899-12-30T07:43:00"/>
    <n v="19.440000000000001"/>
    <n v="0.45"/>
    <n v="8.7480000000000011"/>
  </r>
  <r>
    <x v="12"/>
    <s v="ANT-0708"/>
    <s v="3G"/>
    <s v="Ericsson"/>
    <s v="Non Résolu"/>
    <n v="58"/>
    <n v="4"/>
    <s v="B2C"/>
    <s v="Bloqué 5Go"/>
    <n v="293"/>
    <d v="1899-12-30T04:53:00"/>
    <n v="88.85"/>
    <n v="0.45"/>
    <n v="39.982500000000002"/>
  </r>
  <r>
    <x v="13"/>
    <s v="ANT-0011"/>
    <s v="4G"/>
    <s v="Nokia"/>
    <s v="En Cours"/>
    <n v="41"/>
    <n v="3"/>
    <s v="B2C"/>
    <s v="Premium 5G 150Go"/>
    <n v="64"/>
    <d v="1899-12-30T01:04:00"/>
    <n v="91.95"/>
    <n v="0.45"/>
    <n v="41.377500000000005"/>
  </r>
  <r>
    <x v="19"/>
    <s v="ANT-0994"/>
    <s v="3G"/>
    <s v="Ericsson"/>
    <s v="Non Résolu"/>
    <n v="1"/>
    <n v="0"/>
    <s v="B2B"/>
    <s v="Pro Monde"/>
    <n v="326"/>
    <d v="1899-12-30T05:26:00"/>
    <n v="54.63"/>
    <n v="0.45"/>
    <n v="24.583500000000001"/>
  </r>
  <r>
    <x v="22"/>
    <s v="ANT-0719"/>
    <s v="5G"/>
    <s v="Nokia"/>
    <s v="En Cours"/>
    <n v="51"/>
    <n v="4"/>
    <s v="B2C"/>
    <s v="Bloqué 5Go"/>
    <n v="260"/>
    <d v="1899-12-30T04:20:00"/>
    <n v="92.8"/>
    <n v="0.45"/>
    <n v="41.76"/>
  </r>
  <r>
    <x v="15"/>
    <s v="ANT-0997"/>
    <s v="4G"/>
    <s v="Ericsson"/>
    <s v="En Cours"/>
    <n v="25"/>
    <n v="2"/>
    <s v="B2C"/>
    <s v="Bloqué 5Go"/>
    <n v="131"/>
    <d v="1899-12-30T02:11:00"/>
    <n v="67.489999999999995"/>
    <n v="0"/>
    <n v="0"/>
  </r>
  <r>
    <x v="20"/>
    <s v="ANT-0096"/>
    <s v="3G"/>
    <s v="Ericsson"/>
    <s v="En Cours"/>
    <n v="43"/>
    <n v="3"/>
    <s v="B2C"/>
    <s v="Bloqué 5Go"/>
    <n v="181"/>
    <d v="1899-12-30T03:01:00"/>
    <n v="72.39"/>
    <n v="0"/>
    <n v="0"/>
  </r>
  <r>
    <x v="3"/>
    <s v="ANT-0371"/>
    <s v="4G"/>
    <s v="Ericsson"/>
    <s v="En Cours"/>
    <n v="11"/>
    <n v="0"/>
    <s v="B2C"/>
    <s v="Bloqué 5Go"/>
    <n v="215"/>
    <d v="1899-12-30T03:35:00"/>
    <n v="51.99"/>
    <n v="0"/>
    <n v="0"/>
  </r>
  <r>
    <x v="5"/>
    <s v="ANT-0569"/>
    <s v="5G"/>
    <s v="Huawei"/>
    <s v="Non Résolu"/>
    <n v="113"/>
    <n v="9"/>
    <s v="B2C"/>
    <s v="Premium 5G 150Go"/>
    <n v="246"/>
    <d v="1899-12-30T04:06:00"/>
    <n v="29.18"/>
    <n v="0.45"/>
    <n v="13.131"/>
  </r>
  <r>
    <x v="19"/>
    <s v="ANT-0994"/>
    <s v="3G"/>
    <s v="Nokia"/>
    <s v="Non Résolu"/>
    <n v="74"/>
    <n v="6"/>
    <s v="B2B"/>
    <s v="Pro Monde"/>
    <n v="371"/>
    <d v="1899-12-30T06:11:00"/>
    <n v="53.27"/>
    <n v="0.45"/>
    <n v="23.971500000000002"/>
  </r>
  <r>
    <x v="9"/>
    <s v="ANT-0488"/>
    <s v="4G"/>
    <s v="Ericsson"/>
    <s v="Résolu"/>
    <n v="104"/>
    <n v="8"/>
    <s v="B2B"/>
    <s v="Pro Monde"/>
    <n v="317"/>
    <d v="1899-12-30T05:17:00"/>
    <n v="79.150000000000006"/>
    <n v="0.45"/>
    <n v="35.617500000000007"/>
  </r>
  <r>
    <x v="1"/>
    <s v="ANT-0417"/>
    <s v="5G"/>
    <s v="Huawei"/>
    <s v="Non Résolu"/>
    <n v="4"/>
    <n v="0"/>
    <s v="B2C"/>
    <s v="Bloqué 5Go"/>
    <n v="227"/>
    <d v="1899-12-30T03:47:00"/>
    <n v="83.32"/>
    <n v="0"/>
    <n v="0"/>
  </r>
  <r>
    <x v="18"/>
    <s v="ANT-0353"/>
    <s v="5G"/>
    <s v="Huawei"/>
    <s v="Non Résolu"/>
    <n v="95"/>
    <n v="7"/>
    <s v="B2B"/>
    <s v="Pro Monde"/>
    <n v="95"/>
    <d v="1899-12-30T01:35:00"/>
    <n v="82.65"/>
    <n v="0.1"/>
    <n v="8.2650000000000006"/>
  </r>
  <r>
    <x v="11"/>
    <s v="ANT-0738"/>
    <s v="4G"/>
    <s v="Ericsson"/>
    <s v="Résolu"/>
    <n v="29"/>
    <n v="2"/>
    <s v="B2C"/>
    <s v="Illimité 50Go"/>
    <n v="124"/>
    <d v="1899-12-30T02:04:00"/>
    <n v="43.83"/>
    <n v="0"/>
    <n v="0"/>
  </r>
  <r>
    <x v="8"/>
    <s v="ANT-0596"/>
    <s v="4G"/>
    <s v="Huawei"/>
    <s v="Non Résolu"/>
    <n v="97"/>
    <n v="8"/>
    <s v="B2C"/>
    <s v="Bloqué 5Go"/>
    <n v="484"/>
    <d v="1899-12-30T08:04:00"/>
    <n v="61.98"/>
    <n v="0.45"/>
    <n v="27.890999999999998"/>
  </r>
  <r>
    <x v="0"/>
    <s v="ANT-0821"/>
    <s v="5G"/>
    <s v="Huawei"/>
    <s v="Non Résolu"/>
    <n v="113"/>
    <n v="9"/>
    <s v="B2C"/>
    <s v="Premium 5G 150Go"/>
    <n v="207"/>
    <d v="1899-12-30T03:27:00"/>
    <n v="21.55"/>
    <n v="0"/>
    <n v="0"/>
  </r>
  <r>
    <x v="11"/>
    <s v="ANT-0209"/>
    <s v="5G"/>
    <s v="Huawei"/>
    <s v="Non Résolu"/>
    <n v="83"/>
    <n v="6"/>
    <s v="B2B"/>
    <s v="Pro Monde"/>
    <n v="420"/>
    <d v="1899-12-30T07:00:00"/>
    <n v="94.9"/>
    <n v="0.45"/>
    <n v="42.705000000000005"/>
  </r>
  <r>
    <x v="12"/>
    <s v="ANT-0708"/>
    <s v="3G"/>
    <s v="ZTE"/>
    <s v="Résolu"/>
    <n v="97"/>
    <n v="8"/>
    <s v="B2C"/>
    <s v="Premium 5G 150Go"/>
    <n v="296"/>
    <d v="1899-12-30T04:56:00"/>
    <n v="10.87"/>
    <n v="0.45"/>
    <n v="4.8914999999999997"/>
  </r>
  <r>
    <x v="14"/>
    <s v="ANT-0458"/>
    <s v="3G"/>
    <s v="ZTE"/>
    <s v="Résolu"/>
    <n v="66"/>
    <n v="5"/>
    <s v="B2C"/>
    <s v="Illimité 50Go"/>
    <n v="387"/>
    <d v="1899-12-30T06:27:00"/>
    <n v="82.94"/>
    <n v="0.45"/>
    <n v="37.323"/>
  </r>
  <r>
    <x v="13"/>
    <s v="ANT-0002"/>
    <s v="4G"/>
    <s v="ZTE"/>
    <s v="En Cours"/>
    <n v="48"/>
    <n v="4"/>
    <s v="B2C"/>
    <s v="Bloqué 5Go"/>
    <n v="335"/>
    <d v="1899-12-30T05:35:00"/>
    <n v="85.09"/>
    <n v="0.45"/>
    <n v="38.290500000000002"/>
  </r>
  <r>
    <x v="13"/>
    <s v="ANT-0002"/>
    <s v="4G"/>
    <s v="ZTE"/>
    <s v="En Cours"/>
    <n v="64"/>
    <n v="5"/>
    <s v="B2B"/>
    <s v="Pro Monde"/>
    <n v="6"/>
    <d v="1899-12-30T00:06:00"/>
    <n v="40.58"/>
    <n v="0.1"/>
    <n v="4.0579999999999998"/>
  </r>
  <r>
    <x v="5"/>
    <s v="ANT-0624"/>
    <s v="3G"/>
    <s v="ZTE"/>
    <s v="En Cours"/>
    <n v="67"/>
    <n v="5"/>
    <s v="B2C"/>
    <s v="Premium 5G 150Go"/>
    <n v="241"/>
    <d v="1899-12-30T04:01:00"/>
    <n v="47.72"/>
    <n v="0.45"/>
    <n v="21.474"/>
  </r>
  <r>
    <x v="9"/>
    <s v="ANT-0488"/>
    <s v="4G"/>
    <s v="ZTE"/>
    <s v="En Cours"/>
    <n v="60"/>
    <n v="5"/>
    <s v="B2B"/>
    <s v="Pro Monde"/>
    <n v="334"/>
    <d v="1899-12-30T05:34:00"/>
    <n v="71.72"/>
    <n v="0.45"/>
    <n v="32.274000000000001"/>
  </r>
  <r>
    <x v="9"/>
    <s v="ANT-0527"/>
    <s v="4G"/>
    <s v="Ericsson"/>
    <s v="Non Résolu"/>
    <n v="23"/>
    <n v="1"/>
    <s v="B2B"/>
    <s v="Pro Monde"/>
    <n v="262"/>
    <d v="1899-12-30T04:22:00"/>
    <n v="46.3"/>
    <n v="0.45"/>
    <n v="20.835000000000001"/>
  </r>
  <r>
    <x v="16"/>
    <s v="ANT-0950"/>
    <s v="5G"/>
    <s v="Nokia"/>
    <s v="En Cours"/>
    <n v="42"/>
    <n v="3"/>
    <s v="B2B"/>
    <s v="Pro Monde"/>
    <n v="389"/>
    <d v="1899-12-30T06:29:00"/>
    <n v="80.08"/>
    <n v="0.45"/>
    <n v="36.036000000000001"/>
  </r>
  <r>
    <x v="24"/>
    <s v="ANT-0812"/>
    <s v="5G"/>
    <s v="Nokia"/>
    <s v="En Cours"/>
    <n v="92"/>
    <n v="7"/>
    <s v="B2B"/>
    <s v="Pro Monde"/>
    <n v="487"/>
    <d v="1899-12-30T08:07:00"/>
    <n v="58.38"/>
    <n v="0.45"/>
    <n v="26.271000000000001"/>
  </r>
  <r>
    <x v="11"/>
    <s v="ANT-0209"/>
    <s v="5G"/>
    <s v="Nokia"/>
    <s v="En Cours"/>
    <n v="48"/>
    <n v="4"/>
    <s v="B2B"/>
    <s v="Pro Monde"/>
    <n v="76"/>
    <d v="1899-12-30T01:16:00"/>
    <n v="39.35"/>
    <n v="0.1"/>
    <n v="3.9350000000000005"/>
  </r>
  <r>
    <x v="4"/>
    <s v="ANT-0415"/>
    <s v="4G"/>
    <s v="Ericsson"/>
    <s v="En Cours"/>
    <n v="68"/>
    <n v="5"/>
    <s v="B2C"/>
    <s v="Premium 5G 150Go"/>
    <n v="443"/>
    <d v="1899-12-30T07:23:00"/>
    <n v="12.09"/>
    <n v="0.45"/>
    <n v="5.4405000000000001"/>
  </r>
  <r>
    <x v="21"/>
    <s v="ANT-0302"/>
    <s v="4G"/>
    <s v="Ericsson"/>
    <s v="En Cours"/>
    <n v="89"/>
    <n v="7"/>
    <s v="B2B"/>
    <s v="Pro Monde"/>
    <n v="203"/>
    <d v="1899-12-30T03:23:00"/>
    <n v="80.680000000000007"/>
    <n v="0.1"/>
    <n v="8.0680000000000014"/>
  </r>
  <r>
    <x v="8"/>
    <s v="ANT-0596"/>
    <s v="4G"/>
    <s v="Ericsson"/>
    <s v="En Cours"/>
    <n v="62"/>
    <n v="5"/>
    <s v="B2C"/>
    <s v="Premium 5G 150Go"/>
    <n v="116"/>
    <d v="1899-12-30T01:56:00"/>
    <n v="92.99"/>
    <n v="0"/>
    <n v="0"/>
  </r>
  <r>
    <x v="0"/>
    <s v="ANT-0821"/>
    <s v="5G"/>
    <s v="Ericsson"/>
    <s v="En Cours"/>
    <n v="92"/>
    <n v="7"/>
    <s v="B2C"/>
    <s v="Premium 5G 150Go"/>
    <n v="116"/>
    <d v="1899-12-30T01:56:00"/>
    <n v="23.83"/>
    <n v="0"/>
    <n v="0"/>
  </r>
  <r>
    <x v="2"/>
    <s v="ANT-0829"/>
    <s v="5G"/>
    <s v="Ericsson"/>
    <s v="En Cours"/>
    <n v="64"/>
    <n v="5"/>
    <s v="B2B"/>
    <s v="Pro Monde"/>
    <n v="370"/>
    <d v="1899-12-30T06:10:00"/>
    <n v="95.74"/>
    <n v="0.45"/>
    <n v="43.082999999999998"/>
  </r>
  <r>
    <x v="15"/>
    <s v="ANT-0997"/>
    <s v="4G"/>
    <s v="Ericsson"/>
    <s v="En Cours"/>
    <n v="61"/>
    <n v="5"/>
    <s v="B2C"/>
    <s v="Bloqué 5Go"/>
    <n v="383"/>
    <d v="1899-12-30T06:23:00"/>
    <n v="39.72"/>
    <n v="0.45"/>
    <n v="17.873999999999999"/>
  </r>
  <r>
    <x v="17"/>
    <s v="ANT-0093"/>
    <s v="4G"/>
    <s v="ZTE"/>
    <s v="Non Résolu"/>
    <n v="35"/>
    <n v="2"/>
    <s v="B2C"/>
    <s v="Illimité 50Go"/>
    <n v="107"/>
    <d v="1899-12-30T01:47:00"/>
    <n v="66.69"/>
    <n v="0"/>
    <n v="0"/>
  </r>
  <r>
    <x v="25"/>
    <s v="ANT-0845"/>
    <s v="3G"/>
    <s v="Huawei"/>
    <s v="Non Résolu"/>
    <n v="75"/>
    <n v="6"/>
    <s v="B2B"/>
    <s v="Pro Monde"/>
    <n v="242"/>
    <d v="1899-12-30T04:02:00"/>
    <n v="64.27"/>
    <n v="0.45"/>
    <n v="28.921499999999998"/>
  </r>
  <r>
    <x v="8"/>
    <s v="ANT-0596"/>
    <s v="4G"/>
    <s v="ZTE"/>
    <s v="Non Résolu"/>
    <n v="52"/>
    <n v="4"/>
    <s v="B2C"/>
    <s v="Illimité 50Go"/>
    <n v="119"/>
    <d v="1899-12-30T01:59:00"/>
    <n v="64.709999999999994"/>
    <n v="0"/>
    <n v="0"/>
  </r>
  <r>
    <x v="22"/>
    <s v="ANT-0662"/>
    <s v="4G"/>
    <s v="ZTE"/>
    <s v="Non Résolu"/>
    <n v="82"/>
    <n v="6"/>
    <s v="B2C"/>
    <s v="Premium 5G 150Go"/>
    <n v="264"/>
    <d v="1899-12-30T04:24:00"/>
    <n v="88.03"/>
    <n v="0.45"/>
    <n v="39.613500000000002"/>
  </r>
  <r>
    <x v="9"/>
    <s v="ANT-0527"/>
    <s v="4G"/>
    <s v="ZTE"/>
    <s v="Non Résolu"/>
    <n v="118"/>
    <n v="9"/>
    <s v="B2C"/>
    <s v="Bloqué 5Go"/>
    <n v="300"/>
    <d v="1899-12-30T05:00:00"/>
    <n v="98.22"/>
    <n v="0.45"/>
    <n v="44.198999999999998"/>
  </r>
  <r>
    <x v="16"/>
    <s v="ANT-0950"/>
    <s v="5G"/>
    <s v="ZTE"/>
    <s v="Non Résolu"/>
    <n v="102"/>
    <n v="8"/>
    <s v="B2C"/>
    <s v="Premium 5G 150Go"/>
    <n v="402"/>
    <d v="1899-12-30T06:42:00"/>
    <n v="28.38"/>
    <n v="0.45"/>
    <n v="12.770999999999999"/>
  </r>
  <r>
    <x v="10"/>
    <s v="ANT-0995"/>
    <s v="3G"/>
    <s v="ZTE"/>
    <s v="Non Résolu"/>
    <n v="75"/>
    <n v="6"/>
    <s v="B2C"/>
    <s v="Bloqué 5Go"/>
    <n v="282"/>
    <d v="1899-12-30T04:42:00"/>
    <n v="45.16"/>
    <n v="0.45"/>
    <n v="20.321999999999999"/>
  </r>
  <r>
    <x v="5"/>
    <s v="ANT-0624"/>
    <s v="3G"/>
    <s v="ZTE"/>
    <s v="Non Résolu"/>
    <n v="84"/>
    <n v="7"/>
    <s v="B2C"/>
    <s v="Premium 5G 150Go"/>
    <n v="387"/>
    <d v="1899-12-30T06:27:00"/>
    <n v="58.1"/>
    <n v="0.45"/>
    <n v="26.145"/>
  </r>
  <r>
    <x v="13"/>
    <s v="ANT-0002"/>
    <s v="4G"/>
    <s v="Huawei"/>
    <s v="Résolu"/>
    <n v="5"/>
    <n v="0"/>
    <s v="B2C"/>
    <s v="Bloqué 5Go"/>
    <n v="239"/>
    <d v="1899-12-30T03:59:00"/>
    <n v="26.95"/>
    <n v="0"/>
    <n v="0"/>
  </r>
  <r>
    <x v="21"/>
    <s v="ANT-0531"/>
    <s v="4G"/>
    <s v="Huawei"/>
    <s v="Résolu"/>
    <n v="27"/>
    <n v="2"/>
    <s v="B2C"/>
    <s v="Premium 5G 150Go"/>
    <n v="369"/>
    <d v="1899-12-30T06:09:00"/>
    <n v="19.78"/>
    <n v="0.45"/>
    <n v="8.9010000000000016"/>
  </r>
  <r>
    <x v="15"/>
    <s v="ANT-0997"/>
    <s v="4G"/>
    <s v="Huawei"/>
    <s v="Résolu"/>
    <n v="29"/>
    <n v="2"/>
    <s v="B2C"/>
    <s v="Illimité 50Go"/>
    <n v="416"/>
    <d v="1899-12-30T06:56:00"/>
    <n v="61.26"/>
    <n v="0.45"/>
    <n v="27.567"/>
  </r>
  <r>
    <x v="17"/>
    <s v="ANT-0093"/>
    <s v="4G"/>
    <s v="Huawei"/>
    <s v="Résolu"/>
    <n v="115"/>
    <n v="9"/>
    <s v="B2C"/>
    <s v="Bloqué 5Go"/>
    <n v="236"/>
    <d v="1899-12-30T03:56:00"/>
    <n v="50.64"/>
    <n v="0"/>
    <n v="0"/>
  </r>
  <r>
    <x v="2"/>
    <s v="ANT-0829"/>
    <s v="5G"/>
    <s v="Huawei"/>
    <s v="Résolu"/>
    <n v="26"/>
    <n v="2"/>
    <s v="B2C"/>
    <s v="Bloqué 5Go"/>
    <n v="174"/>
    <d v="1899-12-30T02:54:00"/>
    <n v="90.53"/>
    <n v="0"/>
    <n v="0"/>
  </r>
  <r>
    <x v="5"/>
    <s v="ANT-0624"/>
    <s v="3G"/>
    <s v="ZTE"/>
    <s v="Non Résolu"/>
    <n v="58"/>
    <n v="4"/>
    <s v="B2C"/>
    <s v="Bloqué 5Go"/>
    <n v="405"/>
    <d v="1899-12-30T06:45:00"/>
    <n v="18.39"/>
    <n v="0.45"/>
    <n v="8.275500000000001"/>
  </r>
  <r>
    <x v="19"/>
    <s v="ANT-0994"/>
    <s v="3G"/>
    <s v="ZTE"/>
    <s v="Non Résolu"/>
    <n v="111"/>
    <n v="9"/>
    <s v="B2C"/>
    <s v="Premium 5G 150Go"/>
    <n v="43"/>
    <d v="1899-12-30T00:43:00"/>
    <n v="19.39"/>
    <n v="0"/>
    <n v="0"/>
  </r>
  <r>
    <x v="13"/>
    <s v="ANT-0002"/>
    <s v="4G"/>
    <s v="Huawei"/>
    <s v="Non Résolu"/>
    <n v="31"/>
    <n v="2"/>
    <s v="B2C"/>
    <s v="Bloqué 5Go"/>
    <n v="160"/>
    <d v="1899-12-30T02:40:00"/>
    <n v="59.76"/>
    <n v="0"/>
    <n v="0"/>
  </r>
  <r>
    <x v="20"/>
    <s v="ANT-0180"/>
    <s v="5G"/>
    <s v="Huawei"/>
    <s v="Non Résolu"/>
    <n v="51"/>
    <n v="4"/>
    <s v="B2C"/>
    <s v="Illimité 50Go"/>
    <n v="433"/>
    <d v="1899-12-30T07:13:00"/>
    <n v="12.89"/>
    <n v="0.45"/>
    <n v="5.8005000000000004"/>
  </r>
  <r>
    <x v="22"/>
    <s v="ANT-0662"/>
    <s v="4G"/>
    <s v="Ericsson"/>
    <s v="Résolu"/>
    <n v="28"/>
    <n v="2"/>
    <s v="B2C"/>
    <s v="Premium 5G 150Go"/>
    <n v="96"/>
    <d v="1899-12-30T01:36:00"/>
    <n v="72.010000000000005"/>
    <n v="0.45"/>
    <n v="32.404500000000006"/>
  </r>
  <r>
    <x v="6"/>
    <s v="ANT-0775"/>
    <s v="3G"/>
    <s v="Nokia"/>
    <s v="Résolu"/>
    <n v="40"/>
    <n v="3"/>
    <s v="B2C"/>
    <s v="Illimité 50Go"/>
    <n v="219"/>
    <d v="1899-12-30T03:39:00"/>
    <n v="53.98"/>
    <n v="0"/>
    <n v="0"/>
  </r>
  <r>
    <x v="9"/>
    <s v="ANT-0527"/>
    <s v="4G"/>
    <s v="Ericsson"/>
    <s v="Résolu"/>
    <n v="55"/>
    <n v="4"/>
    <s v="B2C"/>
    <s v="Premium 5G 150Go"/>
    <n v="394"/>
    <d v="1899-12-30T06:34:00"/>
    <n v="26.8"/>
    <n v="0.45"/>
    <n v="12.06"/>
  </r>
  <r>
    <x v="3"/>
    <s v="ANT-0371"/>
    <s v="4G"/>
    <s v="Ericsson"/>
    <s v="Résolu"/>
    <n v="114"/>
    <n v="9"/>
    <s v="B2C"/>
    <s v="Premium 5G 150Go"/>
    <n v="482"/>
    <d v="1899-12-30T08:02:00"/>
    <n v="16.25"/>
    <n v="0.45"/>
    <n v="7.3125"/>
  </r>
  <r>
    <x v="12"/>
    <s v="ANT-0991"/>
    <s v="5G"/>
    <s v="Huawei"/>
    <s v="Non Résolu"/>
    <n v="49"/>
    <n v="4"/>
    <s v="B2C"/>
    <s v="Premium 5G 150Go"/>
    <n v="357"/>
    <d v="1899-12-30T05:57:00"/>
    <n v="96.67"/>
    <n v="0.45"/>
    <n v="43.5015"/>
  </r>
  <r>
    <x v="5"/>
    <s v="ANT-0624"/>
    <s v="3G"/>
    <s v="ZTE"/>
    <s v="En Cours"/>
    <n v="74"/>
    <n v="6"/>
    <s v="B2C"/>
    <s v="Premium 5G 150Go"/>
    <n v="213"/>
    <d v="1899-12-30T03:33:00"/>
    <n v="35.54"/>
    <n v="0"/>
    <n v="0"/>
  </r>
  <r>
    <x v="6"/>
    <s v="ANT-0775"/>
    <s v="3G"/>
    <s v="ZTE"/>
    <s v="Non Résolu"/>
    <n v="21"/>
    <n v="1"/>
    <s v="B2C"/>
    <s v="Illimité 50Go"/>
    <n v="107"/>
    <d v="1899-12-30T01:47:00"/>
    <n v="30.97"/>
    <n v="0"/>
    <n v="0"/>
  </r>
  <r>
    <x v="5"/>
    <s v="ANT-0624"/>
    <s v="3G"/>
    <s v="ZTE"/>
    <s v="Non Résolu"/>
    <n v="120"/>
    <n v="10"/>
    <s v="B2C"/>
    <s v="Illimité 50Go"/>
    <n v="224"/>
    <d v="1899-12-30T03:44:00"/>
    <n v="69.36"/>
    <n v="0"/>
    <n v="0"/>
  </r>
  <r>
    <x v="1"/>
    <s v="ANT-0600"/>
    <s v="3G"/>
    <s v="Ericsson"/>
    <s v="En Cours"/>
    <n v="108"/>
    <n v="9"/>
    <s v="B2C"/>
    <s v="Premium 5G 150Go"/>
    <n v="230"/>
    <d v="1899-12-30T03:50:00"/>
    <n v="16.3"/>
    <n v="0"/>
    <n v="0"/>
  </r>
  <r>
    <x v="8"/>
    <s v="ANT-0786"/>
    <s v="3G"/>
    <s v="Ericsson"/>
    <s v="En Cours"/>
    <n v="48"/>
    <n v="4"/>
    <s v="B2C"/>
    <s v="Bloqué 5Go"/>
    <n v="436"/>
    <d v="1899-12-30T07:16:00"/>
    <n v="15.17"/>
    <n v="0.45"/>
    <n v="6.8265000000000002"/>
  </r>
  <r>
    <x v="12"/>
    <s v="ANT-0991"/>
    <s v="5G"/>
    <s v="Huawei"/>
    <s v="Non Résolu"/>
    <n v="33"/>
    <n v="2"/>
    <s v="B2C"/>
    <s v="Premium 5G 150Go"/>
    <n v="285"/>
    <d v="1899-12-30T04:45:00"/>
    <n v="56.67"/>
    <n v="0.45"/>
    <n v="25.5015"/>
  </r>
  <r>
    <x v="7"/>
    <s v="ANT-0295"/>
    <s v="5G"/>
    <s v="Huawei"/>
    <s v="Non Résolu"/>
    <n v="71"/>
    <n v="5"/>
    <s v="B2C"/>
    <s v="Premium 5G 150Go"/>
    <n v="15"/>
    <d v="1899-12-30T00:15:00"/>
    <n v="25.46"/>
    <n v="0"/>
    <n v="0"/>
  </r>
  <r>
    <x v="20"/>
    <s v="ANT-0180"/>
    <s v="5G"/>
    <s v="Huawei"/>
    <s v="Non Résolu"/>
    <n v="11"/>
    <n v="0"/>
    <s v="B2C"/>
    <s v="Premium 5G 150Go"/>
    <n v="191"/>
    <d v="1899-12-30T03:11:00"/>
    <n v="87.37"/>
    <n v="0.45"/>
    <n v="39.316500000000005"/>
  </r>
  <r>
    <x v="24"/>
    <s v="ANT-0563"/>
    <s v="3G"/>
    <s v="Huawei"/>
    <s v="En Cours"/>
    <n v="18"/>
    <n v="1"/>
    <s v="B2B"/>
    <s v="Pro Monde"/>
    <n v="71"/>
    <d v="1899-12-30T01:11:00"/>
    <n v="46.98"/>
    <n v="0.1"/>
    <n v="4.6979999999999995"/>
  </r>
  <r>
    <x v="10"/>
    <s v="ANT-0995"/>
    <s v="3G"/>
    <s v="Huawei"/>
    <s v="En Cours"/>
    <n v="27"/>
    <n v="2"/>
    <s v="B2C"/>
    <s v="Premium 5G 150Go"/>
    <n v="61"/>
    <d v="1899-12-30T01:01:00"/>
    <n v="97.51"/>
    <n v="0.45"/>
    <n v="43.8795"/>
  </r>
  <r>
    <x v="24"/>
    <s v="ANT-0563"/>
    <s v="3G"/>
    <s v="Huawei"/>
    <s v="En Cours"/>
    <n v="65"/>
    <n v="5"/>
    <s v="B2C"/>
    <s v="Bloqué 5Go"/>
    <n v="118"/>
    <d v="1899-12-30T01:58:00"/>
    <n v="72.430000000000007"/>
    <n v="0"/>
    <n v="0"/>
  </r>
  <r>
    <x v="8"/>
    <s v="ANT-0786"/>
    <s v="3G"/>
    <s v="Huawei"/>
    <s v="En Cours"/>
    <n v="6"/>
    <n v="0"/>
    <s v="B2B"/>
    <s v="Pro Monde"/>
    <n v="109"/>
    <d v="1899-12-30T01:49:00"/>
    <n v="39.880000000000003"/>
    <n v="0.1"/>
    <n v="3.9880000000000004"/>
  </r>
  <r>
    <x v="5"/>
    <s v="ANT-0624"/>
    <s v="3G"/>
    <s v="Huawei"/>
    <s v="En Cours"/>
    <n v="60"/>
    <n v="5"/>
    <s v="B2C"/>
    <s v="Illimité 50Go"/>
    <n v="54"/>
    <d v="1899-12-30T00:54:00"/>
    <n v="67.180000000000007"/>
    <n v="0"/>
    <n v="0"/>
  </r>
  <r>
    <x v="7"/>
    <s v="ANT-0295"/>
    <s v="5G"/>
    <s v="Huawei"/>
    <s v="Résolu"/>
    <n v="4"/>
    <n v="0"/>
    <s v="B2C"/>
    <s v="Bloqué 5Go"/>
    <n v="182"/>
    <d v="1899-12-30T03:02:00"/>
    <n v="89.56"/>
    <n v="0"/>
    <n v="0"/>
  </r>
  <r>
    <x v="0"/>
    <s v="ANT-0821"/>
    <s v="5G"/>
    <s v="Huawei"/>
    <s v="Résolu"/>
    <n v="10"/>
    <n v="0"/>
    <s v="B2C"/>
    <s v="Bloqué 5Go"/>
    <n v="165"/>
    <d v="1899-12-30T02:45:00"/>
    <n v="38.619999999999997"/>
    <n v="0"/>
    <n v="0"/>
  </r>
  <r>
    <x v="15"/>
    <s v="ANT-0997"/>
    <s v="4G"/>
    <s v="Huawei"/>
    <s v="Résolu"/>
    <n v="82"/>
    <n v="6"/>
    <s v="B2C"/>
    <s v="Premium 5G 150Go"/>
    <n v="88"/>
    <d v="1899-12-30T01:28:00"/>
    <n v="86.64"/>
    <n v="0"/>
    <n v="0"/>
  </r>
  <r>
    <x v="7"/>
    <s v="ANT-0295"/>
    <s v="5G"/>
    <s v="Huawei"/>
    <s v="Résolu"/>
    <n v="89"/>
    <n v="7"/>
    <s v="B2C"/>
    <s v="Illimité 50Go"/>
    <n v="7"/>
    <d v="1899-12-30T00:07:00"/>
    <n v="53.39"/>
    <n v="0"/>
    <n v="0"/>
  </r>
  <r>
    <x v="8"/>
    <s v="ANT-0786"/>
    <s v="3G"/>
    <s v="ZTE"/>
    <s v="Non Résolu"/>
    <n v="87"/>
    <n v="7"/>
    <s v="B2B"/>
    <s v="Pro Monde"/>
    <n v="205"/>
    <d v="1899-12-30T03:25:00"/>
    <n v="40.159999999999997"/>
    <n v="0.1"/>
    <n v="4.016"/>
  </r>
  <r>
    <x v="3"/>
    <s v="ANT-0035"/>
    <s v="4G"/>
    <s v="Huawei"/>
    <s v="Résolu"/>
    <n v="96"/>
    <n v="8"/>
    <s v="B2C"/>
    <s v="Premium 5G 150Go"/>
    <n v="334"/>
    <d v="1899-12-30T05:34:00"/>
    <n v="64.77"/>
    <n v="0.45"/>
    <n v="29.1465"/>
  </r>
  <r>
    <x v="0"/>
    <s v="ANT-0821"/>
    <s v="5G"/>
    <s v="Nokia"/>
    <s v="Résolu"/>
    <n v="60"/>
    <n v="5"/>
    <s v="B2C"/>
    <s v="Illimité 50Go"/>
    <n v="161"/>
    <d v="1899-12-30T02:41:00"/>
    <n v="62.65"/>
    <n v="0"/>
    <n v="0"/>
  </r>
  <r>
    <x v="23"/>
    <s v="ANT-0503"/>
    <s v="3G"/>
    <s v="ZTE"/>
    <s v="Non Résolu"/>
    <n v="49"/>
    <n v="4"/>
    <s v="B2C"/>
    <s v="Illimité 50Go"/>
    <n v="6"/>
    <d v="1899-12-30T00:06:00"/>
    <n v="44.41"/>
    <n v="0"/>
    <n v="0"/>
  </r>
  <r>
    <x v="24"/>
    <s v="ANT-0553"/>
    <s v="4G"/>
    <s v="Huawei"/>
    <s v="En Cours"/>
    <n v="44"/>
    <n v="3"/>
    <s v="B2C"/>
    <s v="Bloqué 5Go"/>
    <n v="199"/>
    <d v="1899-12-30T03:19:00"/>
    <n v="67.650000000000006"/>
    <n v="0"/>
    <n v="0"/>
  </r>
  <r>
    <x v="1"/>
    <s v="ANT-0600"/>
    <s v="3G"/>
    <s v="Ericsson"/>
    <s v="En Cours"/>
    <n v="96"/>
    <n v="8"/>
    <s v="B2C"/>
    <s v="Illimité 50Go"/>
    <n v="108"/>
    <d v="1899-12-30T01:48:00"/>
    <n v="30.92"/>
    <n v="0"/>
    <n v="0"/>
  </r>
  <r>
    <x v="7"/>
    <s v="ANT-0295"/>
    <s v="5G"/>
    <s v="Nokia"/>
    <s v="Résolu"/>
    <n v="52"/>
    <n v="4"/>
    <s v="B2B"/>
    <s v="Pro Monde"/>
    <n v="234"/>
    <d v="1899-12-30T03:54:00"/>
    <n v="62.87"/>
    <n v="0.1"/>
    <n v="6.2869999999999999"/>
  </r>
  <r>
    <x v="11"/>
    <s v="ANT-0514"/>
    <s v="5G"/>
    <s v="Huawei"/>
    <s v="En Cours"/>
    <n v="110"/>
    <n v="9"/>
    <s v="B2C"/>
    <s v="Bloqué 5Go"/>
    <n v="112"/>
    <d v="1899-12-30T01:52:00"/>
    <n v="98.95"/>
    <n v="0"/>
    <n v="0"/>
  </r>
  <r>
    <x v="22"/>
    <s v="ANT-0662"/>
    <s v="4G"/>
    <s v="Huawei"/>
    <s v="En Cours"/>
    <n v="25"/>
    <n v="2"/>
    <s v="B2C"/>
    <s v="Bloqué 5Go"/>
    <n v="33"/>
    <d v="1899-12-30T00:33:00"/>
    <n v="30.93"/>
    <n v="0"/>
    <n v="0"/>
  </r>
  <r>
    <x v="14"/>
    <s v="ANT-0458"/>
    <s v="3G"/>
    <s v="Nokia"/>
    <s v="En Cours"/>
    <n v="51"/>
    <n v="4"/>
    <s v="B2B"/>
    <s v="Pro Monde"/>
    <n v="336"/>
    <d v="1899-12-30T05:36:00"/>
    <n v="65.47"/>
    <n v="0.45"/>
    <n v="29.461500000000001"/>
  </r>
  <r>
    <x v="24"/>
    <s v="ANT-0553"/>
    <s v="4G"/>
    <s v="Huawei"/>
    <s v="En Cours"/>
    <n v="5"/>
    <n v="0"/>
    <s v="B2C"/>
    <s v="Premium 5G 150Go"/>
    <n v="417"/>
    <d v="1899-12-30T06:57:00"/>
    <n v="90.71"/>
    <n v="0.45"/>
    <n v="40.819499999999998"/>
  </r>
  <r>
    <x v="11"/>
    <s v="ANT-0514"/>
    <s v="5G"/>
    <s v="Huawei"/>
    <s v="En Cours"/>
    <n v="2"/>
    <n v="0"/>
    <s v="B2B"/>
    <s v="Pro Monde"/>
    <n v="142"/>
    <d v="1899-12-30T02:22:00"/>
    <n v="37.799999999999997"/>
    <n v="0.1"/>
    <n v="3.78"/>
  </r>
  <r>
    <x v="17"/>
    <s v="ANT-0093"/>
    <s v="4G"/>
    <s v="Huawei"/>
    <s v="En Cours"/>
    <n v="33"/>
    <n v="2"/>
    <s v="B2C"/>
    <s v="Bloqué 5Go"/>
    <n v="332"/>
    <d v="1899-12-30T05:32:00"/>
    <n v="76.41"/>
    <n v="0.45"/>
    <n v="34.384500000000003"/>
  </r>
  <r>
    <x v="15"/>
    <s v="ANT-0997"/>
    <s v="4G"/>
    <s v="Huawei"/>
    <s v="En Cours"/>
    <n v="15"/>
    <n v="1"/>
    <s v="B2C"/>
    <s v="Bloqué 5Go"/>
    <n v="319"/>
    <d v="1899-12-30T05:19:00"/>
    <n v="78.150000000000006"/>
    <n v="0.45"/>
    <n v="35.167500000000004"/>
  </r>
  <r>
    <x v="7"/>
    <s v="ANT-0936"/>
    <s v="5G"/>
    <s v="Huawei"/>
    <s v="Non Résolu"/>
    <n v="91"/>
    <n v="7"/>
    <s v="B2C"/>
    <s v="Bloqué 5Go"/>
    <n v="188"/>
    <d v="1899-12-30T03:08:00"/>
    <n v="65.78"/>
    <n v="0"/>
    <n v="0"/>
  </r>
  <r>
    <x v="19"/>
    <s v="ANT-0032"/>
    <s v="3G"/>
    <s v="Ericsson"/>
    <s v="En Cours"/>
    <n v="118"/>
    <n v="9"/>
    <s v="B2B"/>
    <s v="Pro Monde"/>
    <n v="22"/>
    <d v="1899-12-30T00:22:00"/>
    <n v="15.39"/>
    <n v="0.1"/>
    <n v="1.5390000000000001"/>
  </r>
  <r>
    <x v="2"/>
    <s v="ANT-0829"/>
    <s v="5G"/>
    <s v="Huawei"/>
    <s v="Non Résolu"/>
    <n v="18"/>
    <n v="1"/>
    <s v="B2C"/>
    <s v="Illimité 50Go"/>
    <n v="34"/>
    <d v="1899-12-30T00:34:00"/>
    <n v="43.71"/>
    <n v="0"/>
    <n v="0"/>
  </r>
  <r>
    <x v="16"/>
    <s v="ANT-0870"/>
    <s v="4G"/>
    <s v="Huawei"/>
    <s v="Non Résolu"/>
    <n v="42"/>
    <n v="3"/>
    <s v="B2C"/>
    <s v="Illimité 50Go"/>
    <n v="453"/>
    <d v="1899-12-30T07:33:00"/>
    <n v="36.700000000000003"/>
    <n v="0.45"/>
    <n v="16.515000000000001"/>
  </r>
  <r>
    <x v="10"/>
    <s v="ANT-0995"/>
    <s v="3G"/>
    <s v="Ericsson"/>
    <s v="Non Résolu"/>
    <n v="86"/>
    <n v="7"/>
    <s v="B2C"/>
    <s v="Premium 5G 150Go"/>
    <n v="111"/>
    <d v="1899-12-30T01:51:00"/>
    <n v="23.65"/>
    <n v="0"/>
    <n v="0"/>
  </r>
  <r>
    <x v="1"/>
    <s v="ANT-0600"/>
    <s v="3G"/>
    <s v="Ericsson"/>
    <s v="Non Résolu"/>
    <n v="96"/>
    <n v="8"/>
    <s v="B2C"/>
    <s v="Illimité 50Go"/>
    <n v="210"/>
    <d v="1899-12-30T03:30:00"/>
    <n v="28.39"/>
    <n v="0"/>
    <n v="0"/>
  </r>
  <r>
    <x v="12"/>
    <s v="ANT-0991"/>
    <s v="5G"/>
    <s v="Huawei"/>
    <s v="Non Résolu"/>
    <n v="60"/>
    <n v="5"/>
    <s v="B2C"/>
    <s v="Illimité 50Go"/>
    <n v="154"/>
    <d v="1899-12-30T02:34:00"/>
    <n v="13.41"/>
    <n v="0"/>
    <n v="0"/>
  </r>
  <r>
    <x v="11"/>
    <s v="ANT-0514"/>
    <s v="5G"/>
    <s v="Huawei"/>
    <s v="Non Résolu"/>
    <n v="63"/>
    <n v="5"/>
    <s v="B2C"/>
    <s v="Bloqué 5Go"/>
    <n v="392"/>
    <d v="1899-12-30T06:32:00"/>
    <n v="93.11"/>
    <n v="0.45"/>
    <n v="41.899500000000003"/>
  </r>
  <r>
    <x v="3"/>
    <s v="ANT-0035"/>
    <s v="4G"/>
    <s v="Huawei"/>
    <s v="Non Résolu"/>
    <n v="60"/>
    <n v="5"/>
    <s v="B2C"/>
    <s v="Bloqué 5Go"/>
    <n v="306"/>
    <d v="1899-12-30T05:06:00"/>
    <n v="63.83"/>
    <n v="0.45"/>
    <n v="28.723500000000001"/>
  </r>
  <r>
    <x v="3"/>
    <s v="ANT-0035"/>
    <s v="4G"/>
    <s v="Huawei"/>
    <s v="Non Résolu"/>
    <n v="9"/>
    <n v="0"/>
    <s v="B2B"/>
    <s v="Pro Monde"/>
    <n v="255"/>
    <d v="1899-12-30T04:15:00"/>
    <n v="95.13"/>
    <n v="0.45"/>
    <n v="42.808500000000002"/>
  </r>
  <r>
    <x v="9"/>
    <s v="ANT-0735"/>
    <s v="4G"/>
    <s v="Huawei"/>
    <s v="Non Résolu"/>
    <n v="11"/>
    <n v="0"/>
    <s v="B2C"/>
    <s v="Bloqué 5Go"/>
    <n v="52"/>
    <d v="1899-12-30T00:52:00"/>
    <n v="76.53"/>
    <n v="0"/>
    <n v="0"/>
  </r>
  <r>
    <x v="6"/>
    <s v="ANT-0381"/>
    <s v="5G"/>
    <s v="Huawei"/>
    <s v="Non Résolu"/>
    <n v="71"/>
    <n v="5"/>
    <s v="B2C"/>
    <s v="Bloqué 5Go"/>
    <n v="364"/>
    <d v="1899-12-30T06:04:00"/>
    <n v="39.58"/>
    <n v="0.45"/>
    <n v="17.811"/>
  </r>
  <r>
    <x v="0"/>
    <s v="ANT-0821"/>
    <s v="5G"/>
    <s v="Huawei"/>
    <s v="Non Résolu"/>
    <n v="85"/>
    <n v="7"/>
    <s v="B2C"/>
    <s v="Premium 5G 150Go"/>
    <n v="274"/>
    <d v="1899-12-30T04:34:00"/>
    <n v="35.03"/>
    <n v="0.45"/>
    <n v="15.763500000000001"/>
  </r>
  <r>
    <x v="25"/>
    <s v="ANT-0206"/>
    <s v="5G"/>
    <s v="Huawei"/>
    <s v="Non Résolu"/>
    <n v="32"/>
    <n v="2"/>
    <s v="B2C"/>
    <s v="Illimité 50Go"/>
    <n v="405"/>
    <d v="1899-12-30T06:45:00"/>
    <n v="67.92"/>
    <n v="0.45"/>
    <n v="30.564"/>
  </r>
  <r>
    <x v="16"/>
    <s v="ANT-0870"/>
    <s v="4G"/>
    <s v="Ericsson"/>
    <s v="Non Résolu"/>
    <n v="92"/>
    <n v="7"/>
    <s v="B2C"/>
    <s v="Bloqué 5Go"/>
    <n v="472"/>
    <d v="1899-12-30T07:52:00"/>
    <n v="78.44"/>
    <n v="0.45"/>
    <n v="35.298000000000002"/>
  </r>
  <r>
    <x v="14"/>
    <s v="ANT-0458"/>
    <s v="3G"/>
    <s v="Ericsson"/>
    <s v="Non Résolu"/>
    <n v="57"/>
    <n v="4"/>
    <s v="B2C"/>
    <s v="Illimité 50Go"/>
    <n v="435"/>
    <d v="1899-12-30T07:15:00"/>
    <n v="56.88"/>
    <n v="0.45"/>
    <n v="25.596"/>
  </r>
  <r>
    <x v="4"/>
    <s v="ANT-0136"/>
    <s v="3G"/>
    <s v="Ericsson"/>
    <s v="Non Résolu"/>
    <n v="18"/>
    <n v="1"/>
    <s v="B2C"/>
    <s v="Bloqué 5Go"/>
    <n v="291"/>
    <d v="1899-12-30T04:51:00"/>
    <n v="97.98"/>
    <n v="0.45"/>
    <n v="44.091000000000001"/>
  </r>
  <r>
    <x v="12"/>
    <s v="ANT-0991"/>
    <s v="5G"/>
    <s v="Ericsson"/>
    <s v="Non Résolu"/>
    <n v="61"/>
    <n v="5"/>
    <s v="B2C"/>
    <s v="Illimité 50Go"/>
    <n v="87"/>
    <d v="1899-12-30T01:27:00"/>
    <n v="68.319999999999993"/>
    <n v="0"/>
    <n v="0"/>
  </r>
  <r>
    <x v="25"/>
    <s v="ANT-0206"/>
    <s v="5G"/>
    <s v="Ericsson"/>
    <s v="Non Résolu"/>
    <n v="106"/>
    <n v="8"/>
    <s v="B2C"/>
    <s v="Illimité 50Go"/>
    <n v="128"/>
    <d v="1899-12-30T02:08:00"/>
    <n v="35.96"/>
    <n v="0"/>
    <n v="0"/>
  </r>
  <r>
    <x v="14"/>
    <s v="ANT-0458"/>
    <s v="3G"/>
    <s v="Ericsson"/>
    <s v="Non Résolu"/>
    <n v="36"/>
    <n v="3"/>
    <s v="B2C"/>
    <s v="Bloqué 5Go"/>
    <n v="491"/>
    <d v="1899-12-30T08:11:00"/>
    <n v="12.13"/>
    <n v="0.45"/>
    <n v="5.4585000000000008"/>
  </r>
  <r>
    <x v="20"/>
    <s v="ANT-0180"/>
    <s v="5G"/>
    <s v="Ericsson"/>
    <s v="Non Résolu"/>
    <n v="108"/>
    <n v="9"/>
    <s v="B2B"/>
    <s v="Pro Monde"/>
    <n v="48"/>
    <d v="1899-12-30T00:48:00"/>
    <n v="86.22"/>
    <n v="0.1"/>
    <n v="8.6219999999999999"/>
  </r>
  <r>
    <x v="25"/>
    <s v="ANT-0206"/>
    <s v="5G"/>
    <s v="Ericsson"/>
    <s v="Non Résolu"/>
    <n v="21"/>
    <n v="1"/>
    <s v="B2C"/>
    <s v="Bloqué 5Go"/>
    <n v="307"/>
    <d v="1899-12-30T05:07:00"/>
    <n v="39.81"/>
    <n v="0.45"/>
    <n v="17.9145"/>
  </r>
  <r>
    <x v="25"/>
    <s v="ANT-0206"/>
    <s v="5G"/>
    <s v="Ericsson"/>
    <s v="Non Résolu"/>
    <n v="22"/>
    <n v="1"/>
    <s v="B2C"/>
    <s v="Premium 5G 150Go"/>
    <n v="166"/>
    <d v="1899-12-30T02:46:00"/>
    <n v="31.8"/>
    <n v="0.45"/>
    <n v="14.31"/>
  </r>
  <r>
    <x v="21"/>
    <s v="ANT-0302"/>
    <s v="4G"/>
    <s v="Huawei"/>
    <s v="En Cours"/>
    <n v="108"/>
    <n v="9"/>
    <s v="B2C"/>
    <s v="Premium 5G 150Go"/>
    <n v="323"/>
    <d v="1899-12-30T05:23:00"/>
    <n v="58.54"/>
    <n v="0.45"/>
    <n v="26.343"/>
  </r>
  <r>
    <x v="0"/>
    <s v="ANT-0821"/>
    <s v="5G"/>
    <s v="Ericsson"/>
    <s v="Non Résolu"/>
    <n v="3"/>
    <n v="0"/>
    <s v="B2C"/>
    <s v="Illimité 50Go"/>
    <n v="356"/>
    <d v="1899-12-30T05:56:00"/>
    <n v="91.6"/>
    <n v="0.45"/>
    <n v="41.22"/>
  </r>
  <r>
    <x v="23"/>
    <s v="ANT-0503"/>
    <s v="3G"/>
    <s v="Nokia"/>
    <s v="En Cours"/>
    <n v="78"/>
    <n v="6"/>
    <s v="B2C"/>
    <s v="Illimité 50Go"/>
    <n v="198"/>
    <d v="1899-12-30T03:18:00"/>
    <n v="69.849999999999994"/>
    <n v="0"/>
    <n v="0"/>
  </r>
  <r>
    <x v="7"/>
    <s v="ANT-0936"/>
    <s v="5G"/>
    <s v="Ericsson"/>
    <s v="Non Résolu"/>
    <n v="13"/>
    <n v="1"/>
    <s v="B2B"/>
    <s v="Pro Monde"/>
    <n v="347"/>
    <d v="1899-12-30T05:47:00"/>
    <n v="32.35"/>
    <n v="0.45"/>
    <n v="14.557500000000001"/>
  </r>
  <r>
    <x v="19"/>
    <s v="ANT-0032"/>
    <s v="3G"/>
    <s v="Nokia"/>
    <s v="En Cours"/>
    <n v="23"/>
    <n v="1"/>
    <s v="B2B"/>
    <s v="Pro Monde"/>
    <n v="473"/>
    <d v="1899-12-30T07:53:00"/>
    <n v="71.86"/>
    <n v="0.45"/>
    <n v="32.337000000000003"/>
  </r>
  <r>
    <x v="0"/>
    <s v="ANT-0821"/>
    <s v="5G"/>
    <s v="Ericsson"/>
    <s v="Non Résolu"/>
    <n v="96"/>
    <n v="8"/>
    <s v="B2C"/>
    <s v="Illimité 50Go"/>
    <n v="290"/>
    <d v="1899-12-30T04:50:00"/>
    <n v="29"/>
    <n v="0.45"/>
    <n v="13.05"/>
  </r>
  <r>
    <x v="20"/>
    <s v="ANT-0180"/>
    <s v="5G"/>
    <s v="Ericsson"/>
    <s v="Non Résolu"/>
    <n v="48"/>
    <n v="4"/>
    <s v="B2C"/>
    <s v="Premium 5G 150Go"/>
    <n v="416"/>
    <d v="1899-12-30T06:56:00"/>
    <n v="81.260000000000005"/>
    <n v="0.45"/>
    <n v="36.567"/>
  </r>
  <r>
    <x v="8"/>
    <s v="ANT-0926"/>
    <s v="4G"/>
    <s v="Ericsson"/>
    <s v="Non Résolu"/>
    <n v="50"/>
    <n v="4"/>
    <s v="B2B"/>
    <s v="Pro Monde"/>
    <n v="108"/>
    <d v="1899-12-30T01:48:00"/>
    <n v="43.81"/>
    <n v="0.1"/>
    <n v="4.3810000000000002"/>
  </r>
  <r>
    <x v="3"/>
    <s v="ANT-0371"/>
    <s v="4G"/>
    <s v="Ericsson"/>
    <s v="Non Résolu"/>
    <n v="63"/>
    <n v="5"/>
    <s v="B2C"/>
    <s v="Illimité 50Go"/>
    <n v="95"/>
    <d v="1899-12-30T01:35:00"/>
    <n v="56.81"/>
    <n v="0"/>
    <n v="0"/>
  </r>
  <r>
    <x v="0"/>
    <s v="ANT-0821"/>
    <s v="5G"/>
    <s v="Nokia"/>
    <s v="En Cours"/>
    <n v="40"/>
    <n v="3"/>
    <s v="B2C"/>
    <s v="Premium 5G 150Go"/>
    <n v="102"/>
    <d v="1899-12-30T01:42:00"/>
    <n v="96.59"/>
    <n v="0.45"/>
    <n v="43.465500000000006"/>
  </r>
  <r>
    <x v="25"/>
    <s v="ANT-0845"/>
    <s v="3G"/>
    <s v="Nokia"/>
    <s v="Non Résolu"/>
    <n v="83"/>
    <n v="6"/>
    <s v="B2C"/>
    <s v="Illimité 50Go"/>
    <n v="30"/>
    <d v="1899-12-30T00:30:00"/>
    <n v="33.93"/>
    <n v="0"/>
    <n v="0"/>
  </r>
  <r>
    <x v="13"/>
    <s v="ANT-0375"/>
    <s v="4G"/>
    <s v="Ericsson"/>
    <s v="Résolu"/>
    <n v="76"/>
    <n v="6"/>
    <s v="B2C"/>
    <s v="Illimité 50Go"/>
    <n v="383"/>
    <d v="1899-12-30T06:23:00"/>
    <n v="53.73"/>
    <n v="0.45"/>
    <n v="24.1785"/>
  </r>
  <r>
    <x v="5"/>
    <s v="ANT-0921"/>
    <s v="5G"/>
    <s v="ZTE"/>
    <s v="Non Résolu"/>
    <n v="10"/>
    <n v="0"/>
    <s v="B2C"/>
    <s v="Bloqué 5Go"/>
    <n v="93"/>
    <d v="1899-12-30T01:33:00"/>
    <n v="78.12"/>
    <n v="0"/>
    <n v="0"/>
  </r>
  <r>
    <x v="18"/>
    <s v="ANT-0264"/>
    <s v="4G"/>
    <s v="Huawei"/>
    <s v="En Cours"/>
    <n v="114"/>
    <n v="9"/>
    <s v="B2C"/>
    <s v="Bloqué 5Go"/>
    <n v="388"/>
    <d v="1899-12-30T06:28:00"/>
    <n v="40.29"/>
    <n v="0.45"/>
    <n v="18.130500000000001"/>
  </r>
  <r>
    <x v="25"/>
    <s v="ANT-0845"/>
    <s v="3G"/>
    <s v="Ericsson"/>
    <s v="Résolu"/>
    <n v="5"/>
    <n v="0"/>
    <s v="B2B"/>
    <s v="Pro Monde"/>
    <n v="98"/>
    <d v="1899-12-30T01:38:00"/>
    <n v="71.37"/>
    <n v="0.1"/>
    <n v="7.1370000000000005"/>
  </r>
  <r>
    <x v="24"/>
    <s v="ANT-0826"/>
    <s v="4G"/>
    <s v="Huawei"/>
    <s v="En Cours"/>
    <n v="118"/>
    <n v="9"/>
    <s v="B2B"/>
    <s v="Pro Monde"/>
    <n v="132"/>
    <d v="1899-12-30T02:12:00"/>
    <n v="40.880000000000003"/>
    <n v="0.1"/>
    <n v="4.0880000000000001"/>
  </r>
  <r>
    <x v="0"/>
    <s v="ANT-0821"/>
    <s v="5G"/>
    <s v="ZTE"/>
    <s v="Non Résolu"/>
    <n v="16"/>
    <n v="1"/>
    <s v="B2C"/>
    <s v="Bloqué 5Go"/>
    <n v="461"/>
    <d v="1899-12-30T07:41:00"/>
    <n v="38.369999999999997"/>
    <n v="0.45"/>
    <n v="17.266500000000001"/>
  </r>
  <r>
    <x v="12"/>
    <s v="ANT-0991"/>
    <s v="5G"/>
    <s v="ZTE"/>
    <s v="Non Résolu"/>
    <n v="50"/>
    <n v="4"/>
    <s v="B2C"/>
    <s v="Illimité 50Go"/>
    <n v="446"/>
    <d v="1899-12-30T07:26:00"/>
    <n v="31.56"/>
    <n v="0.45"/>
    <n v="14.202"/>
  </r>
  <r>
    <x v="25"/>
    <s v="ANT-0845"/>
    <s v="3G"/>
    <s v="ZTE"/>
    <s v="Non Résolu"/>
    <n v="120"/>
    <n v="10"/>
    <s v="B2B"/>
    <s v="Pro Monde"/>
    <n v="209"/>
    <d v="1899-12-30T03:29:00"/>
    <n v="42.51"/>
    <n v="0.1"/>
    <n v="4.2510000000000003"/>
  </r>
  <r>
    <x v="10"/>
    <s v="ANT-0091"/>
    <s v="3G"/>
    <s v="ZTE"/>
    <s v="Non Résolu"/>
    <n v="73"/>
    <n v="6"/>
    <s v="B2C"/>
    <s v="Illimité 50Go"/>
    <n v="225"/>
    <d v="1899-12-30T03:45:00"/>
    <n v="45.86"/>
    <n v="0"/>
    <n v="0"/>
  </r>
  <r>
    <x v="8"/>
    <s v="ANT-0926"/>
    <s v="4G"/>
    <s v="Huawei"/>
    <s v="Non Résolu"/>
    <n v="21"/>
    <n v="1"/>
    <s v="B2B"/>
    <s v="Pro Monde"/>
    <n v="320"/>
    <d v="1899-12-30T05:20:00"/>
    <n v="64.97"/>
    <n v="0.45"/>
    <n v="29.236499999999999"/>
  </r>
  <r>
    <x v="16"/>
    <s v="ANT-0870"/>
    <s v="4G"/>
    <s v="Huawei"/>
    <s v="Non Résolu"/>
    <n v="25"/>
    <n v="2"/>
    <s v="B2C"/>
    <s v="Premium 5G 150Go"/>
    <n v="467"/>
    <d v="1899-12-30T07:47:00"/>
    <n v="97.78"/>
    <n v="0.45"/>
    <n v="44.001000000000005"/>
  </r>
  <r>
    <x v="13"/>
    <s v="ANT-0236"/>
    <s v="3G"/>
    <s v="ZTE"/>
    <s v="Non Résolu"/>
    <n v="98"/>
    <n v="8"/>
    <s v="B2C"/>
    <s v="Premium 5G 150Go"/>
    <n v="319"/>
    <d v="1899-12-30T05:19:00"/>
    <n v="88.58"/>
    <n v="0.45"/>
    <n v="39.860999999999997"/>
  </r>
  <r>
    <x v="16"/>
    <s v="ANT-0870"/>
    <s v="4G"/>
    <s v="Ericsson"/>
    <s v="Non Résolu"/>
    <n v="56"/>
    <n v="4"/>
    <s v="B2B"/>
    <s v="Pro Monde"/>
    <n v="55"/>
    <d v="1899-12-30T00:55:00"/>
    <n v="82.56"/>
    <n v="0.1"/>
    <n v="8.2560000000000002"/>
  </r>
  <r>
    <x v="3"/>
    <s v="ANT-0371"/>
    <s v="4G"/>
    <s v="Ericsson"/>
    <s v="Non Résolu"/>
    <n v="33"/>
    <n v="2"/>
    <s v="B2C"/>
    <s v="Premium 5G 150Go"/>
    <n v="444"/>
    <d v="1899-12-30T07:24:00"/>
    <n v="10.28"/>
    <n v="0.45"/>
    <n v="4.6259999999999994"/>
  </r>
  <r>
    <x v="7"/>
    <s v="ANT-0788"/>
    <s v="4G"/>
    <s v="Ericsson"/>
    <s v="Non Résolu"/>
    <n v="99"/>
    <n v="8"/>
    <s v="B2B"/>
    <s v="Pro Monde"/>
    <n v="325"/>
    <d v="1899-12-30T05:25:00"/>
    <n v="88.35"/>
    <n v="0.45"/>
    <n v="39.7575"/>
  </r>
  <r>
    <x v="19"/>
    <s v="ANT-0032"/>
    <s v="3G"/>
    <s v="Huawei"/>
    <s v="En Cours"/>
    <n v="117"/>
    <n v="9"/>
    <s v="B2C"/>
    <s v="Bloqué 5Go"/>
    <n v="85"/>
    <d v="1899-12-30T01:25:00"/>
    <n v="46.16"/>
    <n v="0"/>
    <n v="0"/>
  </r>
  <r>
    <x v="24"/>
    <s v="ANT-0826"/>
    <s v="4G"/>
    <s v="Ericsson"/>
    <s v="Non Résolu"/>
    <n v="97"/>
    <n v="8"/>
    <s v="B2C"/>
    <s v="Bloqué 5Go"/>
    <n v="40"/>
    <d v="1899-12-30T00:40:00"/>
    <n v="85.19"/>
    <n v="0"/>
    <n v="0"/>
  </r>
  <r>
    <x v="23"/>
    <s v="ANT-0503"/>
    <s v="3G"/>
    <s v="Huawei"/>
    <s v="Non Résolu"/>
    <n v="93"/>
    <n v="7"/>
    <s v="B2C"/>
    <s v="Premium 5G 150Go"/>
    <n v="150"/>
    <d v="1899-12-30T02:30:00"/>
    <n v="93.25"/>
    <n v="0"/>
    <n v="0"/>
  </r>
  <r>
    <x v="10"/>
    <s v="ANT-0091"/>
    <s v="3G"/>
    <s v="Huawei"/>
    <s v="Non Résolu"/>
    <n v="45"/>
    <n v="3"/>
    <s v="B2C"/>
    <s v="Illimité 50Go"/>
    <n v="43"/>
    <d v="1899-12-30T00:43:00"/>
    <n v="12.31"/>
    <n v="0"/>
    <n v="0"/>
  </r>
  <r>
    <x v="23"/>
    <s v="ANT-0503"/>
    <s v="3G"/>
    <s v="Huawei"/>
    <s v="Non Résolu"/>
    <n v="66"/>
    <n v="5"/>
    <s v="B2C"/>
    <s v="Premium 5G 150Go"/>
    <n v="193"/>
    <d v="1899-12-30T03:13:00"/>
    <n v="21.06"/>
    <n v="0"/>
    <n v="0"/>
  </r>
  <r>
    <x v="10"/>
    <s v="ANT-0091"/>
    <s v="3G"/>
    <s v="ZTE"/>
    <s v="En Cours"/>
    <n v="91"/>
    <n v="7"/>
    <s v="B2C"/>
    <s v="Illimité 50Go"/>
    <n v="63"/>
    <d v="1899-12-30T01:03:00"/>
    <n v="57.76"/>
    <n v="0"/>
    <n v="0"/>
  </r>
  <r>
    <x v="24"/>
    <s v="ANT-0282"/>
    <s v="4G"/>
    <s v="Huawei"/>
    <s v="En Cours"/>
    <n v="63"/>
    <n v="5"/>
    <s v="B2B"/>
    <s v="Pro Monde"/>
    <n v="141"/>
    <d v="1899-12-30T02:21:00"/>
    <n v="95.6"/>
    <n v="0.1"/>
    <n v="9.56"/>
  </r>
  <r>
    <x v="16"/>
    <s v="ANT-0870"/>
    <s v="4G"/>
    <s v="Huawei"/>
    <s v="En Cours"/>
    <n v="82"/>
    <n v="6"/>
    <s v="B2C"/>
    <s v="Premium 5G 150Go"/>
    <n v="32"/>
    <d v="1899-12-30T00:32:00"/>
    <n v="77.63"/>
    <n v="0"/>
    <n v="0"/>
  </r>
  <r>
    <x v="8"/>
    <s v="ANT-0926"/>
    <s v="4G"/>
    <s v="Huawei"/>
    <s v="En Cours"/>
    <n v="89"/>
    <n v="7"/>
    <s v="B2C"/>
    <s v="Bloqué 5Go"/>
    <n v="175"/>
    <d v="1899-12-30T02:55:00"/>
    <n v="32.369999999999997"/>
    <n v="0"/>
    <n v="0"/>
  </r>
  <r>
    <x v="6"/>
    <s v="ANT-0381"/>
    <s v="5G"/>
    <s v="Huawei"/>
    <s v="En Cours"/>
    <n v="48"/>
    <n v="4"/>
    <s v="B2C"/>
    <s v="Illimité 50Go"/>
    <n v="15"/>
    <d v="1899-12-30T00:15:00"/>
    <n v="50.67"/>
    <n v="0"/>
    <n v="0"/>
  </r>
  <r>
    <x v="12"/>
    <s v="ANT-0612"/>
    <s v="4G"/>
    <s v="Huawei"/>
    <s v="Non Résolu"/>
    <n v="90"/>
    <n v="7"/>
    <s v="B2B"/>
    <s v="Pro Monde"/>
    <n v="299"/>
    <d v="1899-12-30T04:59:00"/>
    <n v="71.760000000000005"/>
    <n v="0.45"/>
    <n v="32.292000000000002"/>
  </r>
  <r>
    <x v="21"/>
    <s v="ANT-0302"/>
    <s v="4G"/>
    <s v="Huawei"/>
    <s v="Non Résolu"/>
    <n v="8"/>
    <n v="0"/>
    <s v="B2C"/>
    <s v="Bloqué 5Go"/>
    <n v="120"/>
    <d v="1899-12-30T02:00:00"/>
    <n v="88.29"/>
    <n v="0"/>
    <n v="0"/>
  </r>
  <r>
    <x v="13"/>
    <s v="ANT-0236"/>
    <s v="3G"/>
    <s v="ZTE"/>
    <s v="En Cours"/>
    <n v="84"/>
    <n v="7"/>
    <s v="B2C"/>
    <s v="Bloqué 5Go"/>
    <n v="244"/>
    <d v="1899-12-30T04:04:00"/>
    <n v="56.34"/>
    <n v="0.45"/>
    <n v="25.353000000000002"/>
  </r>
  <r>
    <x v="11"/>
    <s v="ANT-0391"/>
    <s v="5G"/>
    <s v="Ericsson"/>
    <s v="En Cours"/>
    <n v="50"/>
    <n v="4"/>
    <s v="B2C"/>
    <s v="Bloqué 5Go"/>
    <n v="248"/>
    <d v="1899-12-30T04:08:00"/>
    <n v="69.42"/>
    <n v="0.45"/>
    <n v="31.239000000000001"/>
  </r>
  <r>
    <x v="6"/>
    <s v="ANT-0381"/>
    <s v="5G"/>
    <s v="Ericsson"/>
    <s v="En Cours"/>
    <n v="119"/>
    <n v="9"/>
    <s v="B2B"/>
    <s v="Pro Monde"/>
    <n v="344"/>
    <d v="1899-12-30T05:44:00"/>
    <n v="10.28"/>
    <n v="0.45"/>
    <n v="4.6259999999999994"/>
  </r>
  <r>
    <x v="9"/>
    <s v="ANT-0735"/>
    <s v="4G"/>
    <s v="Huawei"/>
    <s v="Non Résolu"/>
    <n v="55"/>
    <n v="4"/>
    <s v="B2B"/>
    <s v="Pro Monde"/>
    <n v="389"/>
    <d v="1899-12-30T06:29:00"/>
    <n v="67.430000000000007"/>
    <n v="0.45"/>
    <n v="30.343500000000002"/>
  </r>
  <r>
    <x v="13"/>
    <s v="ANT-0236"/>
    <s v="3G"/>
    <s v="ZTE"/>
    <s v="En Cours"/>
    <n v="95"/>
    <n v="7"/>
    <s v="B2C"/>
    <s v="Premium 5G 150Go"/>
    <n v="51"/>
    <d v="1899-12-30T00:51:00"/>
    <n v="94.77"/>
    <n v="0"/>
    <n v="0"/>
  </r>
  <r>
    <x v="9"/>
    <s v="ANT-0735"/>
    <s v="4G"/>
    <s v="Nokia"/>
    <s v="Résolu"/>
    <n v="32"/>
    <n v="2"/>
    <s v="B2B"/>
    <s v="Pro Monde"/>
    <n v="4"/>
    <d v="1899-12-30T00:04:00"/>
    <n v="39"/>
    <n v="0.1"/>
    <n v="3.9000000000000004"/>
  </r>
  <r>
    <x v="18"/>
    <s v="ANT-0362"/>
    <s v="3G"/>
    <s v="ZTE"/>
    <s v="En Cours"/>
    <n v="32"/>
    <n v="2"/>
    <s v="B2C"/>
    <s v="Illimité 50Go"/>
    <n v="31"/>
    <d v="1899-12-30T00:31:00"/>
    <n v="67.040000000000006"/>
    <n v="0"/>
    <n v="0"/>
  </r>
  <r>
    <x v="18"/>
    <s v="ANT-0362"/>
    <s v="3G"/>
    <s v="Huawei"/>
    <s v="En Cours"/>
    <n v="62"/>
    <n v="5"/>
    <s v="B2C"/>
    <s v="Illimité 50Go"/>
    <n v="136"/>
    <d v="1899-12-30T02:16:00"/>
    <n v="88.61"/>
    <n v="0"/>
    <n v="0"/>
  </r>
  <r>
    <x v="20"/>
    <s v="ANT-0526"/>
    <s v="4G"/>
    <s v="Nokia"/>
    <s v="Résolu"/>
    <n v="5"/>
    <n v="0"/>
    <s v="B2C"/>
    <s v="Premium 5G 150Go"/>
    <n v="384"/>
    <d v="1899-12-30T06:24:00"/>
    <n v="97.26"/>
    <n v="0.45"/>
    <n v="43.767000000000003"/>
  </r>
  <r>
    <x v="3"/>
    <s v="ANT-0371"/>
    <s v="4G"/>
    <s v="Nokia"/>
    <s v="Résolu"/>
    <n v="118"/>
    <n v="9"/>
    <s v="B2C"/>
    <s v="Illimité 50Go"/>
    <n v="489"/>
    <d v="1899-12-30T08:09:00"/>
    <n v="76.22"/>
    <n v="0.45"/>
    <n v="34.298999999999999"/>
  </r>
  <r>
    <x v="3"/>
    <s v="ANT-0371"/>
    <s v="4G"/>
    <s v="Nokia"/>
    <s v="Résolu"/>
    <n v="105"/>
    <n v="8"/>
    <s v="B2C"/>
    <s v="Illimité 50Go"/>
    <n v="3"/>
    <d v="1899-12-30T00:03:00"/>
    <n v="71.010000000000005"/>
    <n v="0"/>
    <n v="0"/>
  </r>
  <r>
    <x v="4"/>
    <s v="ANT-0441"/>
    <s v="3G"/>
    <s v="Ericsson"/>
    <s v="En Cours"/>
    <n v="47"/>
    <n v="3"/>
    <s v="B2C"/>
    <s v="Illimité 50Go"/>
    <n v="340"/>
    <d v="1899-12-30T05:40:00"/>
    <n v="31.02"/>
    <n v="0.45"/>
    <n v="13.959"/>
  </r>
  <r>
    <x v="6"/>
    <s v="ANT-0381"/>
    <s v="5G"/>
    <s v="Nokia"/>
    <s v="Résolu"/>
    <n v="81"/>
    <n v="6"/>
    <s v="B2B"/>
    <s v="Pro Monde"/>
    <n v="298"/>
    <d v="1899-12-30T04:58:00"/>
    <n v="53.61"/>
    <n v="0.45"/>
    <n v="24.124500000000001"/>
  </r>
  <r>
    <x v="24"/>
    <s v="ANT-0620"/>
    <s v="3G"/>
    <s v="Ericsson"/>
    <s v="En Cours"/>
    <n v="91"/>
    <n v="7"/>
    <s v="B2C"/>
    <s v="Illimité 50Go"/>
    <n v="404"/>
    <d v="1899-12-30T06:44:00"/>
    <n v="76.53"/>
    <n v="0.45"/>
    <n v="34.438500000000005"/>
  </r>
  <r>
    <x v="0"/>
    <s v="ANT-0821"/>
    <s v="5G"/>
    <s v="Nokia"/>
    <s v="Résolu"/>
    <n v="87"/>
    <n v="7"/>
    <s v="B2C"/>
    <s v="Bloqué 5Go"/>
    <n v="21"/>
    <d v="1899-12-30T00:21:00"/>
    <n v="81.459999999999994"/>
    <n v="0"/>
    <n v="0"/>
  </r>
  <r>
    <x v="24"/>
    <s v="ANT-0620"/>
    <s v="3G"/>
    <s v="Ericsson"/>
    <s v="Résolu"/>
    <n v="4"/>
    <n v="0"/>
    <s v="B2B"/>
    <s v="Pro Monde"/>
    <n v="49"/>
    <d v="1899-12-30T00:49:00"/>
    <n v="41.35"/>
    <n v="0.1"/>
    <n v="4.1350000000000007"/>
  </r>
  <r>
    <x v="2"/>
    <s v="ANT-0829"/>
    <s v="5G"/>
    <s v="Nokia"/>
    <s v="Résolu"/>
    <n v="76"/>
    <n v="6"/>
    <s v="B2C"/>
    <s v="Bloqué 5Go"/>
    <n v="192"/>
    <d v="1899-12-30T03:12:00"/>
    <n v="68.53"/>
    <n v="0"/>
    <n v="0"/>
  </r>
  <r>
    <x v="3"/>
    <s v="ANT-0371"/>
    <s v="4G"/>
    <s v="Ericsson"/>
    <s v="Résolu"/>
    <n v="69"/>
    <n v="5"/>
    <s v="B2C"/>
    <s v="Premium 5G 150Go"/>
    <n v="486"/>
    <d v="1899-12-30T08:06:00"/>
    <n v="34.770000000000003"/>
    <n v="0.45"/>
    <n v="15.646500000000001"/>
  </r>
  <r>
    <x v="6"/>
    <s v="ANT-0381"/>
    <s v="5G"/>
    <s v="Nokia"/>
    <s v="Résolu"/>
    <n v="25"/>
    <n v="2"/>
    <s v="B2B"/>
    <s v="Pro Monde"/>
    <n v="218"/>
    <d v="1899-12-30T03:38:00"/>
    <n v="68.790000000000006"/>
    <n v="0.1"/>
    <n v="6.8790000000000013"/>
  </r>
  <r>
    <x v="12"/>
    <s v="ANT-0630"/>
    <s v="5G"/>
    <s v="Nokia"/>
    <s v="Non Résolu"/>
    <n v="109"/>
    <n v="9"/>
    <s v="B2C"/>
    <s v="Illimité 50Go"/>
    <n v="347"/>
    <d v="1899-12-30T05:47:00"/>
    <n v="43.06"/>
    <n v="0.45"/>
    <n v="19.377000000000002"/>
  </r>
  <r>
    <x v="5"/>
    <s v="ANT-0523"/>
    <s v="3G"/>
    <s v="ZTE"/>
    <s v="Résolu"/>
    <n v="50"/>
    <n v="4"/>
    <s v="B2B"/>
    <s v="Pro Monde"/>
    <n v="430"/>
    <d v="1899-12-30T07:10:00"/>
    <n v="20.8"/>
    <n v="0.45"/>
    <n v="9.3600000000000012"/>
  </r>
  <r>
    <x v="11"/>
    <s v="ANT-0142"/>
    <s v="4G"/>
    <s v="Ericsson"/>
    <s v="En Cours"/>
    <n v="55"/>
    <n v="4"/>
    <s v="B2C"/>
    <s v="Premium 5G 150Go"/>
    <n v="86"/>
    <d v="1899-12-30T01:26:00"/>
    <n v="17.440000000000001"/>
    <n v="0.45"/>
    <n v="7.8480000000000008"/>
  </r>
  <r>
    <x v="21"/>
    <s v="ANT-0250"/>
    <s v="5G"/>
    <s v="ZTE"/>
    <s v="Résolu"/>
    <n v="41"/>
    <n v="3"/>
    <s v="B2B"/>
    <s v="Pro Monde"/>
    <n v="474"/>
    <d v="1899-12-30T07:54:00"/>
    <n v="54.03"/>
    <n v="0.45"/>
    <n v="24.313500000000001"/>
  </r>
  <r>
    <x v="15"/>
    <s v="ANT-0872"/>
    <s v="5G"/>
    <s v="ZTE"/>
    <s v="Résolu"/>
    <n v="99"/>
    <n v="8"/>
    <s v="B2C"/>
    <s v="Bloqué 5Go"/>
    <n v="28"/>
    <d v="1899-12-30T00:28:00"/>
    <n v="70.19"/>
    <n v="0"/>
    <n v="0"/>
  </r>
  <r>
    <x v="22"/>
    <s v="ANT-0942"/>
    <s v="5G"/>
    <s v="ZTE"/>
    <s v="Résolu"/>
    <n v="47"/>
    <n v="3"/>
    <s v="B2C"/>
    <s v="Premium 5G 150Go"/>
    <n v="49"/>
    <d v="1899-12-30T00:49:00"/>
    <n v="55.88"/>
    <n v="0.45"/>
    <n v="25.146000000000001"/>
  </r>
  <r>
    <x v="25"/>
    <s v="ANT-0515"/>
    <s v="4G"/>
    <s v="Ericsson"/>
    <s v="En Cours"/>
    <n v="103"/>
    <n v="8"/>
    <s v="B2C"/>
    <s v="Illimité 50Go"/>
    <n v="182"/>
    <d v="1899-12-30T03:02:00"/>
    <n v="12.07"/>
    <n v="0"/>
    <n v="0"/>
  </r>
  <r>
    <x v="8"/>
    <s v="ANT-0926"/>
    <s v="4G"/>
    <s v="Ericsson"/>
    <s v="En Cours"/>
    <n v="87"/>
    <n v="7"/>
    <s v="B2C"/>
    <s v="Illimité 50Go"/>
    <n v="498"/>
    <d v="1899-12-30T08:18:00"/>
    <n v="61.57"/>
    <n v="0.45"/>
    <n v="27.706500000000002"/>
  </r>
  <r>
    <x v="12"/>
    <s v="ANT-0630"/>
    <s v="5G"/>
    <s v="ZTE"/>
    <s v="Résolu"/>
    <n v="120"/>
    <n v="10"/>
    <s v="B2C"/>
    <s v="Illimité 50Go"/>
    <n v="242"/>
    <d v="1899-12-30T04:02:00"/>
    <n v="61.54"/>
    <n v="0.45"/>
    <n v="27.693000000000001"/>
  </r>
  <r>
    <x v="2"/>
    <s v="ANT-0829"/>
    <s v="5G"/>
    <s v="ZTE"/>
    <s v="Résolu"/>
    <n v="102"/>
    <n v="8"/>
    <s v="B2C"/>
    <s v="Bloqué 5Go"/>
    <n v="91"/>
    <d v="1899-12-30T01:31:00"/>
    <n v="34.64"/>
    <n v="0"/>
    <n v="0"/>
  </r>
  <r>
    <x v="21"/>
    <s v="ANT-0250"/>
    <s v="5G"/>
    <s v="ZTE"/>
    <s v="Résolu"/>
    <n v="17"/>
    <n v="1"/>
    <s v="B2C"/>
    <s v="Illimité 50Go"/>
    <n v="483"/>
    <d v="1899-12-30T08:03:00"/>
    <n v="77.08"/>
    <n v="0.45"/>
    <n v="34.686"/>
  </r>
  <r>
    <x v="24"/>
    <s v="ANT-0970"/>
    <s v="3G"/>
    <s v="ZTE"/>
    <s v="Résolu"/>
    <n v="67"/>
    <n v="5"/>
    <s v="B2B"/>
    <s v="Pro Monde"/>
    <n v="26"/>
    <d v="1899-12-30T00:26:00"/>
    <n v="81.489999999999995"/>
    <n v="0.1"/>
    <n v="8.1489999999999991"/>
  </r>
  <r>
    <x v="11"/>
    <s v="ANT-0142"/>
    <s v="4G"/>
    <s v="Huawei"/>
    <s v="Résolu"/>
    <n v="85"/>
    <n v="7"/>
    <s v="B2B"/>
    <s v="Pro Monde"/>
    <n v="60"/>
    <d v="1899-12-30T01:00:00"/>
    <n v="26.3"/>
    <n v="0.1"/>
    <n v="2.6300000000000003"/>
  </r>
  <r>
    <x v="3"/>
    <s v="ANT-0371"/>
    <s v="4G"/>
    <s v="Huawei"/>
    <s v="Résolu"/>
    <n v="78"/>
    <n v="6"/>
    <s v="B2C"/>
    <s v="Premium 5G 150Go"/>
    <n v="263"/>
    <d v="1899-12-30T04:23:00"/>
    <n v="53.58"/>
    <n v="0.45"/>
    <n v="24.111000000000001"/>
  </r>
  <r>
    <x v="3"/>
    <s v="ANT-0371"/>
    <s v="4G"/>
    <s v="Huawei"/>
    <s v="Résolu"/>
    <n v="76"/>
    <n v="6"/>
    <s v="B2C"/>
    <s v="Illimité 50Go"/>
    <n v="332"/>
    <d v="1899-12-30T05:32:00"/>
    <n v="68.010000000000005"/>
    <n v="0.45"/>
    <n v="30.604500000000002"/>
  </r>
  <r>
    <x v="3"/>
    <s v="ANT-0371"/>
    <s v="4G"/>
    <s v="Huawei"/>
    <s v="Résolu"/>
    <n v="29"/>
    <n v="2"/>
    <s v="B2C"/>
    <s v="Bloqué 5Go"/>
    <n v="173"/>
    <d v="1899-12-30T02:53:00"/>
    <n v="49.03"/>
    <n v="0"/>
    <n v="0"/>
  </r>
  <r>
    <x v="24"/>
    <s v="ANT-0970"/>
    <s v="3G"/>
    <s v="ZTE"/>
    <s v="Résolu"/>
    <n v="14"/>
    <n v="1"/>
    <s v="B2B"/>
    <s v="Pro Monde"/>
    <n v="303"/>
    <d v="1899-12-30T05:03:00"/>
    <n v="61.43"/>
    <n v="0.45"/>
    <n v="27.6435"/>
  </r>
  <r>
    <x v="2"/>
    <s v="ANT-0829"/>
    <s v="5G"/>
    <s v="ZTE"/>
    <s v="Résolu"/>
    <n v="51"/>
    <n v="4"/>
    <s v="B2C"/>
    <s v="Premium 5G 150Go"/>
    <n v="222"/>
    <d v="1899-12-30T03:42:00"/>
    <n v="18.95"/>
    <n v="0.45"/>
    <n v="8.5274999999999999"/>
  </r>
  <r>
    <x v="2"/>
    <s v="ANT-0829"/>
    <s v="5G"/>
    <s v="ZTE"/>
    <s v="Résolu"/>
    <n v="2"/>
    <n v="0"/>
    <s v="B2B"/>
    <s v="Pro Monde"/>
    <n v="496"/>
    <d v="1899-12-30T08:16:00"/>
    <n v="15.71"/>
    <n v="0.45"/>
    <n v="7.0695000000000006"/>
  </r>
  <r>
    <x v="5"/>
    <s v="ANT-0523"/>
    <s v="3G"/>
    <s v="ZTE"/>
    <s v="Résolu"/>
    <n v="69"/>
    <n v="5"/>
    <s v="B2B"/>
    <s v="Pro Monde"/>
    <n v="76"/>
    <d v="1899-12-30T01:16:00"/>
    <n v="91.8"/>
    <n v="0.1"/>
    <n v="9.18"/>
  </r>
  <r>
    <x v="16"/>
    <s v="ANT-0870"/>
    <s v="4G"/>
    <s v="Huawei"/>
    <s v="Non Résolu"/>
    <n v="110"/>
    <n v="9"/>
    <s v="B2C"/>
    <s v="Premium 5G 150Go"/>
    <n v="321"/>
    <d v="1899-12-30T05:21:00"/>
    <n v="81.569999999999993"/>
    <n v="0.45"/>
    <n v="36.706499999999998"/>
  </r>
  <r>
    <x v="0"/>
    <s v="ANT-0804"/>
    <s v="3G"/>
    <s v="ZTE"/>
    <s v="Résolu"/>
    <n v="59"/>
    <n v="4"/>
    <s v="B2B"/>
    <s v="Pro Monde"/>
    <n v="369"/>
    <d v="1899-12-30T06:09:00"/>
    <n v="26.64"/>
    <n v="0.45"/>
    <n v="11.988000000000001"/>
  </r>
  <r>
    <x v="5"/>
    <s v="ANT-0523"/>
    <s v="3G"/>
    <s v="ZTE"/>
    <s v="Résolu"/>
    <n v="41"/>
    <n v="3"/>
    <s v="B2B"/>
    <s v="Pro Monde"/>
    <n v="206"/>
    <d v="1899-12-30T03:26:00"/>
    <n v="83.16"/>
    <n v="0.1"/>
    <n v="8.3160000000000007"/>
  </r>
  <r>
    <x v="15"/>
    <s v="ANT-0872"/>
    <s v="5G"/>
    <s v="Ericsson"/>
    <s v="Non Résolu"/>
    <n v="19"/>
    <n v="1"/>
    <s v="B2C"/>
    <s v="Bloqué 5Go"/>
    <n v="125"/>
    <d v="1899-12-30T02:05:00"/>
    <n v="11.78"/>
    <n v="0"/>
    <n v="0"/>
  </r>
  <r>
    <x v="15"/>
    <s v="ANT-0872"/>
    <s v="5G"/>
    <s v="Ericsson"/>
    <s v="Non Résolu"/>
    <n v="105"/>
    <n v="8"/>
    <s v="B2C"/>
    <s v="Premium 5G 150Go"/>
    <n v="17"/>
    <d v="1899-12-30T00:17:00"/>
    <n v="60.05"/>
    <n v="0"/>
    <n v="0"/>
  </r>
  <r>
    <x v="19"/>
    <s v="ANT-0032"/>
    <s v="3G"/>
    <s v="Huawei"/>
    <s v="Non Résolu"/>
    <n v="38"/>
    <n v="3"/>
    <s v="B2C"/>
    <s v="Premium 5G 150Go"/>
    <n v="60"/>
    <d v="1899-12-30T01:00:00"/>
    <n v="58.28"/>
    <n v="0.45"/>
    <n v="26.226000000000003"/>
  </r>
  <r>
    <x v="14"/>
    <s v="ANT-0458"/>
    <s v="3G"/>
    <s v="Huawei"/>
    <s v="Non Résolu"/>
    <n v="108"/>
    <n v="9"/>
    <s v="B2C"/>
    <s v="Illimité 50Go"/>
    <n v="123"/>
    <d v="1899-12-30T02:03:00"/>
    <n v="83.1"/>
    <n v="0"/>
    <n v="0"/>
  </r>
  <r>
    <x v="10"/>
    <s v="ANT-0205"/>
    <s v="4G"/>
    <s v="Huawei"/>
    <s v="Non Résolu"/>
    <n v="29"/>
    <n v="2"/>
    <s v="B2B"/>
    <s v="Pro Monde"/>
    <n v="203"/>
    <d v="1899-12-30T03:23:00"/>
    <n v="53.97"/>
    <n v="0.1"/>
    <n v="5.3970000000000002"/>
  </r>
  <r>
    <x v="12"/>
    <s v="ANT-0630"/>
    <s v="5G"/>
    <s v="Nokia"/>
    <s v="Non Résolu"/>
    <n v="64"/>
    <n v="5"/>
    <s v="B2C"/>
    <s v="Bloqué 5Go"/>
    <n v="250"/>
    <d v="1899-12-30T04:10:00"/>
    <n v="56.7"/>
    <n v="0.45"/>
    <n v="25.515000000000001"/>
  </r>
  <r>
    <x v="14"/>
    <s v="ANT-0458"/>
    <s v="3G"/>
    <s v="Huawei"/>
    <s v="En Cours"/>
    <n v="88"/>
    <n v="7"/>
    <s v="B2C"/>
    <s v="Illimité 50Go"/>
    <n v="154"/>
    <d v="1899-12-30T02:34:00"/>
    <n v="62.62"/>
    <n v="0"/>
    <n v="0"/>
  </r>
  <r>
    <x v="12"/>
    <s v="ANT-0630"/>
    <s v="5G"/>
    <s v="Nokia"/>
    <s v="Non Résolu"/>
    <n v="59"/>
    <n v="4"/>
    <s v="B2C"/>
    <s v="Premium 5G 150Go"/>
    <n v="352"/>
    <d v="1899-12-30T05:52:00"/>
    <n v="74.239999999999995"/>
    <n v="0.45"/>
    <n v="33.408000000000001"/>
  </r>
  <r>
    <x v="21"/>
    <s v="ANT-0079"/>
    <s v="5G"/>
    <s v="Nokia"/>
    <s v="Non Résolu"/>
    <n v="19"/>
    <n v="1"/>
    <s v="B2C"/>
    <s v="Bloqué 5Go"/>
    <n v="305"/>
    <d v="1899-12-30T05:05:00"/>
    <n v="81.11"/>
    <n v="0.45"/>
    <n v="36.499499999999998"/>
  </r>
  <r>
    <x v="3"/>
    <s v="ANT-0695"/>
    <s v="4G"/>
    <s v="Huawei"/>
    <s v="Résolu"/>
    <n v="77"/>
    <n v="6"/>
    <s v="B2C"/>
    <s v="Premium 5G 150Go"/>
    <n v="488"/>
    <d v="1899-12-30T08:08:00"/>
    <n v="21.17"/>
    <n v="0.45"/>
    <n v="9.5265000000000004"/>
  </r>
  <r>
    <x v="22"/>
    <s v="ANT-0649"/>
    <s v="3G"/>
    <s v="Ericsson"/>
    <s v="En Cours"/>
    <n v="37"/>
    <n v="3"/>
    <s v="B2B"/>
    <s v="Pro Monde"/>
    <n v="88"/>
    <d v="1899-12-30T01:28:00"/>
    <n v="77.77"/>
    <n v="0.1"/>
    <n v="7.7770000000000001"/>
  </r>
  <r>
    <x v="9"/>
    <s v="ANT-0735"/>
    <s v="4G"/>
    <s v="Huawei"/>
    <s v="Résolu"/>
    <n v="19"/>
    <n v="1"/>
    <s v="B2C"/>
    <s v="Illimité 50Go"/>
    <n v="334"/>
    <d v="1899-12-30T05:34:00"/>
    <n v="96.91"/>
    <n v="0.45"/>
    <n v="43.609499999999997"/>
  </r>
  <r>
    <x v="3"/>
    <s v="ANT-0695"/>
    <s v="4G"/>
    <s v="Huawei"/>
    <s v="Résolu"/>
    <n v="96"/>
    <n v="8"/>
    <s v="B2C"/>
    <s v="Illimité 50Go"/>
    <n v="381"/>
    <d v="1899-12-30T06:21:00"/>
    <n v="90.78"/>
    <n v="0.45"/>
    <n v="40.850999999999999"/>
  </r>
  <r>
    <x v="14"/>
    <s v="ANT-0458"/>
    <s v="3G"/>
    <s v="Ericsson"/>
    <s v="En Cours"/>
    <n v="86"/>
    <n v="7"/>
    <s v="B2B"/>
    <s v="Pro Monde"/>
    <n v="192"/>
    <d v="1899-12-30T03:12:00"/>
    <n v="26.26"/>
    <n v="0.1"/>
    <n v="2.6260000000000003"/>
  </r>
  <r>
    <x v="22"/>
    <s v="ANT-0649"/>
    <s v="3G"/>
    <s v="Ericsson"/>
    <s v="En Cours"/>
    <n v="109"/>
    <n v="9"/>
    <s v="B2B"/>
    <s v="Pro Monde"/>
    <n v="397"/>
    <d v="1899-12-30T06:37:00"/>
    <n v="63.92"/>
    <n v="0.45"/>
    <n v="28.764000000000003"/>
  </r>
  <r>
    <x v="4"/>
    <s v="ANT-0257"/>
    <s v="3G"/>
    <s v="Ericsson"/>
    <s v="En Cours"/>
    <n v="103"/>
    <n v="8"/>
    <s v="B2C"/>
    <s v="Premium 5G 150Go"/>
    <n v="354"/>
    <d v="1899-12-30T05:54:00"/>
    <n v="26.19"/>
    <n v="0.45"/>
    <n v="11.785500000000001"/>
  </r>
  <r>
    <x v="13"/>
    <s v="ANT-0236"/>
    <s v="3G"/>
    <s v="Ericsson"/>
    <s v="En Cours"/>
    <n v="106"/>
    <n v="8"/>
    <s v="B2C"/>
    <s v="Illimité 50Go"/>
    <n v="407"/>
    <d v="1899-12-30T06:47:00"/>
    <n v="59.92"/>
    <n v="0.45"/>
    <n v="26.964000000000002"/>
  </r>
  <r>
    <x v="21"/>
    <s v="ANT-0079"/>
    <s v="5G"/>
    <s v="Ericsson"/>
    <s v="En Cours"/>
    <n v="90"/>
    <n v="7"/>
    <s v="B2C"/>
    <s v="Illimité 50Go"/>
    <n v="343"/>
    <d v="1899-12-30T05:43:00"/>
    <n v="82.05"/>
    <n v="0.45"/>
    <n v="36.922499999999999"/>
  </r>
  <r>
    <x v="24"/>
    <s v="ANT-0970"/>
    <s v="3G"/>
    <s v="Ericsson"/>
    <s v="En Cours"/>
    <n v="5"/>
    <n v="0"/>
    <s v="B2C"/>
    <s v="Illimité 50Go"/>
    <n v="337"/>
    <d v="1899-12-30T05:37:00"/>
    <n v="21.07"/>
    <n v="0.45"/>
    <n v="9.4815000000000005"/>
  </r>
  <r>
    <x v="22"/>
    <s v="ANT-0649"/>
    <s v="3G"/>
    <s v="Ericsson"/>
    <s v="En Cours"/>
    <n v="77"/>
    <n v="6"/>
    <s v="B2C"/>
    <s v="Illimité 50Go"/>
    <n v="45"/>
    <d v="1899-12-30T00:45:00"/>
    <n v="21.59"/>
    <n v="0"/>
    <n v="0"/>
  </r>
  <r>
    <x v="3"/>
    <s v="ANT-0695"/>
    <s v="4G"/>
    <s v="Huawei"/>
    <s v="Résolu"/>
    <n v="41"/>
    <n v="3"/>
    <s v="B2C"/>
    <s v="Bloqué 5Go"/>
    <n v="398"/>
    <d v="1899-12-30T06:38:00"/>
    <n v="28.56"/>
    <n v="0.45"/>
    <n v="12.852"/>
  </r>
  <r>
    <x v="18"/>
    <s v="ANT-0362"/>
    <s v="3G"/>
    <s v="ZTE"/>
    <s v="Résolu"/>
    <n v="40"/>
    <n v="3"/>
    <s v="B2C"/>
    <s v="Premium 5G 150Go"/>
    <n v="237"/>
    <d v="1899-12-30T03:57:00"/>
    <n v="24.51"/>
    <n v="0.45"/>
    <n v="11.029500000000001"/>
  </r>
  <r>
    <x v="10"/>
    <s v="ANT-0205"/>
    <s v="4G"/>
    <s v="Huawei"/>
    <s v="Résolu"/>
    <n v="65"/>
    <n v="5"/>
    <s v="B2C"/>
    <s v="Bloqué 5Go"/>
    <n v="442"/>
    <d v="1899-12-30T07:22:00"/>
    <n v="60.62"/>
    <n v="0.45"/>
    <n v="27.279"/>
  </r>
  <r>
    <x v="17"/>
    <s v="ANT-0481"/>
    <s v="5G"/>
    <s v="Nokia"/>
    <s v="En Cours"/>
    <n v="89"/>
    <n v="7"/>
    <s v="B2C"/>
    <s v="Illimité 50Go"/>
    <n v="418"/>
    <d v="1899-12-30T06:58:00"/>
    <n v="86.63"/>
    <n v="0.45"/>
    <n v="38.983499999999999"/>
  </r>
  <r>
    <x v="19"/>
    <s v="ANT-0032"/>
    <s v="3G"/>
    <s v="Huawei"/>
    <s v="Résolu"/>
    <n v="12"/>
    <n v="1"/>
    <s v="B2B"/>
    <s v="Pro Monde"/>
    <n v="125"/>
    <d v="1899-12-30T02:05:00"/>
    <n v="36.93"/>
    <n v="0.1"/>
    <n v="3.6930000000000001"/>
  </r>
  <r>
    <x v="24"/>
    <s v="ANT-0970"/>
    <s v="3G"/>
    <s v="Huawei"/>
    <s v="Résolu"/>
    <n v="47"/>
    <n v="3"/>
    <s v="B2B"/>
    <s v="Pro Monde"/>
    <n v="378"/>
    <d v="1899-12-30T06:18:00"/>
    <n v="36.42"/>
    <n v="0.45"/>
    <n v="16.389000000000003"/>
  </r>
  <r>
    <x v="2"/>
    <s v="ANT-0837"/>
    <s v="5G"/>
    <s v="Huawei"/>
    <s v="En Cours"/>
    <n v="117"/>
    <n v="9"/>
    <s v="B2C"/>
    <s v="Illimité 50Go"/>
    <n v="338"/>
    <d v="1899-12-30T05:38:00"/>
    <n v="29.18"/>
    <n v="0.45"/>
    <n v="13.131"/>
  </r>
  <r>
    <x v="7"/>
    <s v="ANT-0788"/>
    <s v="4G"/>
    <s v="Huawei"/>
    <s v="En Cours"/>
    <n v="43"/>
    <n v="3"/>
    <s v="B2C"/>
    <s v="Premium 5G 150Go"/>
    <n v="486"/>
    <d v="1899-12-30T08:06:00"/>
    <n v="76.42"/>
    <n v="0.45"/>
    <n v="34.389000000000003"/>
  </r>
  <r>
    <x v="24"/>
    <s v="ANT-0970"/>
    <s v="3G"/>
    <s v="Huawei"/>
    <s v="En Cours"/>
    <n v="100"/>
    <n v="8"/>
    <s v="B2C"/>
    <s v="Bloqué 5Go"/>
    <n v="471"/>
    <d v="1899-12-30T07:51:00"/>
    <n v="61.2"/>
    <n v="0.45"/>
    <n v="27.540000000000003"/>
  </r>
  <r>
    <x v="23"/>
    <s v="ANT-0797"/>
    <s v="4G"/>
    <s v="Huawei"/>
    <s v="En Cours"/>
    <n v="35"/>
    <n v="2"/>
    <s v="B2C"/>
    <s v="Illimité 50Go"/>
    <n v="421"/>
    <d v="1899-12-30T07:01:00"/>
    <n v="29.57"/>
    <n v="0.45"/>
    <n v="13.3065"/>
  </r>
  <r>
    <x v="12"/>
    <s v="ANT-0630"/>
    <s v="5G"/>
    <s v="Huawei"/>
    <s v="En Cours"/>
    <n v="19"/>
    <n v="1"/>
    <s v="B2C"/>
    <s v="Illimité 50Go"/>
    <n v="450"/>
    <d v="1899-12-30T07:30:00"/>
    <n v="37.43"/>
    <n v="0.45"/>
    <n v="16.843499999999999"/>
  </r>
  <r>
    <x v="19"/>
    <s v="ANT-0032"/>
    <s v="3G"/>
    <s v="Ericsson"/>
    <s v="En Cours"/>
    <n v="112"/>
    <n v="9"/>
    <s v="B2C"/>
    <s v="Illimité 50Go"/>
    <n v="483"/>
    <d v="1899-12-30T08:03:00"/>
    <n v="93.98"/>
    <n v="0.45"/>
    <n v="42.291000000000004"/>
  </r>
  <r>
    <x v="1"/>
    <s v="ANT-0417"/>
    <s v="5G"/>
    <s v="Huawei"/>
    <s v="En Cours"/>
    <n v="103"/>
    <n v="8"/>
    <s v="B2B"/>
    <s v="Pro Monde"/>
    <n v="270"/>
    <d v="1899-12-30T04:30:00"/>
    <n v="67.87"/>
    <n v="0.45"/>
    <n v="30.541500000000003"/>
  </r>
  <r>
    <x v="0"/>
    <s v="ANT-0821"/>
    <s v="5G"/>
    <s v="Huawei"/>
    <s v="En Cours"/>
    <n v="29"/>
    <n v="2"/>
    <s v="B2C"/>
    <s v="Premium 5G 150Go"/>
    <n v="350"/>
    <d v="1899-12-30T05:50:00"/>
    <n v="84.32"/>
    <n v="0.45"/>
    <n v="37.943999999999996"/>
  </r>
  <r>
    <x v="11"/>
    <s v="ANT-0142"/>
    <s v="4G"/>
    <s v="ZTE"/>
    <s v="En Cours"/>
    <n v="36"/>
    <n v="3"/>
    <s v="B2C"/>
    <s v="Bloqué 5Go"/>
    <n v="311"/>
    <d v="1899-12-30T05:11:00"/>
    <n v="13.19"/>
    <n v="0.45"/>
    <n v="5.9355000000000002"/>
  </r>
  <r>
    <x v="13"/>
    <s v="ANT-0236"/>
    <s v="3G"/>
    <s v="Ericsson"/>
    <s v="En Cours"/>
    <n v="2"/>
    <n v="0"/>
    <s v="B2C"/>
    <s v="Premium 5G 150Go"/>
    <n v="21"/>
    <d v="1899-12-30T00:21:00"/>
    <n v="51.68"/>
    <n v="0.45"/>
    <n v="23.256"/>
  </r>
  <r>
    <x v="16"/>
    <s v="ANT-0870"/>
    <s v="4G"/>
    <s v="Huawei"/>
    <s v="En Cours"/>
    <n v="13"/>
    <n v="1"/>
    <s v="B2C"/>
    <s v="Illimité 50Go"/>
    <n v="310"/>
    <d v="1899-12-30T05:10:00"/>
    <n v="65.599999999999994"/>
    <n v="0.45"/>
    <n v="29.52"/>
  </r>
  <r>
    <x v="9"/>
    <s v="ANT-0735"/>
    <s v="4G"/>
    <s v="Ericsson"/>
    <s v="En Cours"/>
    <n v="49"/>
    <n v="4"/>
    <s v="B2B"/>
    <s v="Pro Monde"/>
    <n v="229"/>
    <d v="1899-12-30T03:49:00"/>
    <n v="53.94"/>
    <n v="0.1"/>
    <n v="5.3940000000000001"/>
  </r>
  <r>
    <x v="12"/>
    <s v="ANT-0630"/>
    <s v="5G"/>
    <s v="Ericsson"/>
    <s v="En Cours"/>
    <n v="29"/>
    <n v="2"/>
    <s v="B2B"/>
    <s v="Pro Monde"/>
    <n v="493"/>
    <d v="1899-12-30T08:13:00"/>
    <n v="42.02"/>
    <n v="0.45"/>
    <n v="18.909000000000002"/>
  </r>
  <r>
    <x v="2"/>
    <s v="ANT-0837"/>
    <s v="5G"/>
    <s v="Ericsson"/>
    <s v="Résolu"/>
    <n v="49"/>
    <n v="4"/>
    <s v="B2C"/>
    <s v="Illimité 50Go"/>
    <n v="86"/>
    <d v="1899-12-30T01:26:00"/>
    <n v="65.400000000000006"/>
    <n v="0"/>
    <n v="0"/>
  </r>
  <r>
    <x v="3"/>
    <s v="ANT-0957"/>
    <s v="4G"/>
    <s v="Nokia"/>
    <s v="Résolu"/>
    <n v="14"/>
    <n v="1"/>
    <s v="B2B"/>
    <s v="Pro Monde"/>
    <n v="345"/>
    <d v="1899-12-30T05:45:00"/>
    <n v="39.57"/>
    <n v="0.45"/>
    <n v="17.8065"/>
  </r>
  <r>
    <x v="19"/>
    <s v="ANT-0032"/>
    <s v="3G"/>
    <s v="Ericsson"/>
    <s v="Résolu"/>
    <n v="101"/>
    <n v="8"/>
    <s v="B2C"/>
    <s v="Premium 5G 150Go"/>
    <n v="476"/>
    <d v="1899-12-30T07:56:00"/>
    <n v="41.85"/>
    <n v="0.45"/>
    <n v="18.8325"/>
  </r>
  <r>
    <x v="2"/>
    <s v="ANT-0837"/>
    <s v="5G"/>
    <s v="Ericsson"/>
    <s v="Résolu"/>
    <n v="119"/>
    <n v="9"/>
    <s v="B2B"/>
    <s v="Pro Monde"/>
    <n v="451"/>
    <d v="1899-12-30T07:31:00"/>
    <n v="10.46"/>
    <n v="0.45"/>
    <n v="4.7070000000000007"/>
  </r>
  <r>
    <x v="11"/>
    <s v="ANT-0142"/>
    <s v="4G"/>
    <s v="ZTE"/>
    <s v="Résolu"/>
    <n v="16"/>
    <n v="1"/>
    <s v="B2C"/>
    <s v="Premium 5G 150Go"/>
    <n v="391"/>
    <d v="1899-12-30T06:31:00"/>
    <n v="90.12"/>
    <n v="0.45"/>
    <n v="40.554000000000002"/>
  </r>
  <r>
    <x v="2"/>
    <s v="ANT-0054"/>
    <s v="3G"/>
    <s v="Ericsson"/>
    <s v="Non Résolu"/>
    <n v="23"/>
    <n v="1"/>
    <s v="B2C"/>
    <s v="Premium 5G 150Go"/>
    <n v="268"/>
    <d v="1899-12-30T04:28:00"/>
    <n v="26.75"/>
    <n v="0.45"/>
    <n v="12.0375"/>
  </r>
  <r>
    <x v="9"/>
    <s v="ANT-0735"/>
    <s v="4G"/>
    <s v="Nokia"/>
    <s v="En Cours"/>
    <n v="68"/>
    <n v="5"/>
    <s v="B2B"/>
    <s v="Pro Monde"/>
    <n v="462"/>
    <d v="1899-12-30T07:42:00"/>
    <n v="41.91"/>
    <n v="0.45"/>
    <n v="18.859500000000001"/>
  </r>
  <r>
    <x v="11"/>
    <s v="ANT-0142"/>
    <s v="4G"/>
    <s v="Nokia"/>
    <s v="En Cours"/>
    <n v="94"/>
    <n v="7"/>
    <s v="B2C"/>
    <s v="Illimité 50Go"/>
    <n v="115"/>
    <d v="1899-12-30T01:55:00"/>
    <n v="19.12"/>
    <n v="0"/>
    <n v="0"/>
  </r>
  <r>
    <x v="4"/>
    <s v="ANT-0257"/>
    <s v="3G"/>
    <s v="Nokia"/>
    <s v="En Cours"/>
    <n v="113"/>
    <n v="9"/>
    <s v="B2C"/>
    <s v="Premium 5G 150Go"/>
    <n v="89"/>
    <d v="1899-12-30T01:29:00"/>
    <n v="54.28"/>
    <n v="0"/>
    <n v="0"/>
  </r>
  <r>
    <x v="22"/>
    <s v="ANT-0662"/>
    <s v="4G"/>
    <s v="Nokia"/>
    <s v="Résolu"/>
    <n v="40"/>
    <n v="3"/>
    <s v="B2C"/>
    <s v="Bloqué 5Go"/>
    <n v="38"/>
    <d v="1899-12-30T00:38:00"/>
    <n v="17.63"/>
    <n v="0"/>
    <n v="0"/>
  </r>
  <r>
    <x v="1"/>
    <s v="ANT-0417"/>
    <s v="5G"/>
    <s v="Ericsson"/>
    <s v="Résolu"/>
    <n v="76"/>
    <n v="6"/>
    <s v="B2C"/>
    <s v="Premium 5G 150Go"/>
    <n v="187"/>
    <d v="1899-12-30T03:07:00"/>
    <n v="56.29"/>
    <n v="0"/>
    <n v="0"/>
  </r>
  <r>
    <x v="2"/>
    <s v="ANT-0054"/>
    <s v="3G"/>
    <s v="Ericsson"/>
    <s v="Résolu"/>
    <n v="106"/>
    <n v="8"/>
    <s v="B2B"/>
    <s v="Pro Monde"/>
    <n v="429"/>
    <d v="1899-12-30T07:09:00"/>
    <n v="23.83"/>
    <n v="0.45"/>
    <n v="10.7235"/>
  </r>
  <r>
    <x v="20"/>
    <s v="ANT-0526"/>
    <s v="4G"/>
    <s v="Nokia"/>
    <s v="En Cours"/>
    <n v="104"/>
    <n v="8"/>
    <s v="B2C"/>
    <s v="Premium 5G 150Go"/>
    <n v="68"/>
    <d v="1899-12-30T01:08:00"/>
    <n v="21.15"/>
    <n v="0"/>
    <n v="0"/>
  </r>
  <r>
    <x v="8"/>
    <s v="ANT-0416"/>
    <s v="3G"/>
    <s v="Ericsson"/>
    <s v="Résolu"/>
    <n v="63"/>
    <n v="5"/>
    <s v="B2C"/>
    <s v="Bloqué 5Go"/>
    <n v="263"/>
    <d v="1899-12-30T04:23:00"/>
    <n v="53.87"/>
    <n v="0.45"/>
    <n v="24.241499999999998"/>
  </r>
  <r>
    <x v="7"/>
    <s v="ANT-0811"/>
    <s v="5G"/>
    <s v="Ericsson"/>
    <s v="Résolu"/>
    <n v="13"/>
    <n v="1"/>
    <s v="B2C"/>
    <s v="Bloqué 5Go"/>
    <n v="180"/>
    <d v="1899-12-30T03:00:00"/>
    <n v="24.01"/>
    <n v="0"/>
    <n v="0"/>
  </r>
  <r>
    <x v="0"/>
    <s v="ANT-0934"/>
    <s v="5G"/>
    <s v="Ericsson"/>
    <s v="Résolu"/>
    <n v="68"/>
    <n v="5"/>
    <s v="B2C"/>
    <s v="Bloqué 5Go"/>
    <n v="487"/>
    <d v="1899-12-30T08:07:00"/>
    <n v="69.099999999999994"/>
    <n v="0.45"/>
    <n v="31.094999999999999"/>
  </r>
  <r>
    <x v="13"/>
    <s v="ANT-0236"/>
    <s v="3G"/>
    <s v="Ericsson"/>
    <s v="Résolu"/>
    <n v="45"/>
    <n v="3"/>
    <s v="B2C"/>
    <s v="Illimité 50Go"/>
    <n v="26"/>
    <d v="1899-12-30T00:26:00"/>
    <n v="30.35"/>
    <n v="0"/>
    <n v="0"/>
  </r>
  <r>
    <x v="21"/>
    <s v="ANT-0986"/>
    <s v="4G"/>
    <s v="Nokia"/>
    <s v="En Cours"/>
    <n v="90"/>
    <n v="7"/>
    <s v="B2C"/>
    <s v="Bloqué 5Go"/>
    <n v="216"/>
    <d v="1899-12-30T03:36:00"/>
    <n v="45.58"/>
    <n v="0"/>
    <n v="0"/>
  </r>
  <r>
    <x v="5"/>
    <s v="ANT-0790"/>
    <s v="5G"/>
    <s v="Ericsson"/>
    <s v="Résolu"/>
    <n v="74"/>
    <n v="6"/>
    <s v="B2C"/>
    <s v="Illimité 50Go"/>
    <n v="253"/>
    <d v="1899-12-30T04:13:00"/>
    <n v="36.94"/>
    <n v="0.45"/>
    <n v="16.623000000000001"/>
  </r>
  <r>
    <x v="0"/>
    <s v="ANT-0934"/>
    <s v="5G"/>
    <s v="Ericsson"/>
    <s v="Résolu"/>
    <n v="111"/>
    <n v="9"/>
    <s v="B2C"/>
    <s v="Bloqué 5Go"/>
    <n v="194"/>
    <d v="1899-12-30T03:14:00"/>
    <n v="48.55"/>
    <n v="0"/>
    <n v="0"/>
  </r>
  <r>
    <x v="24"/>
    <s v="ANT-0044"/>
    <s v="3G"/>
    <s v="Ericsson"/>
    <s v="Résolu"/>
    <n v="37"/>
    <n v="3"/>
    <s v="B2C"/>
    <s v="Bloqué 5Go"/>
    <n v="87"/>
    <d v="1899-12-30T01:27:00"/>
    <n v="26.4"/>
    <n v="0"/>
    <n v="0"/>
  </r>
  <r>
    <x v="18"/>
    <s v="ANT-0362"/>
    <s v="3G"/>
    <s v="Ericsson"/>
    <s v="Résolu"/>
    <n v="71"/>
    <n v="5"/>
    <s v="B2C"/>
    <s v="Premium 5G 150Go"/>
    <n v="191"/>
    <d v="1899-12-30T03:11:00"/>
    <n v="83.04"/>
    <n v="0"/>
    <n v="0"/>
  </r>
  <r>
    <x v="8"/>
    <s v="ANT-0416"/>
    <s v="3G"/>
    <s v="Ericsson"/>
    <s v="Résolu"/>
    <n v="35"/>
    <n v="2"/>
    <s v="B2B"/>
    <s v="Pro Monde"/>
    <n v="496"/>
    <d v="1899-12-30T08:16:00"/>
    <n v="19.78"/>
    <n v="0.45"/>
    <n v="8.9010000000000016"/>
  </r>
  <r>
    <x v="15"/>
    <s v="ANT-0298"/>
    <s v="3G"/>
    <s v="Ericsson"/>
    <s v="Résolu"/>
    <n v="78"/>
    <n v="6"/>
    <s v="B2C"/>
    <s v="Bloqué 5Go"/>
    <n v="57"/>
    <d v="1899-12-30T00:57:00"/>
    <n v="49.47"/>
    <n v="0"/>
    <n v="0"/>
  </r>
  <r>
    <x v="12"/>
    <s v="ANT-0630"/>
    <s v="5G"/>
    <s v="Ericsson"/>
    <s v="Résolu"/>
    <n v="13"/>
    <n v="1"/>
    <s v="B2B"/>
    <s v="Pro Monde"/>
    <n v="173"/>
    <d v="1899-12-30T02:53:00"/>
    <n v="85.54"/>
    <n v="0.1"/>
    <n v="8.5540000000000003"/>
  </r>
  <r>
    <x v="19"/>
    <s v="ANT-0032"/>
    <s v="3G"/>
    <s v="Ericsson"/>
    <s v="Résolu"/>
    <n v="115"/>
    <n v="9"/>
    <s v="B2C"/>
    <s v="Illimité 50Go"/>
    <n v="467"/>
    <d v="1899-12-30T07:47:00"/>
    <n v="24.57"/>
    <n v="0.45"/>
    <n v="11.0565"/>
  </r>
  <r>
    <x v="14"/>
    <s v="ANT-0458"/>
    <s v="3G"/>
    <s v="Huawei"/>
    <s v="En Cours"/>
    <n v="7"/>
    <n v="0"/>
    <s v="B2B"/>
    <s v="Pro Monde"/>
    <n v="347"/>
    <d v="1899-12-30T05:47:00"/>
    <n v="41.84"/>
    <n v="0.45"/>
    <n v="18.828000000000003"/>
  </r>
  <r>
    <x v="16"/>
    <s v="ANT-0870"/>
    <s v="4G"/>
    <s v="ZTE"/>
    <s v="Résolu"/>
    <n v="22"/>
    <n v="1"/>
    <s v="B2B"/>
    <s v="Pro Monde"/>
    <n v="127"/>
    <d v="1899-12-30T02:07:00"/>
    <n v="49.06"/>
    <n v="0.1"/>
    <n v="4.9060000000000006"/>
  </r>
  <r>
    <x v="14"/>
    <s v="ANT-0458"/>
    <s v="3G"/>
    <s v="Huawei"/>
    <s v="En Cours"/>
    <n v="41"/>
    <n v="3"/>
    <s v="B2C"/>
    <s v="Bloqué 5Go"/>
    <n v="425"/>
    <d v="1899-12-30T07:05:00"/>
    <n v="42.33"/>
    <n v="0.45"/>
    <n v="19.048500000000001"/>
  </r>
  <r>
    <x v="1"/>
    <s v="ANT-0417"/>
    <s v="5G"/>
    <s v="Ericsson"/>
    <s v="Résolu"/>
    <n v="97"/>
    <n v="8"/>
    <s v="B2B"/>
    <s v="Pro Monde"/>
    <n v="276"/>
    <d v="1899-12-30T04:36:00"/>
    <n v="88.35"/>
    <n v="0.45"/>
    <n v="39.7575"/>
  </r>
  <r>
    <x v="16"/>
    <s v="ANT-0870"/>
    <s v="4G"/>
    <s v="ZTE"/>
    <s v="Résolu"/>
    <n v="50"/>
    <n v="4"/>
    <s v="B2C"/>
    <s v="Bloqué 5Go"/>
    <n v="435"/>
    <d v="1899-12-30T07:15:00"/>
    <n v="27.86"/>
    <n v="0.45"/>
    <n v="12.537000000000001"/>
  </r>
  <r>
    <x v="0"/>
    <s v="ANT-0934"/>
    <s v="5G"/>
    <s v="ZTE"/>
    <s v="Résolu"/>
    <n v="24"/>
    <n v="2"/>
    <s v="B2C"/>
    <s v="Illimité 50Go"/>
    <n v="392"/>
    <d v="1899-12-30T06:32:00"/>
    <n v="27.06"/>
    <n v="0.45"/>
    <n v="12.177"/>
  </r>
  <r>
    <x v="12"/>
    <s v="ANT-0630"/>
    <s v="5G"/>
    <s v="ZTE"/>
    <s v="Résolu"/>
    <n v="45"/>
    <n v="3"/>
    <s v="B2C"/>
    <s v="Bloqué 5Go"/>
    <n v="439"/>
    <d v="1899-12-30T07:19:00"/>
    <n v="13.62"/>
    <n v="0.45"/>
    <n v="6.1289999999999996"/>
  </r>
  <r>
    <x v="21"/>
    <s v="ANT-0986"/>
    <s v="4G"/>
    <s v="ZTE"/>
    <s v="En Cours"/>
    <n v="104"/>
    <n v="8"/>
    <s v="B2B"/>
    <s v="Pro Monde"/>
    <n v="60"/>
    <d v="1899-12-30T01:00:00"/>
    <n v="45.51"/>
    <n v="0.1"/>
    <n v="4.5510000000000002"/>
  </r>
  <r>
    <x v="2"/>
    <s v="ANT-0054"/>
    <s v="3G"/>
    <s v="Huawei"/>
    <s v="En Cours"/>
    <n v="95"/>
    <n v="7"/>
    <s v="B2C"/>
    <s v="Premium 5G 150Go"/>
    <n v="148"/>
    <d v="1899-12-30T02:28:00"/>
    <n v="76.95"/>
    <n v="0"/>
    <n v="0"/>
  </r>
  <r>
    <x v="14"/>
    <s v="ANT-0952"/>
    <s v="4G"/>
    <s v="ZTE"/>
    <s v="En Cours"/>
    <n v="83"/>
    <n v="6"/>
    <s v="B2C"/>
    <s v="Premium 5G 150Go"/>
    <n v="105"/>
    <d v="1899-12-30T01:45:00"/>
    <n v="20.46"/>
    <n v="0"/>
    <n v="0"/>
  </r>
  <r>
    <x v="19"/>
    <s v="ANT-0032"/>
    <s v="3G"/>
    <s v="Huawei"/>
    <s v="En Cours"/>
    <n v="7"/>
    <n v="0"/>
    <s v="B2C"/>
    <s v="Illimité 50Go"/>
    <n v="94"/>
    <d v="1899-12-30T01:34:00"/>
    <n v="68.38"/>
    <n v="0"/>
    <n v="0"/>
  </r>
  <r>
    <x v="11"/>
    <s v="ANT-0768"/>
    <s v="4G"/>
    <s v="Huawei"/>
    <s v="Résolu"/>
    <n v="39"/>
    <n v="3"/>
    <s v="B2C"/>
    <s v="Premium 5G 150Go"/>
    <n v="1"/>
    <d v="1899-12-30T00:01:00"/>
    <n v="66.94"/>
    <n v="0.45"/>
    <n v="30.123000000000001"/>
  </r>
  <r>
    <x v="15"/>
    <s v="ANT-0298"/>
    <s v="3G"/>
    <s v="Huawei"/>
    <s v="Résolu"/>
    <n v="15"/>
    <n v="1"/>
    <s v="B2C"/>
    <s v="Illimité 50Go"/>
    <n v="81"/>
    <d v="1899-12-30T01:21:00"/>
    <n v="97.5"/>
    <n v="0"/>
    <n v="0"/>
  </r>
  <r>
    <x v="1"/>
    <s v="ANT-0417"/>
    <s v="5G"/>
    <s v="Ericsson"/>
    <s v="Résolu"/>
    <n v="35"/>
    <n v="2"/>
    <s v="B2B"/>
    <s v="Pro Monde"/>
    <n v="292"/>
    <d v="1899-12-30T04:52:00"/>
    <n v="39.21"/>
    <n v="0.45"/>
    <n v="17.644500000000001"/>
  </r>
  <r>
    <x v="0"/>
    <s v="ANT-0059"/>
    <s v="5G"/>
    <s v="Ericsson"/>
    <s v="Résolu"/>
    <n v="47"/>
    <n v="3"/>
    <s v="B2C"/>
    <s v="Bloqué 5Go"/>
    <n v="111"/>
    <d v="1899-12-30T01:51:00"/>
    <n v="95.18"/>
    <n v="0"/>
    <n v="0"/>
  </r>
  <r>
    <x v="9"/>
    <s v="ANT-0735"/>
    <s v="4G"/>
    <s v="Huawei"/>
    <s v="En Cours"/>
    <n v="36"/>
    <n v="3"/>
    <s v="B2C"/>
    <s v="Bloqué 5Go"/>
    <n v="303"/>
    <d v="1899-12-30T05:03:00"/>
    <n v="89.56"/>
    <n v="0.45"/>
    <n v="40.302"/>
  </r>
  <r>
    <x v="6"/>
    <s v="ANT-0339"/>
    <s v="5G"/>
    <s v="ZTE"/>
    <s v="En Cours"/>
    <n v="45"/>
    <n v="3"/>
    <s v="B2C"/>
    <s v="Illimité 50Go"/>
    <n v="356"/>
    <d v="1899-12-30T05:56:00"/>
    <n v="33.76"/>
    <n v="0.45"/>
    <n v="15.192"/>
  </r>
  <r>
    <x v="11"/>
    <s v="ANT-0768"/>
    <s v="4G"/>
    <s v="Huawei"/>
    <s v="En Cours"/>
    <n v="92"/>
    <n v="7"/>
    <s v="B2C"/>
    <s v="Bloqué 5Go"/>
    <n v="4"/>
    <d v="1899-12-30T00:04:00"/>
    <n v="22.03"/>
    <n v="0"/>
    <n v="0"/>
  </r>
  <r>
    <x v="5"/>
    <s v="ANT-0790"/>
    <s v="5G"/>
    <s v="Ericsson"/>
    <s v="Non Résolu"/>
    <n v="54"/>
    <n v="4"/>
    <s v="B2C"/>
    <s v="Bloqué 5Go"/>
    <n v="450"/>
    <d v="1899-12-30T07:30:00"/>
    <n v="90.85"/>
    <n v="0.45"/>
    <n v="40.8825"/>
  </r>
  <r>
    <x v="5"/>
    <s v="ANT-0790"/>
    <s v="5G"/>
    <s v="Ericsson"/>
    <s v="Non Résolu"/>
    <n v="32"/>
    <n v="2"/>
    <s v="B2C"/>
    <s v="Illimité 50Go"/>
    <n v="475"/>
    <d v="1899-12-30T07:55:00"/>
    <n v="36.54"/>
    <n v="0.45"/>
    <n v="16.443000000000001"/>
  </r>
  <r>
    <x v="14"/>
    <s v="ANT-0952"/>
    <s v="4G"/>
    <s v="Huawei"/>
    <s v="En Cours"/>
    <n v="41"/>
    <n v="3"/>
    <s v="B2C"/>
    <s v="Illimité 50Go"/>
    <n v="404"/>
    <d v="1899-12-30T06:44:00"/>
    <n v="98.67"/>
    <n v="0.45"/>
    <n v="44.401499999999999"/>
  </r>
  <r>
    <x v="11"/>
    <s v="ANT-0768"/>
    <s v="4G"/>
    <s v="Huawei"/>
    <s v="Résolu"/>
    <n v="115"/>
    <n v="9"/>
    <s v="B2B"/>
    <s v="Pro Monde"/>
    <n v="262"/>
    <d v="1899-12-30T04:22:00"/>
    <n v="66.34"/>
    <n v="0.45"/>
    <n v="29.853000000000002"/>
  </r>
  <r>
    <x v="3"/>
    <s v="ANT-0695"/>
    <s v="4G"/>
    <s v="Huawei"/>
    <s v="Résolu"/>
    <n v="7"/>
    <n v="0"/>
    <s v="B2C"/>
    <s v="Bloqué 5Go"/>
    <n v="233"/>
    <d v="1899-12-30T03:53:00"/>
    <n v="10.94"/>
    <n v="0"/>
    <n v="0"/>
  </r>
  <r>
    <x v="20"/>
    <s v="ANT-0631"/>
    <s v="3G"/>
    <s v="Ericsson"/>
    <s v="En Cours"/>
    <n v="24"/>
    <n v="2"/>
    <s v="B2C"/>
    <s v="Bloqué 5Go"/>
    <n v="257"/>
    <d v="1899-12-30T04:17:00"/>
    <n v="41.99"/>
    <n v="0.45"/>
    <n v="18.895500000000002"/>
  </r>
  <r>
    <x v="8"/>
    <s v="ANT-0394"/>
    <s v="5G"/>
    <s v="ZTE"/>
    <s v="Non Résolu"/>
    <n v="6"/>
    <n v="0"/>
    <s v="B2C"/>
    <s v="Premium 5G 150Go"/>
    <n v="362"/>
    <d v="1899-12-30T06:02:00"/>
    <n v="75.739999999999995"/>
    <n v="0.45"/>
    <n v="34.082999999999998"/>
  </r>
  <r>
    <x v="7"/>
    <s v="ANT-0147"/>
    <s v="3G"/>
    <s v="Ericsson"/>
    <s v="En Cours"/>
    <n v="1"/>
    <n v="0"/>
    <s v="B2C"/>
    <s v="Premium 5G 150Go"/>
    <n v="368"/>
    <d v="1899-12-30T06:08:00"/>
    <n v="35.17"/>
    <n v="0.45"/>
    <n v="15.826500000000001"/>
  </r>
  <r>
    <x v="9"/>
    <s v="ANT-0735"/>
    <s v="4G"/>
    <s v="Nokia"/>
    <s v="En Cours"/>
    <n v="7"/>
    <n v="0"/>
    <s v="B2B"/>
    <s v="Pro Monde"/>
    <n v="268"/>
    <d v="1899-12-30T04:28:00"/>
    <n v="33.04"/>
    <n v="0.45"/>
    <n v="14.868"/>
  </r>
  <r>
    <x v="22"/>
    <s v="ANT-0662"/>
    <s v="4G"/>
    <s v="Nokia"/>
    <s v="En Cours"/>
    <n v="85"/>
    <n v="7"/>
    <s v="B2C"/>
    <s v="Illimité 50Go"/>
    <n v="132"/>
    <d v="1899-12-30T02:12:00"/>
    <n v="11.41"/>
    <n v="0"/>
    <n v="0"/>
  </r>
  <r>
    <x v="2"/>
    <s v="ANT-0054"/>
    <s v="3G"/>
    <s v="Ericsson"/>
    <s v="Non Résolu"/>
    <n v="96"/>
    <n v="8"/>
    <s v="B2C"/>
    <s v="Illimité 50Go"/>
    <n v="155"/>
    <d v="1899-12-30T02:35:00"/>
    <n v="69.16"/>
    <n v="0"/>
    <n v="0"/>
  </r>
  <r>
    <x v="2"/>
    <s v="ANT-0054"/>
    <s v="3G"/>
    <s v="Ericsson"/>
    <s v="Non Résolu"/>
    <n v="42"/>
    <n v="3"/>
    <s v="B2C"/>
    <s v="Bloqué 5Go"/>
    <n v="436"/>
    <d v="1899-12-30T07:16:00"/>
    <n v="88.12"/>
    <n v="0.45"/>
    <n v="39.654000000000003"/>
  </r>
  <r>
    <x v="13"/>
    <s v="ANT-0236"/>
    <s v="3G"/>
    <s v="Ericsson"/>
    <s v="Non Résolu"/>
    <n v="28"/>
    <n v="2"/>
    <s v="B2C"/>
    <s v="Illimité 50Go"/>
    <n v="112"/>
    <d v="1899-12-30T01:52:00"/>
    <n v="94.51"/>
    <n v="0"/>
    <n v="0"/>
  </r>
  <r>
    <x v="15"/>
    <s v="ANT-0298"/>
    <s v="3G"/>
    <s v="Ericsson"/>
    <s v="Non Résolu"/>
    <n v="37"/>
    <n v="3"/>
    <s v="B2C"/>
    <s v="Illimité 50Go"/>
    <n v="151"/>
    <d v="1899-12-30T02:31:00"/>
    <n v="62.49"/>
    <n v="0"/>
    <n v="0"/>
  </r>
  <r>
    <x v="14"/>
    <s v="ANT-0952"/>
    <s v="4G"/>
    <s v="Huawei"/>
    <s v="Résolu"/>
    <n v="61"/>
    <n v="5"/>
    <s v="B2B"/>
    <s v="Pro Monde"/>
    <n v="362"/>
    <d v="1899-12-30T06:02:00"/>
    <n v="75.03"/>
    <n v="0.45"/>
    <n v="33.763500000000001"/>
  </r>
  <r>
    <x v="13"/>
    <s v="ANT-0236"/>
    <s v="3G"/>
    <s v="Ericsson"/>
    <s v="Non Résolu"/>
    <n v="36"/>
    <n v="3"/>
    <s v="B2C"/>
    <s v="Premium 5G 150Go"/>
    <n v="137"/>
    <d v="1899-12-30T02:17:00"/>
    <n v="71.930000000000007"/>
    <n v="0.45"/>
    <n v="32.368500000000004"/>
  </r>
  <r>
    <x v="24"/>
    <s v="ANT-0239"/>
    <s v="5G"/>
    <s v="ZTE"/>
    <s v="En Cours"/>
    <n v="117"/>
    <n v="9"/>
    <s v="B2C"/>
    <s v="Premium 5G 150Go"/>
    <n v="282"/>
    <d v="1899-12-30T04:42:00"/>
    <n v="95.11"/>
    <n v="0.45"/>
    <n v="42.799500000000002"/>
  </r>
  <r>
    <x v="17"/>
    <s v="ANT-0093"/>
    <s v="4G"/>
    <s v="Huawei"/>
    <s v="Résolu"/>
    <n v="78"/>
    <n v="6"/>
    <s v="B2C"/>
    <s v="Premium 5G 150Go"/>
    <n v="60"/>
    <d v="1899-12-30T01:00:00"/>
    <n v="33.159999999999997"/>
    <n v="0"/>
    <n v="0"/>
  </r>
  <r>
    <x v="19"/>
    <s v="ANT-0484"/>
    <s v="4G"/>
    <s v="Huawei"/>
    <s v="Résolu"/>
    <n v="13"/>
    <n v="1"/>
    <s v="B2B"/>
    <s v="Pro Monde"/>
    <n v="87"/>
    <d v="1899-12-30T01:27:00"/>
    <n v="66.36"/>
    <n v="0.1"/>
    <n v="6.6360000000000001"/>
  </r>
  <r>
    <x v="9"/>
    <s v="ANT-0735"/>
    <s v="4G"/>
    <s v="Huawei"/>
    <s v="Résolu"/>
    <n v="56"/>
    <n v="4"/>
    <s v="B2C"/>
    <s v="Bloqué 5Go"/>
    <n v="114"/>
    <d v="1899-12-30T01:54:00"/>
    <n v="64.39"/>
    <n v="0"/>
    <n v="0"/>
  </r>
  <r>
    <x v="13"/>
    <s v="ANT-0236"/>
    <s v="3G"/>
    <s v="Ericsson"/>
    <s v="Non Résolu"/>
    <n v="24"/>
    <n v="2"/>
    <s v="B2B"/>
    <s v="Pro Monde"/>
    <n v="23"/>
    <d v="1899-12-30T00:23:00"/>
    <n v="28.55"/>
    <n v="0.1"/>
    <n v="2.8550000000000004"/>
  </r>
  <r>
    <x v="0"/>
    <s v="ANT-0966"/>
    <s v="3G"/>
    <s v="Ericsson"/>
    <s v="Non Résolu"/>
    <n v="33"/>
    <n v="2"/>
    <s v="B2C"/>
    <s v="Bloqué 5Go"/>
    <n v="273"/>
    <d v="1899-12-30T04:33:00"/>
    <n v="49.8"/>
    <n v="0.45"/>
    <n v="22.41"/>
  </r>
  <r>
    <x v="18"/>
    <s v="ANT-0164"/>
    <s v="5G"/>
    <s v="ZTE"/>
    <s v="En Cours"/>
    <n v="63"/>
    <n v="5"/>
    <s v="B2B"/>
    <s v="Pro Monde"/>
    <n v="121"/>
    <d v="1899-12-30T02:01:00"/>
    <n v="39.18"/>
    <n v="0.1"/>
    <n v="3.9180000000000001"/>
  </r>
  <r>
    <x v="8"/>
    <s v="ANT-0394"/>
    <s v="5G"/>
    <s v="ZTE"/>
    <s v="En Cours"/>
    <n v="47"/>
    <n v="3"/>
    <s v="B2B"/>
    <s v="Pro Monde"/>
    <n v="149"/>
    <d v="1899-12-30T02:29:00"/>
    <n v="28.35"/>
    <n v="0.1"/>
    <n v="2.8350000000000004"/>
  </r>
  <r>
    <x v="9"/>
    <s v="ANT-0735"/>
    <s v="4G"/>
    <s v="Huawei"/>
    <s v="Résolu"/>
    <n v="43"/>
    <n v="3"/>
    <s v="B2C"/>
    <s v="Bloqué 5Go"/>
    <n v="20"/>
    <d v="1899-12-30T00:20:00"/>
    <n v="66.680000000000007"/>
    <n v="0"/>
    <n v="0"/>
  </r>
  <r>
    <x v="12"/>
    <s v="ANT-0183"/>
    <s v="5G"/>
    <s v="ZTE"/>
    <s v="En Cours"/>
    <n v="39"/>
    <n v="3"/>
    <s v="B2C"/>
    <s v="Illimité 50Go"/>
    <n v="327"/>
    <d v="1899-12-30T05:27:00"/>
    <n v="87.24"/>
    <n v="0.45"/>
    <n v="39.257999999999996"/>
  </r>
  <r>
    <x v="17"/>
    <s v="ANT-0093"/>
    <s v="4G"/>
    <s v="Huawei"/>
    <s v="Résolu"/>
    <n v="15"/>
    <n v="1"/>
    <s v="B2C"/>
    <s v="Premium 5G 150Go"/>
    <n v="75"/>
    <d v="1899-12-30T01:15:00"/>
    <n v="45.59"/>
    <n v="0.45"/>
    <n v="20.515500000000003"/>
  </r>
  <r>
    <x v="24"/>
    <s v="ANT-0239"/>
    <s v="5G"/>
    <s v="ZTE"/>
    <s v="En Cours"/>
    <n v="13"/>
    <n v="1"/>
    <s v="B2C"/>
    <s v="Illimité 50Go"/>
    <n v="482"/>
    <d v="1899-12-30T08:02:00"/>
    <n v="50.15"/>
    <n v="0.45"/>
    <n v="22.567499999999999"/>
  </r>
  <r>
    <x v="0"/>
    <s v="ANT-0966"/>
    <s v="3G"/>
    <s v="Ericsson"/>
    <s v="Non Résolu"/>
    <n v="86"/>
    <n v="7"/>
    <s v="B2C"/>
    <s v="Premium 5G 150Go"/>
    <n v="452"/>
    <d v="1899-12-30T07:32:00"/>
    <n v="75.680000000000007"/>
    <n v="0.45"/>
    <n v="34.056000000000004"/>
  </r>
  <r>
    <x v="20"/>
    <s v="ANT-0631"/>
    <s v="3G"/>
    <s v="Ericsson"/>
    <s v="Résolu"/>
    <n v="2"/>
    <n v="0"/>
    <s v="B2C"/>
    <s v="Bloqué 5Go"/>
    <n v="142"/>
    <d v="1899-12-30T02:22:00"/>
    <n v="49.05"/>
    <n v="0"/>
    <n v="0"/>
  </r>
  <r>
    <x v="10"/>
    <s v="ANT-0255"/>
    <s v="5G"/>
    <s v="ZTE"/>
    <s v="En Cours"/>
    <n v="88"/>
    <n v="7"/>
    <s v="B2C"/>
    <s v="Bloqué 5Go"/>
    <n v="474"/>
    <d v="1899-12-30T07:54:00"/>
    <n v="23.35"/>
    <n v="0.45"/>
    <n v="10.5075"/>
  </r>
  <r>
    <x v="11"/>
    <s v="ANT-0900"/>
    <s v="4G"/>
    <s v="Huawei"/>
    <s v="Résolu"/>
    <n v="71"/>
    <n v="5"/>
    <s v="B2C"/>
    <s v="Illimité 50Go"/>
    <n v="68"/>
    <d v="1899-12-30T01:08:00"/>
    <n v="53.11"/>
    <n v="0"/>
    <n v="0"/>
  </r>
  <r>
    <x v="2"/>
    <s v="ANT-0054"/>
    <s v="3G"/>
    <s v="Ericsson"/>
    <s v="Résolu"/>
    <n v="99"/>
    <n v="8"/>
    <s v="B2B"/>
    <s v="Pro Monde"/>
    <n v="138"/>
    <d v="1899-12-30T02:18:00"/>
    <n v="54.64"/>
    <n v="0.1"/>
    <n v="5.4640000000000004"/>
  </r>
  <r>
    <x v="15"/>
    <s v="ANT-0592"/>
    <s v="5G"/>
    <s v="ZTE"/>
    <s v="En Cours"/>
    <n v="111"/>
    <n v="9"/>
    <s v="B2B"/>
    <s v="Pro Monde"/>
    <n v="447"/>
    <d v="1899-12-30T07:27:00"/>
    <n v="51.35"/>
    <n v="0.45"/>
    <n v="23.107500000000002"/>
  </r>
  <r>
    <x v="15"/>
    <s v="ANT-0592"/>
    <s v="5G"/>
    <s v="ZTE"/>
    <s v="En Cours"/>
    <n v="17"/>
    <n v="1"/>
    <s v="B2C"/>
    <s v="Bloqué 5Go"/>
    <n v="404"/>
    <d v="1899-12-30T06:44:00"/>
    <n v="83.4"/>
    <n v="0.45"/>
    <n v="37.53"/>
  </r>
  <r>
    <x v="21"/>
    <s v="ANT-0986"/>
    <s v="4G"/>
    <s v="Huawei"/>
    <s v="Résolu"/>
    <n v="43"/>
    <n v="3"/>
    <s v="B2C"/>
    <s v="Illimité 50Go"/>
    <n v="26"/>
    <d v="1899-12-30T00:26:00"/>
    <n v="25.85"/>
    <n v="0"/>
    <n v="0"/>
  </r>
  <r>
    <x v="0"/>
    <s v="ANT-0966"/>
    <s v="3G"/>
    <s v="Ericsson"/>
    <s v="Non Résolu"/>
    <n v="47"/>
    <n v="3"/>
    <s v="B2B"/>
    <s v="Pro Monde"/>
    <n v="328"/>
    <d v="1899-12-30T05:28:00"/>
    <n v="61.27"/>
    <n v="0.45"/>
    <n v="27.5715"/>
  </r>
  <r>
    <x v="6"/>
    <s v="ANT-0339"/>
    <s v="5G"/>
    <s v="ZTE"/>
    <s v="En Cours"/>
    <n v="95"/>
    <n v="7"/>
    <s v="B2B"/>
    <s v="Pro Monde"/>
    <n v="127"/>
    <d v="1899-12-30T02:07:00"/>
    <n v="94.9"/>
    <n v="0.1"/>
    <n v="9.49"/>
  </r>
  <r>
    <x v="17"/>
    <s v="ANT-0093"/>
    <s v="4G"/>
    <s v="Nokia"/>
    <s v="Résolu"/>
    <n v="104"/>
    <n v="8"/>
    <s v="B2B"/>
    <s v="Pro Monde"/>
    <n v="421"/>
    <d v="1899-12-30T07:01:00"/>
    <n v="26.24"/>
    <n v="0.45"/>
    <n v="11.808"/>
  </r>
  <r>
    <x v="20"/>
    <s v="ANT-0007"/>
    <s v="5G"/>
    <s v="Nokia"/>
    <s v="Résolu"/>
    <n v="47"/>
    <n v="3"/>
    <s v="B2B"/>
    <s v="Pro Monde"/>
    <n v="107"/>
    <d v="1899-12-30T01:47:00"/>
    <n v="35.380000000000003"/>
    <n v="0.1"/>
    <n v="3.5380000000000003"/>
  </r>
  <r>
    <x v="0"/>
    <s v="ANT-0966"/>
    <s v="3G"/>
    <s v="Ericsson"/>
    <s v="Non Résolu"/>
    <n v="96"/>
    <n v="8"/>
    <s v="B2C"/>
    <s v="Premium 5G 150Go"/>
    <n v="273"/>
    <d v="1899-12-30T04:33:00"/>
    <n v="37.909999999999997"/>
    <n v="0.45"/>
    <n v="17.0595"/>
  </r>
  <r>
    <x v="16"/>
    <s v="ANT-0103"/>
    <s v="5G"/>
    <s v="Nokia"/>
    <s v="Résolu"/>
    <n v="43"/>
    <n v="3"/>
    <s v="B2C"/>
    <s v="Premium 5G 150Go"/>
    <n v="193"/>
    <d v="1899-12-30T03:13:00"/>
    <n v="35.81"/>
    <n v="0.45"/>
    <n v="16.114500000000003"/>
  </r>
  <r>
    <x v="11"/>
    <s v="ANT-0900"/>
    <s v="4G"/>
    <s v="Ericsson"/>
    <s v="Non Résolu"/>
    <n v="77"/>
    <n v="6"/>
    <s v="B2C"/>
    <s v="Illimité 50Go"/>
    <n v="375"/>
    <d v="1899-12-30T06:15:00"/>
    <n v="24.03"/>
    <n v="0.45"/>
    <n v="10.813500000000001"/>
  </r>
  <r>
    <x v="19"/>
    <s v="ANT-0484"/>
    <s v="4G"/>
    <s v="Ericsson"/>
    <s v="Non Résolu"/>
    <n v="24"/>
    <n v="2"/>
    <s v="B2C"/>
    <s v="Bloqué 5Go"/>
    <n v="13"/>
    <d v="1899-12-30T00:13:00"/>
    <n v="89.3"/>
    <n v="0"/>
    <n v="0"/>
  </r>
  <r>
    <x v="2"/>
    <s v="ANT-0054"/>
    <s v="3G"/>
    <s v="Ericsson"/>
    <s v="Non Résolu"/>
    <n v="87"/>
    <n v="7"/>
    <s v="B2C"/>
    <s v="Premium 5G 150Go"/>
    <n v="356"/>
    <d v="1899-12-30T05:56:00"/>
    <n v="12.89"/>
    <n v="0.45"/>
    <n v="5.8005000000000004"/>
  </r>
  <r>
    <x v="16"/>
    <s v="ANT-0103"/>
    <s v="5G"/>
    <s v="ZTE"/>
    <s v="En Cours"/>
    <n v="55"/>
    <n v="4"/>
    <s v="B2C"/>
    <s v="Illimité 50Go"/>
    <n v="494"/>
    <d v="1899-12-30T08:14:00"/>
    <n v="77.599999999999994"/>
    <n v="0.45"/>
    <n v="34.92"/>
  </r>
  <r>
    <x v="14"/>
    <s v="ANT-0952"/>
    <s v="4G"/>
    <s v="Ericsson"/>
    <s v="Non Résolu"/>
    <n v="20"/>
    <n v="1"/>
    <s v="B2C"/>
    <s v="Illimité 50Go"/>
    <n v="217"/>
    <d v="1899-12-30T03:37:00"/>
    <n v="55.3"/>
    <n v="0"/>
    <n v="0"/>
  </r>
  <r>
    <x v="18"/>
    <s v="ANT-0164"/>
    <s v="5G"/>
    <s v="ZTE"/>
    <s v="En Cours"/>
    <n v="115"/>
    <n v="9"/>
    <s v="B2B"/>
    <s v="Pro Monde"/>
    <n v="190"/>
    <d v="1899-12-30T03:10:00"/>
    <n v="10.98"/>
    <n v="0.1"/>
    <n v="1.0980000000000001"/>
  </r>
  <r>
    <x v="17"/>
    <s v="ANT-0093"/>
    <s v="4G"/>
    <s v="Ericsson"/>
    <s v="Non Résolu"/>
    <n v="86"/>
    <n v="7"/>
    <s v="B2C"/>
    <s v="Premium 5G 150Go"/>
    <n v="27"/>
    <d v="1899-12-30T00:27:00"/>
    <n v="84.94"/>
    <n v="0"/>
    <n v="0"/>
  </r>
  <r>
    <x v="14"/>
    <s v="ANT-0952"/>
    <s v="4G"/>
    <s v="Ericsson"/>
    <s v="En Cours"/>
    <n v="88"/>
    <n v="7"/>
    <s v="B2C"/>
    <s v="Premium 5G 150Go"/>
    <n v="359"/>
    <d v="1899-12-30T05:59:00"/>
    <n v="71.19"/>
    <n v="0.45"/>
    <n v="32.035499999999999"/>
  </r>
  <r>
    <x v="16"/>
    <s v="ANT-0103"/>
    <s v="5G"/>
    <s v="Ericsson"/>
    <s v="En Cours"/>
    <n v="39"/>
    <n v="3"/>
    <s v="B2B"/>
    <s v="Pro Monde"/>
    <n v="54"/>
    <d v="1899-12-30T00:54:00"/>
    <n v="88.84"/>
    <n v="0.1"/>
    <n v="8.8840000000000003"/>
  </r>
  <r>
    <x v="10"/>
    <s v="ANT-0205"/>
    <s v="4G"/>
    <s v="Ericsson"/>
    <s v="En Cours"/>
    <n v="80"/>
    <n v="6"/>
    <s v="B2B"/>
    <s v="Pro Monde"/>
    <n v="339"/>
    <d v="1899-12-30T05:39:00"/>
    <n v="59.87"/>
    <n v="0.45"/>
    <n v="26.941499999999998"/>
  </r>
  <r>
    <x v="14"/>
    <s v="ANT-0952"/>
    <s v="4G"/>
    <s v="Huawei"/>
    <s v="Non Résolu"/>
    <n v="105"/>
    <n v="8"/>
    <s v="B2B"/>
    <s v="Pro Monde"/>
    <n v="297"/>
    <d v="1899-12-30T04:57:00"/>
    <n v="84.66"/>
    <n v="0.45"/>
    <n v="38.097000000000001"/>
  </r>
  <r>
    <x v="20"/>
    <s v="ANT-0007"/>
    <s v="5G"/>
    <s v="Ericsson"/>
    <s v="En Cours"/>
    <n v="37"/>
    <n v="3"/>
    <s v="B2B"/>
    <s v="Pro Monde"/>
    <n v="37"/>
    <d v="1899-12-30T00:37:00"/>
    <n v="92.72"/>
    <n v="0.1"/>
    <n v="9.2720000000000002"/>
  </r>
  <r>
    <x v="0"/>
    <s v="ANT-0966"/>
    <s v="3G"/>
    <s v="Ericsson"/>
    <s v="En Cours"/>
    <n v="45"/>
    <n v="3"/>
    <s v="B2C"/>
    <s v="Premium 5G 150Go"/>
    <n v="244"/>
    <d v="1899-12-30T04:04:00"/>
    <n v="55.17"/>
    <n v="0.45"/>
    <n v="24.826500000000003"/>
  </r>
  <r>
    <x v="13"/>
    <s v="ANT-0236"/>
    <s v="3G"/>
    <s v="Ericsson"/>
    <s v="En Cours"/>
    <n v="113"/>
    <n v="9"/>
    <s v="B2C"/>
    <s v="Illimité 50Go"/>
    <n v="428"/>
    <d v="1899-12-30T07:08:00"/>
    <n v="73.84"/>
    <n v="0.45"/>
    <n v="33.228000000000002"/>
  </r>
  <r>
    <x v="18"/>
    <s v="ANT-0690"/>
    <s v="3G"/>
    <s v="Ericsson"/>
    <s v="En Cours"/>
    <n v="14"/>
    <n v="1"/>
    <s v="B2C"/>
    <s v="Illimité 50Go"/>
    <n v="304"/>
    <d v="1899-12-30T05:04:00"/>
    <n v="48.13"/>
    <n v="0.45"/>
    <n v="21.6585"/>
  </r>
  <r>
    <x v="15"/>
    <s v="ANT-0162"/>
    <s v="4G"/>
    <s v="Nokia"/>
    <s v="Résolu"/>
    <n v="35"/>
    <n v="2"/>
    <s v="B2B"/>
    <s v="Pro Monde"/>
    <n v="445"/>
    <d v="1899-12-30T07:25:00"/>
    <n v="24.11"/>
    <n v="0.45"/>
    <n v="10.849500000000001"/>
  </r>
  <r>
    <x v="18"/>
    <s v="ANT-0690"/>
    <s v="3G"/>
    <s v="Ericsson"/>
    <s v="En Cours"/>
    <n v="118"/>
    <n v="9"/>
    <s v="B2B"/>
    <s v="Pro Monde"/>
    <n v="80"/>
    <d v="1899-12-30T01:20:00"/>
    <n v="97.58"/>
    <n v="0.1"/>
    <n v="9.7580000000000009"/>
  </r>
  <r>
    <x v="15"/>
    <s v="ANT-0162"/>
    <s v="4G"/>
    <s v="Nokia"/>
    <s v="Résolu"/>
    <n v="64"/>
    <n v="5"/>
    <s v="B2B"/>
    <s v="Pro Monde"/>
    <n v="15"/>
    <d v="1899-12-30T00:15:00"/>
    <n v="56.94"/>
    <n v="0.1"/>
    <n v="5.694"/>
  </r>
  <r>
    <x v="0"/>
    <s v="ANT-0966"/>
    <s v="3G"/>
    <s v="Ericsson"/>
    <s v="En Cours"/>
    <n v="85"/>
    <n v="7"/>
    <s v="B2B"/>
    <s v="Pro Monde"/>
    <n v="75"/>
    <d v="1899-12-30T01:15:00"/>
    <n v="98.01"/>
    <n v="0.1"/>
    <n v="9.8010000000000019"/>
  </r>
  <r>
    <x v="24"/>
    <s v="ANT-0239"/>
    <s v="5G"/>
    <s v="Ericsson"/>
    <s v="En Cours"/>
    <n v="48"/>
    <n v="4"/>
    <s v="B2C"/>
    <s v="Illimité 50Go"/>
    <n v="187"/>
    <d v="1899-12-30T03:07:00"/>
    <n v="21.26"/>
    <n v="0"/>
    <n v="0"/>
  </r>
  <r>
    <x v="13"/>
    <s v="ANT-0236"/>
    <s v="3G"/>
    <s v="Ericsson"/>
    <s v="En Cours"/>
    <n v="120"/>
    <n v="10"/>
    <s v="B2B"/>
    <s v="Pro Monde"/>
    <n v="72"/>
    <d v="1899-12-30T01:12:00"/>
    <n v="29.07"/>
    <n v="0.1"/>
    <n v="2.907"/>
  </r>
  <r>
    <x v="4"/>
    <s v="ANT-0472"/>
    <s v="4G"/>
    <s v="Nokia"/>
    <s v="Résolu"/>
    <n v="34"/>
    <n v="2"/>
    <s v="B2C"/>
    <s v="Bloqué 5Go"/>
    <n v="40"/>
    <d v="1899-12-30T00:40:00"/>
    <n v="65.709999999999994"/>
    <n v="0"/>
    <n v="0"/>
  </r>
  <r>
    <x v="2"/>
    <s v="ANT-0054"/>
    <s v="3G"/>
    <s v="Ericsson"/>
    <s v="En Cours"/>
    <n v="104"/>
    <n v="8"/>
    <s v="B2B"/>
    <s v="Pro Monde"/>
    <n v="125"/>
    <d v="1899-12-30T02:05:00"/>
    <n v="29.7"/>
    <n v="0.1"/>
    <n v="2.97"/>
  </r>
  <r>
    <x v="10"/>
    <s v="ANT-0205"/>
    <s v="4G"/>
    <s v="Nokia"/>
    <s v="Résolu"/>
    <n v="117"/>
    <n v="9"/>
    <s v="B2C"/>
    <s v="Illimité 50Go"/>
    <n v="39"/>
    <d v="1899-12-30T00:39:00"/>
    <n v="26.53"/>
    <n v="0"/>
    <n v="0"/>
  </r>
  <r>
    <x v="15"/>
    <s v="ANT-0162"/>
    <s v="4G"/>
    <s v="Nokia"/>
    <s v="Résolu"/>
    <n v="92"/>
    <n v="7"/>
    <s v="B2C"/>
    <s v="Bloqué 5Go"/>
    <n v="6"/>
    <d v="1899-12-30T00:06:00"/>
    <n v="77.14"/>
    <n v="0"/>
    <n v="0"/>
  </r>
  <r>
    <x v="1"/>
    <s v="ANT-0417"/>
    <s v="5G"/>
    <s v="Ericsson"/>
    <s v="En Cours"/>
    <n v="103"/>
    <n v="8"/>
    <s v="B2C"/>
    <s v="Illimité 50Go"/>
    <n v="291"/>
    <d v="1899-12-30T04:51:00"/>
    <n v="60.34"/>
    <n v="0.45"/>
    <n v="27.153000000000002"/>
  </r>
  <r>
    <x v="24"/>
    <s v="ANT-0239"/>
    <s v="5G"/>
    <s v="Ericsson"/>
    <s v="En Cours"/>
    <n v="10"/>
    <n v="0"/>
    <s v="B2C"/>
    <s v="Premium 5G 150Go"/>
    <n v="425"/>
    <d v="1899-12-30T07:05:00"/>
    <n v="85.75"/>
    <n v="0.45"/>
    <n v="38.587499999999999"/>
  </r>
  <r>
    <x v="1"/>
    <s v="ANT-0417"/>
    <s v="5G"/>
    <s v="Ericsson"/>
    <s v="En Cours"/>
    <n v="101"/>
    <n v="8"/>
    <s v="B2C"/>
    <s v="Bloqué 5Go"/>
    <n v="416"/>
    <d v="1899-12-30T06:56:00"/>
    <n v="83.49"/>
    <n v="0.45"/>
    <n v="37.570499999999996"/>
  </r>
  <r>
    <x v="11"/>
    <s v="ANT-0900"/>
    <s v="4G"/>
    <s v="Huawei"/>
    <s v="Résolu"/>
    <n v="1"/>
    <n v="0"/>
    <s v="B2C"/>
    <s v="Illimité 50Go"/>
    <n v="213"/>
    <d v="1899-12-30T03:33:00"/>
    <n v="52.16"/>
    <n v="0"/>
    <n v="0"/>
  </r>
  <r>
    <x v="14"/>
    <s v="ANT-0952"/>
    <s v="4G"/>
    <s v="Huawei"/>
    <s v="Résolu"/>
    <n v="111"/>
    <n v="9"/>
    <s v="B2C"/>
    <s v="Bloqué 5Go"/>
    <n v="76"/>
    <d v="1899-12-30T01:16:00"/>
    <n v="38.19"/>
    <n v="0"/>
    <n v="0"/>
  </r>
  <r>
    <x v="6"/>
    <s v="ANT-0339"/>
    <s v="5G"/>
    <s v="Huawei"/>
    <s v="Résolu"/>
    <n v="120"/>
    <n v="10"/>
    <s v="B2C"/>
    <s v="Premium 5G 150Go"/>
    <n v="391"/>
    <d v="1899-12-30T06:31:00"/>
    <n v="67.77"/>
    <n v="0.45"/>
    <n v="30.496499999999997"/>
  </r>
  <r>
    <x v="7"/>
    <s v="ANT-0295"/>
    <s v="5G"/>
    <s v="Huawei"/>
    <s v="Résolu"/>
    <n v="20"/>
    <n v="1"/>
    <s v="B2B"/>
    <s v="Pro Monde"/>
    <n v="93"/>
    <d v="1899-12-30T01:33:00"/>
    <n v="84.45"/>
    <n v="0.1"/>
    <n v="8.4450000000000003"/>
  </r>
  <r>
    <x v="14"/>
    <s v="ANT-0952"/>
    <s v="4G"/>
    <s v="Huawei"/>
    <s v="Résolu"/>
    <n v="100"/>
    <n v="8"/>
    <s v="B2C"/>
    <s v="Illimité 50Go"/>
    <n v="240"/>
    <d v="1899-12-30T04:00:00"/>
    <n v="24.83"/>
    <n v="0.45"/>
    <n v="11.173499999999999"/>
  </r>
  <r>
    <x v="15"/>
    <s v="ANT-0162"/>
    <s v="4G"/>
    <s v="Huawei"/>
    <s v="Résolu"/>
    <n v="84"/>
    <n v="7"/>
    <s v="B2C"/>
    <s v="Bloqué 5Go"/>
    <n v="380"/>
    <d v="1899-12-30T06:20:00"/>
    <n v="82.3"/>
    <n v="0.45"/>
    <n v="37.034999999999997"/>
  </r>
  <r>
    <x v="14"/>
    <s v="ANT-0952"/>
    <s v="4G"/>
    <s v="Huawei"/>
    <s v="Résolu"/>
    <n v="19"/>
    <n v="1"/>
    <s v="B2C"/>
    <s v="Bloqué 5Go"/>
    <n v="71"/>
    <d v="1899-12-30T01:11:00"/>
    <n v="68.2"/>
    <n v="0"/>
    <n v="0"/>
  </r>
  <r>
    <x v="10"/>
    <s v="ANT-0205"/>
    <s v="4G"/>
    <s v="Ericsson"/>
    <s v="Résolu"/>
    <n v="41"/>
    <n v="3"/>
    <s v="B2C"/>
    <s v="Premium 5G 150Go"/>
    <n v="383"/>
    <d v="1899-12-30T06:23:00"/>
    <n v="27.53"/>
    <n v="0.45"/>
    <n v="12.388500000000001"/>
  </r>
  <r>
    <x v="4"/>
    <s v="ANT-0472"/>
    <s v="4G"/>
    <s v="Huawei"/>
    <s v="En Cours"/>
    <n v="19"/>
    <n v="1"/>
    <s v="B2C"/>
    <s v="Premium 5G 150Go"/>
    <n v="270"/>
    <d v="1899-12-30T04:30:00"/>
    <n v="19.760000000000002"/>
    <n v="0.45"/>
    <n v="8.8920000000000012"/>
  </r>
  <r>
    <x v="12"/>
    <s v="ANT-0183"/>
    <s v="5G"/>
    <s v="Ericsson"/>
    <s v="Non Résolu"/>
    <n v="50"/>
    <n v="4"/>
    <s v="B2C"/>
    <s v="Illimité 50Go"/>
    <n v="357"/>
    <d v="1899-12-30T05:57:00"/>
    <n v="17"/>
    <n v="0.45"/>
    <n v="7.65"/>
  </r>
  <r>
    <x v="8"/>
    <s v="ANT-0131"/>
    <s v="5G"/>
    <s v="Ericsson"/>
    <s v="Non Résolu"/>
    <n v="58"/>
    <n v="4"/>
    <s v="B2C"/>
    <s v="Premium 5G 150Go"/>
    <n v="485"/>
    <d v="1899-12-30T08:05:00"/>
    <n v="64.290000000000006"/>
    <n v="0.45"/>
    <n v="28.930500000000002"/>
  </r>
  <r>
    <x v="21"/>
    <s v="ANT-0407"/>
    <s v="5G"/>
    <s v="Huawei"/>
    <s v="En Cours"/>
    <n v="93"/>
    <n v="7"/>
    <s v="B2B"/>
    <s v="Pro Monde"/>
    <n v="153"/>
    <d v="1899-12-30T02:33:00"/>
    <n v="86.19"/>
    <n v="0.1"/>
    <n v="8.6189999999999998"/>
  </r>
  <r>
    <x v="14"/>
    <s v="ANT-0952"/>
    <s v="4G"/>
    <s v="Huawei"/>
    <s v="En Cours"/>
    <n v="102"/>
    <n v="8"/>
    <s v="B2C"/>
    <s v="Illimité 50Go"/>
    <n v="240"/>
    <d v="1899-12-30T04:00:00"/>
    <n v="12.52"/>
    <n v="0.45"/>
    <n v="5.6340000000000003"/>
  </r>
  <r>
    <x v="4"/>
    <s v="ANT-0472"/>
    <s v="4G"/>
    <s v="Huawei"/>
    <s v="En Cours"/>
    <n v="101"/>
    <n v="8"/>
    <s v="B2B"/>
    <s v="Pro Monde"/>
    <n v="210"/>
    <d v="1899-12-30T03:30:00"/>
    <n v="35.4"/>
    <n v="0.1"/>
    <n v="3.54"/>
  </r>
  <r>
    <x v="12"/>
    <s v="ANT-0183"/>
    <s v="5G"/>
    <s v="Huawei"/>
    <s v="En Cours"/>
    <n v="62"/>
    <n v="5"/>
    <s v="B2C"/>
    <s v="Illimité 50Go"/>
    <n v="369"/>
    <d v="1899-12-30T06:09:00"/>
    <n v="58.74"/>
    <n v="0.45"/>
    <n v="26.433"/>
  </r>
  <r>
    <x v="17"/>
    <s v="ANT-0668"/>
    <s v="5G"/>
    <s v="Huawei"/>
    <s v="Non Résolu"/>
    <n v="105"/>
    <n v="8"/>
    <s v="B2C"/>
    <s v="Illimité 50Go"/>
    <n v="172"/>
    <d v="1899-12-30T02:52:00"/>
    <n v="15.88"/>
    <n v="0"/>
    <n v="0"/>
  </r>
  <r>
    <x v="8"/>
    <s v="ANT-0131"/>
    <s v="5G"/>
    <s v="Huawei"/>
    <s v="Non Résolu"/>
    <n v="9"/>
    <n v="0"/>
    <s v="B2C"/>
    <s v="Illimité 50Go"/>
    <n v="227"/>
    <d v="1899-12-30T03:47:00"/>
    <n v="63.74"/>
    <n v="0"/>
    <n v="0"/>
  </r>
  <r>
    <x v="13"/>
    <s v="ANT-0236"/>
    <s v="3G"/>
    <s v="Ericsson"/>
    <s v="Non Résolu"/>
    <n v="15"/>
    <n v="1"/>
    <s v="B2C"/>
    <s v="Bloqué 5Go"/>
    <n v="400"/>
    <d v="1899-12-30T06:40:00"/>
    <n v="78.09"/>
    <n v="0.45"/>
    <n v="35.140500000000003"/>
  </r>
  <r>
    <x v="7"/>
    <s v="ANT-0295"/>
    <s v="5G"/>
    <s v="ZTE"/>
    <s v="En Cours"/>
    <n v="74"/>
    <n v="6"/>
    <s v="B2C"/>
    <s v="Illimité 50Go"/>
    <n v="330"/>
    <d v="1899-12-30T05:30:00"/>
    <n v="37.82"/>
    <n v="0.45"/>
    <n v="17.019000000000002"/>
  </r>
  <r>
    <x v="0"/>
    <s v="ANT-0966"/>
    <s v="3G"/>
    <s v="Ericsson"/>
    <s v="Non Résolu"/>
    <n v="55"/>
    <n v="4"/>
    <s v="B2C"/>
    <s v="Bloqué 5Go"/>
    <n v="355"/>
    <d v="1899-12-30T05:55:00"/>
    <n v="59.65"/>
    <n v="0.45"/>
    <n v="26.842500000000001"/>
  </r>
  <r>
    <x v="20"/>
    <s v="ANT-0007"/>
    <s v="5G"/>
    <s v="ZTE"/>
    <s v="En Cours"/>
    <n v="94"/>
    <n v="7"/>
    <s v="B2C"/>
    <s v="Illimité 50Go"/>
    <n v="6"/>
    <d v="1899-12-30T00:06:00"/>
    <n v="67.459999999999994"/>
    <n v="0"/>
    <n v="0"/>
  </r>
  <r>
    <x v="2"/>
    <s v="ANT-0855"/>
    <s v="5G"/>
    <s v="ZTE"/>
    <s v="En Cours"/>
    <n v="120"/>
    <n v="10"/>
    <s v="B2C"/>
    <s v="Bloqué 5Go"/>
    <n v="27"/>
    <d v="1899-12-30T00:27:00"/>
    <n v="24.46"/>
    <n v="0"/>
    <n v="0"/>
  </r>
  <r>
    <x v="13"/>
    <s v="ANT-0236"/>
    <s v="3G"/>
    <s v="Huawei"/>
    <s v="Résolu"/>
    <n v="38"/>
    <n v="3"/>
    <s v="B2C"/>
    <s v="Bloqué 5Go"/>
    <n v="108"/>
    <d v="1899-12-30T01:48:00"/>
    <n v="72.7"/>
    <n v="0"/>
    <n v="0"/>
  </r>
  <r>
    <x v="25"/>
    <s v="ANT-0515"/>
    <s v="4G"/>
    <s v="Nokia"/>
    <s v="Résolu"/>
    <n v="21"/>
    <n v="1"/>
    <s v="B2C"/>
    <s v="Illimité 50Go"/>
    <n v="444"/>
    <d v="1899-12-30T07:24:00"/>
    <n v="41.92"/>
    <n v="0.45"/>
    <n v="18.864000000000001"/>
  </r>
  <r>
    <x v="11"/>
    <s v="ANT-0357"/>
    <s v="5G"/>
    <s v="ZTE"/>
    <s v="En Cours"/>
    <n v="9"/>
    <n v="0"/>
    <s v="B2C"/>
    <s v="Bloqué 5Go"/>
    <n v="11"/>
    <d v="1899-12-30T00:11:00"/>
    <n v="72.36"/>
    <n v="0"/>
    <n v="0"/>
  </r>
  <r>
    <x v="7"/>
    <s v="ANT-0295"/>
    <s v="5G"/>
    <s v="ZTE"/>
    <s v="En Cours"/>
    <n v="36"/>
    <n v="3"/>
    <s v="B2C"/>
    <s v="Illimité 50Go"/>
    <n v="487"/>
    <d v="1899-12-30T08:07:00"/>
    <n v="45.02"/>
    <n v="0.45"/>
    <n v="20.259"/>
  </r>
  <r>
    <x v="20"/>
    <s v="ANT-0007"/>
    <s v="5G"/>
    <s v="ZTE"/>
    <s v="Non Résolu"/>
    <n v="74"/>
    <n v="6"/>
    <s v="B2C"/>
    <s v="Bloqué 5Go"/>
    <n v="388"/>
    <d v="1899-12-30T06:28:00"/>
    <n v="10.89"/>
    <n v="0.45"/>
    <n v="4.9005000000000001"/>
  </r>
  <r>
    <x v="20"/>
    <s v="ANT-0007"/>
    <s v="5G"/>
    <s v="ZTE"/>
    <s v="Non Résolu"/>
    <n v="47"/>
    <n v="3"/>
    <s v="B2C"/>
    <s v="Premium 5G 150Go"/>
    <n v="350"/>
    <d v="1899-12-30T05:50:00"/>
    <n v="80.48"/>
    <n v="0.45"/>
    <n v="36.216000000000001"/>
  </r>
  <r>
    <x v="3"/>
    <s v="ANT-0588"/>
    <s v="3G"/>
    <s v="Ericsson"/>
    <s v="Non Résolu"/>
    <n v="46"/>
    <n v="3"/>
    <s v="B2B"/>
    <s v="Pro Monde"/>
    <n v="216"/>
    <d v="1899-12-30T03:36:00"/>
    <n v="63.74"/>
    <n v="0.1"/>
    <n v="6.3740000000000006"/>
  </r>
  <r>
    <x v="8"/>
    <s v="ANT-0131"/>
    <s v="5G"/>
    <s v="Nokia"/>
    <s v="En Cours"/>
    <n v="12"/>
    <n v="1"/>
    <s v="B2C"/>
    <s v="Illimité 50Go"/>
    <n v="138"/>
    <d v="1899-12-30T02:18:00"/>
    <n v="17"/>
    <n v="0"/>
    <n v="0"/>
  </r>
  <r>
    <x v="2"/>
    <s v="ANT-0855"/>
    <s v="5G"/>
    <s v="Nokia"/>
    <s v="En Cours"/>
    <n v="10"/>
    <n v="0"/>
    <s v="B2B"/>
    <s v="Pro Monde"/>
    <n v="129"/>
    <d v="1899-12-30T02:09:00"/>
    <n v="70.12"/>
    <n v="0.1"/>
    <n v="7.0120000000000005"/>
  </r>
  <r>
    <x v="20"/>
    <s v="ANT-0007"/>
    <s v="5G"/>
    <s v="Nokia"/>
    <s v="En Cours"/>
    <n v="23"/>
    <n v="1"/>
    <s v="B2C"/>
    <s v="Bloqué 5Go"/>
    <n v="325"/>
    <d v="1899-12-30T05:25:00"/>
    <n v="65.489999999999995"/>
    <n v="0.45"/>
    <n v="29.470499999999998"/>
  </r>
  <r>
    <x v="25"/>
    <s v="ANT-0515"/>
    <s v="4G"/>
    <s v="ZTE"/>
    <s v="Non Résolu"/>
    <n v="91"/>
    <n v="7"/>
    <s v="B2C"/>
    <s v="Illimité 50Go"/>
    <n v="90"/>
    <d v="1899-12-30T01:30:00"/>
    <n v="39.14"/>
    <n v="0"/>
    <n v="0"/>
  </r>
  <r>
    <x v="21"/>
    <s v="ANT-0407"/>
    <s v="5G"/>
    <s v="Nokia"/>
    <s v="En Cours"/>
    <n v="99"/>
    <n v="8"/>
    <s v="B2B"/>
    <s v="Pro Monde"/>
    <n v="42"/>
    <d v="1899-12-30T00:42:00"/>
    <n v="98.77"/>
    <n v="0.1"/>
    <n v="9.8770000000000007"/>
  </r>
  <r>
    <x v="23"/>
    <s v="ANT-0670"/>
    <s v="5G"/>
    <s v="Nokia"/>
    <s v="En Cours"/>
    <n v="59"/>
    <n v="4"/>
    <s v="B2B"/>
    <s v="Pro Monde"/>
    <n v="72"/>
    <d v="1899-12-30T01:12:00"/>
    <n v="94.51"/>
    <n v="0.1"/>
    <n v="9.4510000000000005"/>
  </r>
  <r>
    <x v="5"/>
    <s v="ANT-0558"/>
    <s v="4G"/>
    <s v="Huawei"/>
    <s v="Non Résolu"/>
    <n v="34"/>
    <n v="2"/>
    <s v="B2C"/>
    <s v="Bloqué 5Go"/>
    <n v="35"/>
    <d v="1899-12-30T00:35:00"/>
    <n v="76.86"/>
    <n v="0"/>
    <n v="0"/>
  </r>
  <r>
    <x v="13"/>
    <s v="ANT-0236"/>
    <s v="3G"/>
    <s v="Ericsson"/>
    <s v="Non Résolu"/>
    <n v="61"/>
    <n v="5"/>
    <s v="B2C"/>
    <s v="Premium 5G 150Go"/>
    <n v="140"/>
    <d v="1899-12-30T02:20:00"/>
    <n v="76.3"/>
    <n v="0"/>
    <n v="0"/>
  </r>
  <r>
    <x v="21"/>
    <s v="ANT-0407"/>
    <s v="5G"/>
    <s v="Nokia"/>
    <s v="Non Résolu"/>
    <n v="33"/>
    <n v="2"/>
    <s v="B2B"/>
    <s v="Pro Monde"/>
    <n v="207"/>
    <d v="1899-12-30T03:27:00"/>
    <n v="38.49"/>
    <n v="0.1"/>
    <n v="3.8490000000000002"/>
  </r>
  <r>
    <x v="10"/>
    <s v="ANT-0205"/>
    <s v="4G"/>
    <s v="Huawei"/>
    <s v="Non Résolu"/>
    <n v="98"/>
    <n v="8"/>
    <s v="B2B"/>
    <s v="Pro Monde"/>
    <n v="41"/>
    <d v="1899-12-30T00:41:00"/>
    <n v="23.55"/>
    <n v="0.1"/>
    <n v="2.355"/>
  </r>
  <r>
    <x v="4"/>
    <s v="ANT-0472"/>
    <s v="4G"/>
    <s v="Huawei"/>
    <s v="Non Résolu"/>
    <n v="113"/>
    <n v="9"/>
    <s v="B2B"/>
    <s v="Pro Monde"/>
    <n v="152"/>
    <d v="1899-12-30T02:32:00"/>
    <n v="51.28"/>
    <n v="0.1"/>
    <n v="5.1280000000000001"/>
  </r>
  <r>
    <x v="8"/>
    <s v="ANT-0131"/>
    <s v="5G"/>
    <s v="Huawei"/>
    <s v="Non Résolu"/>
    <n v="57"/>
    <n v="4"/>
    <s v="B2C"/>
    <s v="Bloqué 5Go"/>
    <n v="447"/>
    <d v="1899-12-30T07:27:00"/>
    <n v="23.27"/>
    <n v="0.45"/>
    <n v="10.471500000000001"/>
  </r>
  <r>
    <x v="0"/>
    <s v="ANT-0966"/>
    <s v="3G"/>
    <s v="Nokia"/>
    <s v="Résolu"/>
    <n v="84"/>
    <n v="7"/>
    <s v="B2C"/>
    <s v="Bloqué 5Go"/>
    <n v="364"/>
    <d v="1899-12-30T06:04:00"/>
    <n v="87.79"/>
    <n v="0.45"/>
    <n v="39.505500000000005"/>
  </r>
  <r>
    <x v="17"/>
    <s v="ANT-0737"/>
    <s v="5G"/>
    <s v="Nokia"/>
    <s v="Résolu"/>
    <n v="119"/>
    <n v="9"/>
    <s v="B2C"/>
    <s v="Illimité 50Go"/>
    <n v="231"/>
    <d v="1899-12-30T03:51:00"/>
    <n v="20.22"/>
    <n v="0"/>
    <n v="0"/>
  </r>
  <r>
    <x v="11"/>
    <s v="ANT-0357"/>
    <s v="5G"/>
    <s v="Nokia"/>
    <s v="Résolu"/>
    <n v="18"/>
    <n v="1"/>
    <s v="B2C"/>
    <s v="Bloqué 5Go"/>
    <n v="446"/>
    <d v="1899-12-30T07:26:00"/>
    <n v="97.3"/>
    <n v="0.45"/>
    <n v="43.784999999999997"/>
  </r>
  <r>
    <x v="25"/>
    <s v="ANT-0515"/>
    <s v="4G"/>
    <s v="Huawei"/>
    <s v="Non Résolu"/>
    <n v="16"/>
    <n v="1"/>
    <s v="B2B"/>
    <s v="Pro Monde"/>
    <n v="214"/>
    <d v="1899-12-30T03:34:00"/>
    <n v="46.57"/>
    <n v="0.1"/>
    <n v="4.657"/>
  </r>
  <r>
    <x v="1"/>
    <s v="ANT-0551"/>
    <s v="5G"/>
    <s v="Ericsson"/>
    <s v="Résolu"/>
    <n v="73"/>
    <n v="6"/>
    <s v="B2B"/>
    <s v="Pro Monde"/>
    <n v="268"/>
    <d v="1899-12-30T04:28:00"/>
    <n v="56.86"/>
    <n v="0.45"/>
    <n v="25.587"/>
  </r>
  <r>
    <x v="24"/>
    <s v="ANT-0282"/>
    <s v="4G"/>
    <s v="Huawei"/>
    <s v="Non Résolu"/>
    <n v="63"/>
    <n v="5"/>
    <s v="B2C"/>
    <s v="Illimité 50Go"/>
    <n v="109"/>
    <d v="1899-12-30T01:49:00"/>
    <n v="10.33"/>
    <n v="0"/>
    <n v="0"/>
  </r>
  <r>
    <x v="15"/>
    <s v="ANT-0294"/>
    <s v="5G"/>
    <s v="Nokia"/>
    <s v="En Cours"/>
    <n v="6"/>
    <n v="0"/>
    <s v="B2B"/>
    <s v="Pro Monde"/>
    <n v="342"/>
    <d v="1899-12-30T05:42:00"/>
    <n v="50.55"/>
    <n v="0.45"/>
    <n v="22.747499999999999"/>
  </r>
  <r>
    <x v="9"/>
    <s v="ANT-0270"/>
    <s v="5G"/>
    <s v="Nokia"/>
    <s v="En Cours"/>
    <n v="47"/>
    <n v="3"/>
    <s v="B2C"/>
    <s v="Premium 5G 150Go"/>
    <n v="457"/>
    <d v="1899-12-30T07:37:00"/>
    <n v="84.93"/>
    <n v="0.45"/>
    <n v="38.218500000000006"/>
  </r>
  <r>
    <x v="8"/>
    <s v="ANT-0131"/>
    <s v="5G"/>
    <s v="Nokia"/>
    <s v="En Cours"/>
    <n v="110"/>
    <n v="9"/>
    <s v="B2C"/>
    <s v="Bloqué 5Go"/>
    <n v="132"/>
    <d v="1899-12-30T02:12:00"/>
    <n v="21.31"/>
    <n v="0"/>
    <n v="0"/>
  </r>
  <r>
    <x v="8"/>
    <s v="ANT-0416"/>
    <s v="3G"/>
    <s v="Huawei"/>
    <s v="Non Résolu"/>
    <n v="37"/>
    <n v="3"/>
    <s v="B2C"/>
    <s v="Premium 5G 150Go"/>
    <n v="94"/>
    <d v="1899-12-30T01:34:00"/>
    <n v="50.44"/>
    <n v="0.45"/>
    <n v="22.698"/>
  </r>
  <r>
    <x v="12"/>
    <s v="ANT-0677"/>
    <s v="4G"/>
    <s v="Huawei"/>
    <s v="Non Résolu"/>
    <n v="52"/>
    <n v="4"/>
    <s v="B2C"/>
    <s v="Premium 5G 150Go"/>
    <n v="425"/>
    <d v="1899-12-30T07:05:00"/>
    <n v="97.25"/>
    <n v="0.45"/>
    <n v="43.762500000000003"/>
  </r>
  <r>
    <x v="13"/>
    <s v="ANT-0236"/>
    <s v="3G"/>
    <s v="Huawei"/>
    <s v="Résolu"/>
    <n v="53"/>
    <n v="4"/>
    <s v="B2B"/>
    <s v="Pro Monde"/>
    <n v="27"/>
    <d v="1899-12-30T00:27:00"/>
    <n v="18.77"/>
    <n v="0.1"/>
    <n v="1.877"/>
  </r>
  <r>
    <x v="22"/>
    <s v="ANT-0194"/>
    <s v="3G"/>
    <s v="Huawei"/>
    <s v="Résolu"/>
    <n v="110"/>
    <n v="9"/>
    <s v="B2C"/>
    <s v="Illimité 50Go"/>
    <n v="47"/>
    <d v="1899-12-30T00:47:00"/>
    <n v="29.68"/>
    <n v="0"/>
    <n v="0"/>
  </r>
  <r>
    <x v="2"/>
    <s v="ANT-0715"/>
    <s v="4G"/>
    <s v="Ericsson"/>
    <s v="Résolu"/>
    <n v="80"/>
    <n v="6"/>
    <s v="B2B"/>
    <s v="Pro Monde"/>
    <n v="458"/>
    <d v="1899-12-30T07:38:00"/>
    <n v="98.11"/>
    <n v="0.45"/>
    <n v="44.149500000000003"/>
  </r>
  <r>
    <x v="6"/>
    <s v="ANT-0833"/>
    <s v="3G"/>
    <s v="ZTE"/>
    <s v="En Cours"/>
    <n v="118"/>
    <n v="9"/>
    <s v="B2C"/>
    <s v="Bloqué 5Go"/>
    <n v="461"/>
    <d v="1899-12-30T07:41:00"/>
    <n v="47.82"/>
    <n v="0.45"/>
    <n v="21.519000000000002"/>
  </r>
  <r>
    <x v="14"/>
    <s v="ANT-0430"/>
    <s v="4G"/>
    <s v="Ericsson"/>
    <s v="Résolu"/>
    <n v="88"/>
    <n v="7"/>
    <s v="B2C"/>
    <s v="Premium 5G 150Go"/>
    <n v="219"/>
    <d v="1899-12-30T03:39:00"/>
    <n v="59.15"/>
    <n v="0"/>
    <n v="0"/>
  </r>
  <r>
    <x v="5"/>
    <s v="ANT-0558"/>
    <s v="4G"/>
    <s v="Ericsson"/>
    <s v="Résolu"/>
    <n v="17"/>
    <n v="1"/>
    <s v="B2B"/>
    <s v="Pro Monde"/>
    <n v="175"/>
    <d v="1899-12-30T02:55:00"/>
    <n v="24.95"/>
    <n v="0.1"/>
    <n v="2.4950000000000001"/>
  </r>
  <r>
    <x v="18"/>
    <s v="ANT-0690"/>
    <s v="3G"/>
    <s v="ZTE"/>
    <s v="En Cours"/>
    <n v="57"/>
    <n v="4"/>
    <s v="B2C"/>
    <s v="Bloqué 5Go"/>
    <n v="493"/>
    <d v="1899-12-30T08:13:00"/>
    <n v="43.98"/>
    <n v="0.45"/>
    <n v="19.791"/>
  </r>
  <r>
    <x v="13"/>
    <s v="ANT-0236"/>
    <s v="3G"/>
    <s v="ZTE"/>
    <s v="Résolu"/>
    <n v="47"/>
    <n v="3"/>
    <s v="B2C"/>
    <s v="Illimité 50Go"/>
    <n v="385"/>
    <d v="1899-12-30T06:25:00"/>
    <n v="41.33"/>
    <n v="0.45"/>
    <n v="18.598500000000001"/>
  </r>
  <r>
    <x v="25"/>
    <s v="ANT-0515"/>
    <s v="4G"/>
    <s v="Ericsson"/>
    <s v="Non Résolu"/>
    <n v="66"/>
    <n v="5"/>
    <s v="B2B"/>
    <s v="Pro Monde"/>
    <n v="152"/>
    <d v="1899-12-30T02:32:00"/>
    <n v="95.71"/>
    <n v="0.1"/>
    <n v="9.5709999999999997"/>
  </r>
  <r>
    <x v="10"/>
    <s v="ANT-0205"/>
    <s v="4G"/>
    <s v="Huawei"/>
    <s v="Non Résolu"/>
    <n v="109"/>
    <n v="9"/>
    <s v="B2C"/>
    <s v="Illimité 50Go"/>
    <n v="84"/>
    <d v="1899-12-30T01:24:00"/>
    <n v="97.46"/>
    <n v="0"/>
    <n v="0"/>
  </r>
  <r>
    <x v="16"/>
    <s v="ANT-0701"/>
    <s v="3G"/>
    <s v="ZTE"/>
    <s v="Résolu"/>
    <n v="80"/>
    <n v="6"/>
    <s v="B2C"/>
    <s v="Illimité 50Go"/>
    <n v="101"/>
    <d v="1899-12-30T01:41:00"/>
    <n v="61.92"/>
    <n v="0"/>
    <n v="0"/>
  </r>
  <r>
    <x v="5"/>
    <s v="ANT-0543"/>
    <s v="4G"/>
    <s v="Huawei"/>
    <s v="Non Résolu"/>
    <n v="41"/>
    <n v="3"/>
    <s v="B2C"/>
    <s v="Premium 5G 150Go"/>
    <n v="178"/>
    <d v="1899-12-30T02:58:00"/>
    <n v="11.29"/>
    <n v="0.45"/>
    <n v="5.0804999999999998"/>
  </r>
  <r>
    <x v="5"/>
    <s v="ANT-0543"/>
    <s v="4G"/>
    <s v="Huawei"/>
    <s v="Non Résolu"/>
    <n v="48"/>
    <n v="4"/>
    <s v="B2C"/>
    <s v="Bloqué 5Go"/>
    <n v="482"/>
    <d v="1899-12-30T08:02:00"/>
    <n v="83.24"/>
    <n v="0.45"/>
    <n v="37.457999999999998"/>
  </r>
  <r>
    <x v="12"/>
    <s v="ANT-0677"/>
    <s v="4G"/>
    <s v="Huawei"/>
    <s v="Non Résolu"/>
    <n v="11"/>
    <n v="0"/>
    <s v="B2B"/>
    <s v="Pro Monde"/>
    <n v="214"/>
    <d v="1899-12-30T03:34:00"/>
    <n v="11.46"/>
    <n v="0.1"/>
    <n v="1.1460000000000001"/>
  </r>
  <r>
    <x v="6"/>
    <s v="ANT-0833"/>
    <s v="3G"/>
    <s v="ZTE"/>
    <s v="Non Résolu"/>
    <n v="88"/>
    <n v="7"/>
    <s v="B2C"/>
    <s v="Bloqué 5Go"/>
    <n v="246"/>
    <d v="1899-12-30T04:06:00"/>
    <n v="90.7"/>
    <n v="0.45"/>
    <n v="40.815000000000005"/>
  </r>
  <r>
    <x v="14"/>
    <s v="ANT-0430"/>
    <s v="4G"/>
    <s v="Huawei"/>
    <s v="Non Résolu"/>
    <n v="53"/>
    <n v="4"/>
    <s v="B2C"/>
    <s v="Premium 5G 150Go"/>
    <n v="243"/>
    <d v="1899-12-30T04:03:00"/>
    <n v="55.19"/>
    <n v="0.45"/>
    <n v="24.8355"/>
  </r>
  <r>
    <x v="23"/>
    <s v="ANT-0691"/>
    <s v="4G"/>
    <s v="Ericsson"/>
    <s v="Non Résolu"/>
    <n v="65"/>
    <n v="5"/>
    <s v="B2B"/>
    <s v="Pro Monde"/>
    <n v="274"/>
    <d v="1899-12-30T04:34:00"/>
    <n v="88.1"/>
    <n v="0.45"/>
    <n v="39.644999999999996"/>
  </r>
  <r>
    <x v="21"/>
    <s v="ANT-0407"/>
    <s v="5G"/>
    <s v="Nokia"/>
    <s v="En Cours"/>
    <n v="58"/>
    <n v="4"/>
    <s v="B2B"/>
    <s v="Pro Monde"/>
    <n v="352"/>
    <d v="1899-12-30T05:52:00"/>
    <n v="72.94"/>
    <n v="0.45"/>
    <n v="32.823"/>
  </r>
  <r>
    <x v="7"/>
    <s v="ANT-0794"/>
    <s v="3G"/>
    <s v="ZTE"/>
    <s v="Non Résolu"/>
    <n v="34"/>
    <n v="2"/>
    <s v="B2C"/>
    <s v="Illimité 50Go"/>
    <n v="401"/>
    <d v="1899-12-30T06:41:00"/>
    <n v="68.400000000000006"/>
    <n v="0.45"/>
    <n v="30.780000000000005"/>
  </r>
  <r>
    <x v="15"/>
    <s v="ANT-0294"/>
    <s v="5G"/>
    <s v="ZTE"/>
    <s v="Non Résolu"/>
    <n v="51"/>
    <n v="4"/>
    <s v="B2C"/>
    <s v="Illimité 50Go"/>
    <n v="152"/>
    <d v="1899-12-30T02:32:00"/>
    <n v="34.630000000000003"/>
    <n v="0"/>
    <n v="0"/>
  </r>
  <r>
    <x v="25"/>
    <s v="ANT-0515"/>
    <s v="4G"/>
    <s v="Nokia"/>
    <s v="Résolu"/>
    <n v="25"/>
    <n v="2"/>
    <s v="B2C"/>
    <s v="Bloqué 5Go"/>
    <n v="5"/>
    <d v="1899-12-30T00:05:00"/>
    <n v="27.93"/>
    <n v="0"/>
    <n v="0"/>
  </r>
  <r>
    <x v="23"/>
    <s v="ANT-0691"/>
    <s v="4G"/>
    <s v="Nokia"/>
    <s v="Résolu"/>
    <n v="79"/>
    <n v="6"/>
    <s v="B2C"/>
    <s v="Bloqué 5Go"/>
    <n v="462"/>
    <d v="1899-12-30T07:42:00"/>
    <n v="18.28"/>
    <n v="0.45"/>
    <n v="8.2260000000000009"/>
  </r>
  <r>
    <x v="16"/>
    <s v="ANT-0701"/>
    <s v="3G"/>
    <s v="ZTE"/>
    <s v="En Cours"/>
    <n v="83"/>
    <n v="6"/>
    <s v="B2B"/>
    <s v="Pro Monde"/>
    <n v="91"/>
    <d v="1899-12-30T01:31:00"/>
    <n v="73.73"/>
    <n v="0.1"/>
    <n v="7.3730000000000011"/>
  </r>
  <r>
    <x v="24"/>
    <s v="ANT-0282"/>
    <s v="4G"/>
    <s v="Nokia"/>
    <s v="Résolu"/>
    <n v="51"/>
    <n v="4"/>
    <s v="B2C"/>
    <s v="Bloqué 5Go"/>
    <n v="337"/>
    <d v="1899-12-30T05:37:00"/>
    <n v="68.67"/>
    <n v="0.45"/>
    <n v="30.901500000000002"/>
  </r>
  <r>
    <x v="14"/>
    <s v="ANT-0430"/>
    <s v="4G"/>
    <s v="Nokia"/>
    <s v="Résolu"/>
    <n v="107"/>
    <n v="8"/>
    <s v="B2C"/>
    <s v="Illimité 50Go"/>
    <n v="290"/>
    <d v="1899-12-30T04:50:00"/>
    <n v="52.03"/>
    <n v="0.45"/>
    <n v="23.413500000000003"/>
  </r>
  <r>
    <x v="9"/>
    <s v="ANT-0270"/>
    <s v="5G"/>
    <s v="ZTE"/>
    <s v="En Cours"/>
    <n v="7"/>
    <n v="0"/>
    <s v="B2B"/>
    <s v="Pro Monde"/>
    <n v="323"/>
    <d v="1899-12-30T05:23:00"/>
    <n v="82.81"/>
    <n v="0.45"/>
    <n v="37.264500000000005"/>
  </r>
  <r>
    <x v="6"/>
    <s v="ANT-0833"/>
    <s v="3G"/>
    <s v="ZTE"/>
    <s v="En Cours"/>
    <n v="103"/>
    <n v="8"/>
    <s v="B2C"/>
    <s v="Premium 5G 150Go"/>
    <n v="310"/>
    <d v="1899-12-30T05:10:00"/>
    <n v="49.25"/>
    <n v="0.45"/>
    <n v="22.162500000000001"/>
  </r>
  <r>
    <x v="14"/>
    <s v="ANT-0430"/>
    <s v="4G"/>
    <s v="ZTE"/>
    <s v="En Cours"/>
    <n v="120"/>
    <n v="10"/>
    <s v="B2C"/>
    <s v="Illimité 50Go"/>
    <n v="437"/>
    <d v="1899-12-30T07:17:00"/>
    <n v="95.17"/>
    <n v="0.45"/>
    <n v="42.826500000000003"/>
  </r>
  <r>
    <x v="4"/>
    <s v="ANT-0441"/>
    <s v="3G"/>
    <s v="ZTE"/>
    <s v="Non Résolu"/>
    <n v="74"/>
    <n v="6"/>
    <s v="B2C"/>
    <s v="Illimité 50Go"/>
    <n v="16"/>
    <d v="1899-12-30T00:16:00"/>
    <n v="93.01"/>
    <n v="0"/>
    <n v="0"/>
  </r>
  <r>
    <x v="5"/>
    <s v="ANT-0543"/>
    <s v="4G"/>
    <s v="Nokia"/>
    <s v="Résolu"/>
    <n v="55"/>
    <n v="4"/>
    <s v="B2C"/>
    <s v="Illimité 50Go"/>
    <n v="60"/>
    <d v="1899-12-30T01:00:00"/>
    <n v="32.51"/>
    <n v="0"/>
    <n v="0"/>
  </r>
  <r>
    <x v="23"/>
    <s v="ANT-0691"/>
    <s v="4G"/>
    <s v="Nokia"/>
    <s v="Résolu"/>
    <n v="17"/>
    <n v="1"/>
    <s v="B2C"/>
    <s v="Premium 5G 150Go"/>
    <n v="499"/>
    <d v="1899-12-30T08:19:00"/>
    <n v="27.81"/>
    <n v="0.45"/>
    <n v="12.5145"/>
  </r>
  <r>
    <x v="0"/>
    <s v="ANT-0966"/>
    <s v="3G"/>
    <s v="Nokia"/>
    <s v="En Cours"/>
    <n v="82"/>
    <n v="6"/>
    <s v="B2C"/>
    <s v="Illimité 50Go"/>
    <n v="175"/>
    <d v="1899-12-30T02:55:00"/>
    <n v="86.14"/>
    <n v="0"/>
    <n v="0"/>
  </r>
  <r>
    <x v="2"/>
    <s v="ANT-0715"/>
    <s v="4G"/>
    <s v="Nokia"/>
    <s v="En Cours"/>
    <n v="50"/>
    <n v="4"/>
    <s v="B2C"/>
    <s v="Illimité 50Go"/>
    <n v="177"/>
    <d v="1899-12-30T02:57:00"/>
    <n v="74.569999999999993"/>
    <n v="0"/>
    <n v="0"/>
  </r>
  <r>
    <x v="11"/>
    <s v="ANT-0110"/>
    <s v="3G"/>
    <s v="Nokia"/>
    <s v="En Cours"/>
    <n v="94"/>
    <n v="7"/>
    <s v="B2B"/>
    <s v="Pro Monde"/>
    <n v="247"/>
    <d v="1899-12-30T04:07:00"/>
    <n v="96.57"/>
    <n v="0.45"/>
    <n v="43.456499999999998"/>
  </r>
  <r>
    <x v="5"/>
    <s v="ANT-0543"/>
    <s v="4G"/>
    <s v="Nokia"/>
    <s v="En Cours"/>
    <n v="23"/>
    <n v="1"/>
    <s v="B2C"/>
    <s v="Premium 5G 150Go"/>
    <n v="314"/>
    <d v="1899-12-30T05:14:00"/>
    <n v="19.260000000000002"/>
    <n v="0.45"/>
    <n v="8.6670000000000016"/>
  </r>
  <r>
    <x v="3"/>
    <s v="ANT-0957"/>
    <s v="4G"/>
    <s v="Huawei"/>
    <s v="En Cours"/>
    <n v="52"/>
    <n v="4"/>
    <s v="B2C"/>
    <s v="Bloqué 5Go"/>
    <n v="307"/>
    <d v="1899-12-30T05:07:00"/>
    <n v="81.38"/>
    <n v="0.45"/>
    <n v="36.621000000000002"/>
  </r>
  <r>
    <x v="24"/>
    <s v="ANT-0282"/>
    <s v="4G"/>
    <s v="Huawei"/>
    <s v="En Cours"/>
    <n v="116"/>
    <n v="9"/>
    <s v="B2C"/>
    <s v="Premium 5G 150Go"/>
    <n v="279"/>
    <d v="1899-12-30T04:39:00"/>
    <n v="62.88"/>
    <n v="0.45"/>
    <n v="28.296000000000003"/>
  </r>
  <r>
    <x v="18"/>
    <s v="ANT-0690"/>
    <s v="3G"/>
    <s v="Nokia"/>
    <s v="Résolu"/>
    <n v="41"/>
    <n v="3"/>
    <s v="B2C"/>
    <s v="Bloqué 5Go"/>
    <n v="2"/>
    <d v="1899-12-30T00:02:00"/>
    <n v="24.91"/>
    <n v="0"/>
    <n v="0"/>
  </r>
  <r>
    <x v="4"/>
    <s v="ANT-0441"/>
    <s v="3G"/>
    <s v="Nokia"/>
    <s v="Résolu"/>
    <n v="67"/>
    <n v="5"/>
    <s v="B2C"/>
    <s v="Illimité 50Go"/>
    <n v="81"/>
    <d v="1899-12-30T01:21:00"/>
    <n v="28.52"/>
    <n v="0"/>
    <n v="0"/>
  </r>
  <r>
    <x v="5"/>
    <s v="ANT-0587"/>
    <s v="4G"/>
    <s v="Ericsson"/>
    <s v="Non Résolu"/>
    <n v="21"/>
    <n v="1"/>
    <s v="B2C"/>
    <s v="Bloqué 5Go"/>
    <n v="267"/>
    <d v="1899-12-30T04:27:00"/>
    <n v="74.989999999999995"/>
    <n v="0.45"/>
    <n v="33.7455"/>
  </r>
  <r>
    <x v="15"/>
    <s v="ANT-0066"/>
    <s v="5G"/>
    <s v="Ericsson"/>
    <s v="Non Résolu"/>
    <n v="56"/>
    <n v="4"/>
    <s v="B2C"/>
    <s v="Bloqué 5Go"/>
    <n v="379"/>
    <d v="1899-12-30T06:19:00"/>
    <n v="49.01"/>
    <n v="0.45"/>
    <n v="22.054500000000001"/>
  </r>
  <r>
    <x v="20"/>
    <s v="ANT-0839"/>
    <s v="4G"/>
    <s v="ZTE"/>
    <s v="Résolu"/>
    <n v="30"/>
    <n v="2"/>
    <s v="B2C"/>
    <s v="Bloqué 5Go"/>
    <n v="130"/>
    <d v="1899-12-30T02:10:00"/>
    <n v="50.15"/>
    <n v="0"/>
    <n v="0"/>
  </r>
  <r>
    <x v="10"/>
    <s v="ANT-0205"/>
    <s v="4G"/>
    <s v="ZTE"/>
    <s v="Résolu"/>
    <n v="13"/>
    <n v="1"/>
    <s v="B2B"/>
    <s v="Pro Monde"/>
    <n v="474"/>
    <d v="1899-12-30T07:54:00"/>
    <n v="63.67"/>
    <n v="0.45"/>
    <n v="28.651500000000002"/>
  </r>
  <r>
    <x v="19"/>
    <s v="ANT-0533"/>
    <s v="3G"/>
    <s v="Nokia"/>
    <s v="En Cours"/>
    <n v="91"/>
    <n v="7"/>
    <s v="B2C"/>
    <s v="Bloqué 5Go"/>
    <n v="62"/>
    <d v="1899-12-30T01:02:00"/>
    <n v="34.450000000000003"/>
    <n v="0"/>
    <n v="0"/>
  </r>
  <r>
    <x v="1"/>
    <s v="ANT-0081"/>
    <s v="4G"/>
    <s v="Ericsson"/>
    <s v="Non Résolu"/>
    <n v="103"/>
    <n v="8"/>
    <s v="B2C"/>
    <s v="Bloqué 5Go"/>
    <n v="98"/>
    <d v="1899-12-30T01:38:00"/>
    <n v="38.69"/>
    <n v="0"/>
    <n v="0"/>
  </r>
  <r>
    <x v="19"/>
    <s v="ANT-0533"/>
    <s v="3G"/>
    <s v="Nokia"/>
    <s v="Résolu"/>
    <n v="17"/>
    <n v="1"/>
    <s v="B2C"/>
    <s v="Illimité 50Go"/>
    <n v="310"/>
    <d v="1899-12-30T05:10:00"/>
    <n v="19.68"/>
    <n v="0.45"/>
    <n v="8.8559999999999999"/>
  </r>
  <r>
    <x v="10"/>
    <s v="ANT-0205"/>
    <s v="4G"/>
    <s v="ZTE"/>
    <s v="Non Résolu"/>
    <n v="65"/>
    <n v="5"/>
    <s v="B2C"/>
    <s v="Premium 5G 150Go"/>
    <n v="15"/>
    <d v="1899-12-30T00:15:00"/>
    <n v="44.47"/>
    <n v="0"/>
    <n v="0"/>
  </r>
  <r>
    <x v="5"/>
    <s v="ANT-0587"/>
    <s v="4G"/>
    <s v="ZTE"/>
    <s v="Non Résolu"/>
    <n v="16"/>
    <n v="1"/>
    <s v="B2C"/>
    <s v="Premium 5G 150Go"/>
    <n v="274"/>
    <d v="1899-12-30T04:34:00"/>
    <n v="27.97"/>
    <n v="0.45"/>
    <n v="12.586499999999999"/>
  </r>
  <r>
    <x v="0"/>
    <s v="ANT-0966"/>
    <s v="3G"/>
    <s v="Nokia"/>
    <s v="Résolu"/>
    <n v="81"/>
    <n v="6"/>
    <s v="B2C"/>
    <s v="Illimité 50Go"/>
    <n v="11"/>
    <d v="1899-12-30T00:11:00"/>
    <n v="41.76"/>
    <n v="0"/>
    <n v="0"/>
  </r>
  <r>
    <x v="1"/>
    <s v="ANT-0081"/>
    <s v="4G"/>
    <s v="ZTE"/>
    <s v="Non Résolu"/>
    <n v="74"/>
    <n v="6"/>
    <s v="B2C"/>
    <s v="Bloqué 5Go"/>
    <n v="265"/>
    <d v="1899-12-30T04:25:00"/>
    <n v="90.81"/>
    <n v="0.45"/>
    <n v="40.8645"/>
  </r>
  <r>
    <x v="15"/>
    <s v="ANT-0066"/>
    <s v="5G"/>
    <s v="Ericsson"/>
    <s v="Résolu"/>
    <n v="101"/>
    <n v="8"/>
    <s v="B2C"/>
    <s v="Bloqué 5Go"/>
    <n v="262"/>
    <d v="1899-12-30T04:22:00"/>
    <n v="83.74"/>
    <n v="0.45"/>
    <n v="37.683"/>
  </r>
  <r>
    <x v="18"/>
    <s v="ANT-0690"/>
    <s v="3G"/>
    <s v="Nokia"/>
    <s v="Non Résolu"/>
    <n v="51"/>
    <n v="4"/>
    <s v="B2B"/>
    <s v="Pro Monde"/>
    <n v="389"/>
    <d v="1899-12-30T06:29:00"/>
    <n v="50.45"/>
    <n v="0.45"/>
    <n v="22.702500000000001"/>
  </r>
  <r>
    <x v="0"/>
    <s v="ANT-0966"/>
    <s v="3G"/>
    <s v="Nokia"/>
    <s v="Non Résolu"/>
    <n v="108"/>
    <n v="9"/>
    <s v="B2C"/>
    <s v="Premium 5G 150Go"/>
    <n v="78"/>
    <d v="1899-12-30T01:18:00"/>
    <n v="90.05"/>
    <n v="0"/>
    <n v="0"/>
  </r>
  <r>
    <x v="17"/>
    <s v="ANT-0737"/>
    <s v="5G"/>
    <s v="Nokia"/>
    <s v="Non Résolu"/>
    <n v="98"/>
    <n v="8"/>
    <s v="B2C"/>
    <s v="Illimité 50Go"/>
    <n v="110"/>
    <d v="1899-12-30T01:50:00"/>
    <n v="96.23"/>
    <n v="0"/>
    <n v="0"/>
  </r>
  <r>
    <x v="18"/>
    <s v="ANT-0690"/>
    <s v="3G"/>
    <s v="Nokia"/>
    <s v="Non Résolu"/>
    <n v="81"/>
    <n v="6"/>
    <s v="B2B"/>
    <s v="Pro Monde"/>
    <n v="443"/>
    <d v="1899-12-30T07:23:00"/>
    <n v="32.78"/>
    <n v="0.45"/>
    <n v="14.751000000000001"/>
  </r>
  <r>
    <x v="18"/>
    <s v="ANT-0690"/>
    <s v="3G"/>
    <s v="Nokia"/>
    <s v="Non Résolu"/>
    <n v="118"/>
    <n v="9"/>
    <s v="B2C"/>
    <s v="Bloqué 5Go"/>
    <n v="186"/>
    <d v="1899-12-30T03:06:00"/>
    <n v="46.88"/>
    <n v="0"/>
    <n v="0"/>
  </r>
  <r>
    <x v="13"/>
    <s v="ANT-0056"/>
    <s v="4G"/>
    <s v="ZTE"/>
    <s v="En Cours"/>
    <n v="34"/>
    <n v="2"/>
    <s v="B2B"/>
    <s v="Pro Monde"/>
    <n v="58"/>
    <d v="1899-12-30T00:58:00"/>
    <n v="64.349999999999994"/>
    <n v="0.1"/>
    <n v="6.4349999999999996"/>
  </r>
  <r>
    <x v="5"/>
    <s v="ANT-0587"/>
    <s v="4G"/>
    <s v="ZTE"/>
    <s v="En Cours"/>
    <n v="108"/>
    <n v="9"/>
    <s v="B2C"/>
    <s v="Bloqué 5Go"/>
    <n v="460"/>
    <d v="1899-12-30T07:40:00"/>
    <n v="88.95"/>
    <n v="0.45"/>
    <n v="40.027500000000003"/>
  </r>
  <r>
    <x v="4"/>
    <s v="ANT-0745"/>
    <s v="5G"/>
    <s v="ZTE"/>
    <s v="En Cours"/>
    <n v="71"/>
    <n v="5"/>
    <s v="B2B"/>
    <s v="Pro Monde"/>
    <n v="111"/>
    <d v="1899-12-30T01:51:00"/>
    <n v="95.53"/>
    <n v="0.1"/>
    <n v="9.5530000000000008"/>
  </r>
  <r>
    <x v="20"/>
    <s v="ANT-0839"/>
    <s v="4G"/>
    <s v="ZTE"/>
    <s v="En Cours"/>
    <n v="21"/>
    <n v="1"/>
    <s v="B2C"/>
    <s v="Bloqué 5Go"/>
    <n v="15"/>
    <d v="1899-12-30T00:15:00"/>
    <n v="57.74"/>
    <n v="0"/>
    <n v="0"/>
  </r>
  <r>
    <x v="3"/>
    <s v="ANT-0957"/>
    <s v="4G"/>
    <s v="ZTE"/>
    <s v="En Cours"/>
    <n v="42"/>
    <n v="3"/>
    <s v="B2B"/>
    <s v="Pro Monde"/>
    <n v="167"/>
    <d v="1899-12-30T02:47:00"/>
    <n v="45.85"/>
    <n v="0.1"/>
    <n v="4.585"/>
  </r>
  <r>
    <x v="8"/>
    <s v="ANT-0416"/>
    <s v="3G"/>
    <s v="Huawei"/>
    <s v="Résolu"/>
    <n v="27"/>
    <n v="2"/>
    <s v="B2C"/>
    <s v="Bloqué 5Go"/>
    <n v="70"/>
    <d v="1899-12-30T01:10:00"/>
    <n v="20.32"/>
    <n v="0"/>
    <n v="0"/>
  </r>
  <r>
    <x v="21"/>
    <s v="ANT-0407"/>
    <s v="5G"/>
    <s v="ZTE"/>
    <s v="Non Résolu"/>
    <n v="12"/>
    <n v="1"/>
    <s v="B2C"/>
    <s v="Illimité 50Go"/>
    <n v="112"/>
    <d v="1899-12-30T01:52:00"/>
    <n v="82.81"/>
    <n v="0"/>
    <n v="0"/>
  </r>
  <r>
    <x v="21"/>
    <s v="ANT-0407"/>
    <s v="5G"/>
    <s v="ZTE"/>
    <s v="Non Résolu"/>
    <n v="12"/>
    <n v="1"/>
    <s v="B2B"/>
    <s v="Pro Monde"/>
    <n v="42"/>
    <d v="1899-12-30T00:42:00"/>
    <n v="48.64"/>
    <n v="0.1"/>
    <n v="4.8640000000000008"/>
  </r>
  <r>
    <x v="7"/>
    <s v="ANT-0794"/>
    <s v="3G"/>
    <s v="Huawei"/>
    <s v="Résolu"/>
    <n v="4"/>
    <n v="0"/>
    <s v="B2B"/>
    <s v="Pro Monde"/>
    <n v="372"/>
    <d v="1899-12-30T06:12:00"/>
    <n v="26.73"/>
    <n v="0.45"/>
    <n v="12.028500000000001"/>
  </r>
  <r>
    <x v="22"/>
    <s v="ANT-0607"/>
    <s v="4G"/>
    <s v="Nokia"/>
    <s v="Non Résolu"/>
    <n v="56"/>
    <n v="4"/>
    <s v="B2C"/>
    <s v="Premium 5G 150Go"/>
    <n v="354"/>
    <d v="1899-12-30T05:54:00"/>
    <n v="32.08"/>
    <n v="0.45"/>
    <n v="14.436"/>
  </r>
  <r>
    <x v="0"/>
    <s v="ANT-0966"/>
    <s v="3G"/>
    <s v="Huawei"/>
    <s v="Résolu"/>
    <n v="2"/>
    <n v="0"/>
    <s v="B2B"/>
    <s v="Pro Monde"/>
    <n v="481"/>
    <d v="1899-12-30T08:01:00"/>
    <n v="29.37"/>
    <n v="0.45"/>
    <n v="13.2165"/>
  </r>
  <r>
    <x v="15"/>
    <s v="ANT-0066"/>
    <s v="5G"/>
    <s v="Nokia"/>
    <s v="Non Résolu"/>
    <n v="81"/>
    <n v="6"/>
    <s v="B2C"/>
    <s v="Illimité 50Go"/>
    <n v="64"/>
    <d v="1899-12-30T01:04:00"/>
    <n v="43.45"/>
    <n v="0"/>
    <n v="0"/>
  </r>
  <r>
    <x v="16"/>
    <s v="ANT-0701"/>
    <s v="3G"/>
    <s v="Nokia"/>
    <s v="Non Résolu"/>
    <n v="99"/>
    <n v="8"/>
    <s v="B2C"/>
    <s v="Illimité 50Go"/>
    <n v="137"/>
    <d v="1899-12-30T02:17:00"/>
    <n v="23.05"/>
    <n v="0"/>
    <n v="0"/>
  </r>
  <r>
    <x v="10"/>
    <s v="ANT-0205"/>
    <s v="4G"/>
    <s v="Nokia"/>
    <s v="Non Résolu"/>
    <n v="18"/>
    <n v="1"/>
    <s v="B2B"/>
    <s v="Pro Monde"/>
    <n v="75"/>
    <d v="1899-12-30T01:15:00"/>
    <n v="57.66"/>
    <n v="0.1"/>
    <n v="5.766"/>
  </r>
  <r>
    <x v="18"/>
    <s v="ANT-0690"/>
    <s v="3G"/>
    <s v="Nokia"/>
    <s v="Non Résolu"/>
    <n v="14"/>
    <n v="1"/>
    <s v="B2B"/>
    <s v="Pro Monde"/>
    <n v="236"/>
    <d v="1899-12-30T03:56:00"/>
    <n v="54.43"/>
    <n v="0.1"/>
    <n v="5.4430000000000005"/>
  </r>
  <r>
    <x v="2"/>
    <s v="ANT-0837"/>
    <s v="5G"/>
    <s v="ZTE"/>
    <s v="Non Résolu"/>
    <n v="42"/>
    <n v="3"/>
    <s v="B2C"/>
    <s v="Bloqué 5Go"/>
    <n v="448"/>
    <d v="1899-12-30T07:28:00"/>
    <n v="49.02"/>
    <n v="0.45"/>
    <n v="22.059000000000001"/>
  </r>
  <r>
    <x v="5"/>
    <s v="ANT-0587"/>
    <s v="4G"/>
    <s v="Nokia"/>
    <s v="En Cours"/>
    <n v="111"/>
    <n v="9"/>
    <s v="B2C"/>
    <s v="Illimité 50Go"/>
    <n v="54"/>
    <d v="1899-12-30T00:54:00"/>
    <n v="71.3"/>
    <n v="0"/>
    <n v="0"/>
  </r>
  <r>
    <x v="22"/>
    <s v="ANT-0607"/>
    <s v="4G"/>
    <s v="Ericsson"/>
    <s v="Résolu"/>
    <n v="89"/>
    <n v="7"/>
    <s v="B2B"/>
    <s v="Pro Monde"/>
    <n v="381"/>
    <d v="1899-12-30T06:21:00"/>
    <n v="68.17"/>
    <n v="0.45"/>
    <n v="30.676500000000001"/>
  </r>
  <r>
    <x v="18"/>
    <s v="ANT-0690"/>
    <s v="3G"/>
    <s v="Huawei"/>
    <s v="En Cours"/>
    <n v="93"/>
    <n v="7"/>
    <s v="B2B"/>
    <s v="Pro Monde"/>
    <n v="56"/>
    <d v="1899-12-30T00:56:00"/>
    <n v="96.31"/>
    <n v="0.1"/>
    <n v="9.6310000000000002"/>
  </r>
  <r>
    <x v="23"/>
    <s v="ANT-0185"/>
    <s v="5G"/>
    <s v="ZTE"/>
    <s v="Non Résolu"/>
    <n v="56"/>
    <n v="4"/>
    <s v="B2C"/>
    <s v="Premium 5G 150Go"/>
    <n v="123"/>
    <d v="1899-12-30T02:03:00"/>
    <n v="29.76"/>
    <n v="0.45"/>
    <n v="13.392000000000001"/>
  </r>
  <r>
    <x v="10"/>
    <s v="ANT-0205"/>
    <s v="4G"/>
    <s v="Ericsson"/>
    <s v="Résolu"/>
    <n v="29"/>
    <n v="2"/>
    <s v="B2C"/>
    <s v="Premium 5G 150Go"/>
    <n v="8"/>
    <d v="1899-12-30T00:08:00"/>
    <n v="14.78"/>
    <n v="0.45"/>
    <n v="6.6509999999999998"/>
  </r>
  <r>
    <x v="13"/>
    <s v="ANT-0056"/>
    <s v="4G"/>
    <s v="Ericsson"/>
    <s v="Résolu"/>
    <n v="22"/>
    <n v="1"/>
    <s v="B2B"/>
    <s v="Pro Monde"/>
    <n v="457"/>
    <d v="1899-12-30T07:37:00"/>
    <n v="13.21"/>
    <n v="0.45"/>
    <n v="5.9445000000000006"/>
  </r>
  <r>
    <x v="24"/>
    <s v="ANT-0564"/>
    <s v="5G"/>
    <s v="Huawei"/>
    <s v="En Cours"/>
    <n v="12"/>
    <n v="1"/>
    <s v="B2C"/>
    <s v="Illimité 50Go"/>
    <n v="235"/>
    <d v="1899-12-30T03:55:00"/>
    <n v="33.96"/>
    <n v="0"/>
    <n v="0"/>
  </r>
  <r>
    <x v="17"/>
    <s v="ANT-0737"/>
    <s v="5G"/>
    <s v="Huawei"/>
    <s v="En Cours"/>
    <n v="25"/>
    <n v="2"/>
    <s v="B2C"/>
    <s v="Bloqué 5Go"/>
    <n v="95"/>
    <d v="1899-12-30T01:35:00"/>
    <n v="15.93"/>
    <n v="0"/>
    <n v="0"/>
  </r>
  <r>
    <x v="16"/>
    <s v="ANT-0578"/>
    <s v="5G"/>
    <s v="Huawei"/>
    <s v="En Cours"/>
    <n v="93"/>
    <n v="7"/>
    <s v="B2C"/>
    <s v="Premium 5G 150Go"/>
    <n v="136"/>
    <d v="1899-12-30T02:16:00"/>
    <n v="19.09"/>
    <n v="0"/>
    <n v="0"/>
  </r>
  <r>
    <x v="20"/>
    <s v="ANT-0839"/>
    <s v="4G"/>
    <s v="Nokia"/>
    <s v="Non Résolu"/>
    <n v="116"/>
    <n v="9"/>
    <s v="B2C"/>
    <s v="Premium 5G 150Go"/>
    <n v="14"/>
    <d v="1899-12-30T00:14:00"/>
    <n v="30.38"/>
    <n v="0"/>
    <n v="0"/>
  </r>
  <r>
    <x v="17"/>
    <s v="ANT-0737"/>
    <s v="5G"/>
    <s v="ZTE"/>
    <s v="Non Résolu"/>
    <n v="104"/>
    <n v="8"/>
    <s v="B2C"/>
    <s v="Bloqué 5Go"/>
    <n v="243"/>
    <d v="1899-12-30T04:03:00"/>
    <n v="65.819999999999993"/>
    <n v="0.45"/>
    <n v="29.618999999999996"/>
  </r>
  <r>
    <x v="21"/>
    <s v="ANT-0117"/>
    <s v="4G"/>
    <s v="Nokia"/>
    <s v="Non Résolu"/>
    <n v="48"/>
    <n v="4"/>
    <s v="B2C"/>
    <s v="Premium 5G 150Go"/>
    <n v="338"/>
    <d v="1899-12-30T05:38:00"/>
    <n v="74.42"/>
    <n v="0.45"/>
    <n v="33.489000000000004"/>
  </r>
  <r>
    <x v="2"/>
    <s v="ANT-0837"/>
    <s v="5G"/>
    <s v="ZTE"/>
    <s v="Non Résolu"/>
    <n v="105"/>
    <n v="8"/>
    <s v="B2C"/>
    <s v="Illimité 50Go"/>
    <n v="271"/>
    <d v="1899-12-30T04:31:00"/>
    <n v="45.27"/>
    <n v="0.45"/>
    <n v="20.371500000000001"/>
  </r>
  <r>
    <x v="18"/>
    <s v="ANT-0690"/>
    <s v="3G"/>
    <s v="Nokia"/>
    <s v="Non Résolu"/>
    <n v="116"/>
    <n v="9"/>
    <s v="B2C"/>
    <s v="Illimité 50Go"/>
    <n v="231"/>
    <d v="1899-12-30T03:51:00"/>
    <n v="19.12"/>
    <n v="0"/>
    <n v="0"/>
  </r>
  <r>
    <x v="12"/>
    <s v="ANT-0843"/>
    <s v="5G"/>
    <s v="ZTE"/>
    <s v="Non Résolu"/>
    <n v="69"/>
    <n v="5"/>
    <s v="B2C"/>
    <s v="Bloqué 5Go"/>
    <n v="180"/>
    <d v="1899-12-30T03:00:00"/>
    <n v="76.05"/>
    <n v="0"/>
    <n v="0"/>
  </r>
  <r>
    <x v="6"/>
    <s v="ANT-0775"/>
    <s v="3G"/>
    <s v="Nokia"/>
    <s v="Non Résolu"/>
    <n v="1"/>
    <n v="0"/>
    <s v="B2C"/>
    <s v="Bloqué 5Go"/>
    <n v="135"/>
    <d v="1899-12-30T02:15:00"/>
    <n v="89.16"/>
    <n v="0"/>
    <n v="0"/>
  </r>
  <r>
    <x v="14"/>
    <s v="ANT-0524"/>
    <s v="4G"/>
    <s v="Ericsson"/>
    <s v="Non Résolu"/>
    <n v="120"/>
    <n v="10"/>
    <s v="B2B"/>
    <s v="Pro Monde"/>
    <n v="60"/>
    <d v="1899-12-30T01:00:00"/>
    <n v="34.14"/>
    <n v="0.1"/>
    <n v="3.4140000000000001"/>
  </r>
  <r>
    <x v="5"/>
    <s v="ANT-0587"/>
    <s v="4G"/>
    <s v="Huawei"/>
    <s v="Résolu"/>
    <n v="89"/>
    <n v="7"/>
    <s v="B2C"/>
    <s v="Bloqué 5Go"/>
    <n v="474"/>
    <d v="1899-12-30T07:54:00"/>
    <n v="28.51"/>
    <n v="0.45"/>
    <n v="12.829500000000001"/>
  </r>
  <r>
    <x v="0"/>
    <s v="ANT-0966"/>
    <s v="3G"/>
    <s v="Nokia"/>
    <s v="Non Résolu"/>
    <n v="112"/>
    <n v="9"/>
    <s v="B2C"/>
    <s v="Illimité 50Go"/>
    <n v="281"/>
    <d v="1899-12-30T04:41:00"/>
    <n v="80.72"/>
    <n v="0.45"/>
    <n v="36.323999999999998"/>
  </r>
  <r>
    <x v="3"/>
    <s v="ANT-0957"/>
    <s v="4G"/>
    <s v="Huawei"/>
    <s v="Résolu"/>
    <n v="7"/>
    <n v="0"/>
    <s v="B2C"/>
    <s v="Bloqué 5Go"/>
    <n v="43"/>
    <d v="1899-12-30T00:43:00"/>
    <n v="41.29"/>
    <n v="0"/>
    <n v="0"/>
  </r>
  <r>
    <x v="10"/>
    <s v="ANT-0276"/>
    <s v="4G"/>
    <s v="Huawei"/>
    <s v="Résolu"/>
    <n v="34"/>
    <n v="2"/>
    <s v="B2C"/>
    <s v="Illimité 50Go"/>
    <n v="181"/>
    <d v="1899-12-30T03:01:00"/>
    <n v="35.92"/>
    <n v="0"/>
    <n v="0"/>
  </r>
  <r>
    <x v="19"/>
    <s v="ANT-0533"/>
    <s v="3G"/>
    <s v="Nokia"/>
    <s v="Non Résolu"/>
    <n v="114"/>
    <n v="9"/>
    <s v="B2B"/>
    <s v="Pro Monde"/>
    <n v="220"/>
    <d v="1899-12-30T03:40:00"/>
    <n v="63.67"/>
    <n v="0.1"/>
    <n v="6.3670000000000009"/>
  </r>
  <r>
    <x v="21"/>
    <s v="ANT-0143"/>
    <s v="4G"/>
    <s v="Huawei"/>
    <s v="Non Résolu"/>
    <n v="101"/>
    <n v="8"/>
    <s v="B2B"/>
    <s v="Pro Monde"/>
    <n v="108"/>
    <d v="1899-12-30T01:48:00"/>
    <n v="76.05"/>
    <n v="0.1"/>
    <n v="7.6050000000000004"/>
  </r>
  <r>
    <x v="25"/>
    <s v="ANT-0869"/>
    <s v="5G"/>
    <s v="Ericsson"/>
    <s v="Non Résolu"/>
    <n v="6"/>
    <n v="0"/>
    <s v="B2C"/>
    <s v="Illimité 50Go"/>
    <n v="77"/>
    <d v="1899-12-30T01:17:00"/>
    <n v="18.48"/>
    <n v="0"/>
    <n v="0"/>
  </r>
  <r>
    <x v="4"/>
    <s v="ANT-0745"/>
    <s v="5G"/>
    <s v="Ericsson"/>
    <s v="Non Résolu"/>
    <n v="15"/>
    <n v="1"/>
    <s v="B2B"/>
    <s v="Pro Monde"/>
    <n v="203"/>
    <d v="1899-12-30T03:23:00"/>
    <n v="55.29"/>
    <n v="0.1"/>
    <n v="5.5289999999999999"/>
  </r>
  <r>
    <x v="24"/>
    <s v="ANT-0282"/>
    <s v="4G"/>
    <s v="Huawei"/>
    <s v="Non Résolu"/>
    <n v="7"/>
    <n v="0"/>
    <s v="B2C"/>
    <s v="Bloqué 5Go"/>
    <n v="257"/>
    <d v="1899-12-30T04:17:00"/>
    <n v="73.040000000000006"/>
    <n v="0.45"/>
    <n v="32.868000000000002"/>
  </r>
  <r>
    <x v="12"/>
    <s v="ANT-0843"/>
    <s v="5G"/>
    <s v="ZTE"/>
    <s v="En Cours"/>
    <n v="39"/>
    <n v="3"/>
    <s v="B2C"/>
    <s v="Premium 5G 150Go"/>
    <n v="220"/>
    <d v="1899-12-30T03:40:00"/>
    <n v="52.91"/>
    <n v="0.45"/>
    <n v="23.8095"/>
  </r>
  <r>
    <x v="16"/>
    <s v="ANT-0988"/>
    <s v="5G"/>
    <s v="ZTE"/>
    <s v="En Cours"/>
    <n v="10"/>
    <n v="0"/>
    <s v="B2C"/>
    <s v="Illimité 50Go"/>
    <n v="260"/>
    <d v="1899-12-30T04:20:00"/>
    <n v="37.479999999999997"/>
    <n v="0.45"/>
    <n v="16.866"/>
  </r>
  <r>
    <x v="25"/>
    <s v="ANT-0869"/>
    <s v="5G"/>
    <s v="ZTE"/>
    <s v="En Cours"/>
    <n v="34"/>
    <n v="2"/>
    <s v="B2C"/>
    <s v="Premium 5G 150Go"/>
    <n v="170"/>
    <d v="1899-12-30T02:50:00"/>
    <n v="91.6"/>
    <n v="0.45"/>
    <n v="41.22"/>
  </r>
  <r>
    <x v="21"/>
    <s v="ANT-0143"/>
    <s v="4G"/>
    <s v="Huawei"/>
    <s v="Non Résolu"/>
    <n v="43"/>
    <n v="3"/>
    <s v="B2C"/>
    <s v="Premium 5G 150Go"/>
    <n v="27"/>
    <d v="1899-12-30T00:27:00"/>
    <n v="31.48"/>
    <n v="0.45"/>
    <n v="14.166"/>
  </r>
  <r>
    <x v="6"/>
    <s v="ANT-0775"/>
    <s v="3G"/>
    <s v="ZTE"/>
    <s v="En Cours"/>
    <n v="89"/>
    <n v="7"/>
    <s v="B2B"/>
    <s v="Pro Monde"/>
    <n v="225"/>
    <d v="1899-12-30T03:45:00"/>
    <n v="38.36"/>
    <n v="0.1"/>
    <n v="3.8360000000000003"/>
  </r>
  <r>
    <x v="8"/>
    <s v="ANT-0419"/>
    <s v="3G"/>
    <s v="ZTE"/>
    <s v="En Cours"/>
    <n v="79"/>
    <n v="6"/>
    <s v="B2C"/>
    <s v="Illimité 50Go"/>
    <n v="139"/>
    <d v="1899-12-30T02:19:00"/>
    <n v="16.25"/>
    <n v="0"/>
    <n v="0"/>
  </r>
  <r>
    <x v="17"/>
    <s v="ANT-0737"/>
    <s v="5G"/>
    <s v="ZTE"/>
    <s v="En Cours"/>
    <n v="102"/>
    <n v="8"/>
    <s v="B2C"/>
    <s v="Bloqué 5Go"/>
    <n v="189"/>
    <d v="1899-12-30T03:09:00"/>
    <n v="26.86"/>
    <n v="0"/>
    <n v="0"/>
  </r>
  <r>
    <x v="24"/>
    <s v="ANT-0282"/>
    <s v="4G"/>
    <s v="Huawei"/>
    <s v="Non Résolu"/>
    <n v="104"/>
    <n v="8"/>
    <s v="B2C"/>
    <s v="Illimité 50Go"/>
    <n v="50"/>
    <d v="1899-12-30T00:50:00"/>
    <n v="90.99"/>
    <n v="0"/>
    <n v="0"/>
  </r>
  <r>
    <x v="10"/>
    <s v="ANT-0276"/>
    <s v="4G"/>
    <s v="Huawei"/>
    <s v="Non Résolu"/>
    <n v="49"/>
    <n v="4"/>
    <s v="B2C"/>
    <s v="Illimité 50Go"/>
    <n v="25"/>
    <d v="1899-12-30T00:25:00"/>
    <n v="22.77"/>
    <n v="0"/>
    <n v="0"/>
  </r>
  <r>
    <x v="11"/>
    <s v="ANT-0357"/>
    <s v="5G"/>
    <s v="ZTE"/>
    <s v="Résolu"/>
    <n v="35"/>
    <n v="2"/>
    <s v="B2C"/>
    <s v="Premium 5G 150Go"/>
    <n v="332"/>
    <d v="1899-12-30T05:32:00"/>
    <n v="11.15"/>
    <n v="0.45"/>
    <n v="5.0175000000000001"/>
  </r>
  <r>
    <x v="23"/>
    <s v="ANT-0248"/>
    <s v="4G"/>
    <s v="Huawei"/>
    <s v="En Cours"/>
    <n v="90"/>
    <n v="7"/>
    <s v="B2B"/>
    <s v="Pro Monde"/>
    <n v="195"/>
    <d v="1899-12-30T03:15:00"/>
    <n v="52.71"/>
    <n v="0.1"/>
    <n v="5.2710000000000008"/>
  </r>
  <r>
    <x v="6"/>
    <s v="ANT-0775"/>
    <s v="3G"/>
    <s v="ZTE"/>
    <s v="Non Résolu"/>
    <n v="22"/>
    <n v="1"/>
    <s v="B2B"/>
    <s v="Pro Monde"/>
    <n v="374"/>
    <d v="1899-12-30T06:14:00"/>
    <n v="40.06"/>
    <n v="0.45"/>
    <n v="18.027000000000001"/>
  </r>
  <r>
    <x v="2"/>
    <s v="ANT-0837"/>
    <s v="5G"/>
    <s v="ZTE"/>
    <s v="Non Résolu"/>
    <n v="119"/>
    <n v="9"/>
    <s v="B2C"/>
    <s v="Illimité 50Go"/>
    <n v="475"/>
    <d v="1899-12-30T07:55:00"/>
    <n v="25.98"/>
    <n v="0.45"/>
    <n v="11.691000000000001"/>
  </r>
  <r>
    <x v="14"/>
    <s v="ANT-0524"/>
    <s v="4G"/>
    <s v="Huawei"/>
    <s v="En Cours"/>
    <n v="18"/>
    <n v="1"/>
    <s v="B2B"/>
    <s v="Pro Monde"/>
    <n v="216"/>
    <d v="1899-12-30T03:36:00"/>
    <n v="33.74"/>
    <n v="0.1"/>
    <n v="3.3740000000000006"/>
  </r>
  <r>
    <x v="4"/>
    <s v="ANT-0557"/>
    <s v="3G"/>
    <s v="ZTE"/>
    <s v="Non Résolu"/>
    <n v="75"/>
    <n v="6"/>
    <s v="B2C"/>
    <s v="Illimité 50Go"/>
    <n v="99"/>
    <d v="1899-12-30T01:39:00"/>
    <n v="16.93"/>
    <n v="0"/>
    <n v="0"/>
  </r>
  <r>
    <x v="8"/>
    <s v="ANT-0714"/>
    <s v="3G"/>
    <s v="ZTE"/>
    <s v="En Cours"/>
    <n v="59"/>
    <n v="4"/>
    <s v="B2C"/>
    <s v="Bloqué 5Go"/>
    <n v="150"/>
    <d v="1899-12-30T02:30:00"/>
    <n v="71.13"/>
    <n v="0"/>
    <n v="0"/>
  </r>
  <r>
    <x v="14"/>
    <s v="ANT-0524"/>
    <s v="4G"/>
    <s v="Huawei"/>
    <s v="En Cours"/>
    <n v="16"/>
    <n v="1"/>
    <s v="B2C"/>
    <s v="Premium 5G 150Go"/>
    <n v="96"/>
    <d v="1899-12-30T01:36:00"/>
    <n v="86.78"/>
    <n v="0.45"/>
    <n v="39.051000000000002"/>
  </r>
  <r>
    <x v="18"/>
    <s v="ANT-0964"/>
    <s v="5G"/>
    <s v="ZTE"/>
    <s v="En Cours"/>
    <n v="17"/>
    <n v="1"/>
    <s v="B2B"/>
    <s v="Pro Monde"/>
    <n v="206"/>
    <d v="1899-12-30T03:26:00"/>
    <n v="63.46"/>
    <n v="0.1"/>
    <n v="6.3460000000000001"/>
  </r>
  <r>
    <x v="15"/>
    <s v="ANT-0066"/>
    <s v="5G"/>
    <s v="ZTE"/>
    <s v="Non Résolu"/>
    <n v="41"/>
    <n v="3"/>
    <s v="B2C"/>
    <s v="Illimité 50Go"/>
    <n v="90"/>
    <d v="1899-12-30T01:30:00"/>
    <n v="97.26"/>
    <n v="0"/>
    <n v="0"/>
  </r>
  <r>
    <x v="17"/>
    <s v="ANT-0737"/>
    <s v="5G"/>
    <s v="ZTE"/>
    <s v="Non Résolu"/>
    <n v="111"/>
    <n v="9"/>
    <s v="B2C"/>
    <s v="Premium 5G 150Go"/>
    <n v="304"/>
    <d v="1899-12-30T05:04:00"/>
    <n v="62.48"/>
    <n v="0.45"/>
    <n v="28.116"/>
  </r>
  <r>
    <x v="18"/>
    <s v="ANT-0964"/>
    <s v="5G"/>
    <s v="ZTE"/>
    <s v="Non Résolu"/>
    <n v="19"/>
    <n v="1"/>
    <s v="B2C"/>
    <s v="Bloqué 5Go"/>
    <n v="141"/>
    <d v="1899-12-30T02:21:00"/>
    <n v="53.95"/>
    <n v="0"/>
    <n v="0"/>
  </r>
  <r>
    <x v="3"/>
    <s v="ANT-0957"/>
    <s v="4G"/>
    <s v="Huawei"/>
    <s v="Résolu"/>
    <n v="20"/>
    <n v="1"/>
    <s v="B2C"/>
    <s v="Bloqué 5Go"/>
    <n v="297"/>
    <d v="1899-12-30T04:57:00"/>
    <n v="14.77"/>
    <n v="0.45"/>
    <n v="6.6464999999999996"/>
  </r>
  <r>
    <x v="11"/>
    <s v="ANT-0357"/>
    <s v="5G"/>
    <s v="Nokia"/>
    <s v="Résolu"/>
    <n v="67"/>
    <n v="5"/>
    <s v="B2C"/>
    <s v="Premium 5G 150Go"/>
    <n v="262"/>
    <d v="1899-12-30T04:22:00"/>
    <n v="28.46"/>
    <n v="0.45"/>
    <n v="12.807"/>
  </r>
  <r>
    <x v="0"/>
    <s v="ANT-0059"/>
    <s v="5G"/>
    <s v="Nokia"/>
    <s v="Résolu"/>
    <n v="38"/>
    <n v="3"/>
    <s v="B2C"/>
    <s v="Illimité 50Go"/>
    <n v="191"/>
    <d v="1899-12-30T03:11:00"/>
    <n v="22.97"/>
    <n v="0"/>
    <n v="0"/>
  </r>
  <r>
    <x v="4"/>
    <s v="ANT-0557"/>
    <s v="3G"/>
    <s v="Nokia"/>
    <s v="Résolu"/>
    <n v="80"/>
    <n v="6"/>
    <s v="B2C"/>
    <s v="Bloqué 5Go"/>
    <n v="65"/>
    <d v="1899-12-30T01:05:00"/>
    <n v="76.64"/>
    <n v="0"/>
    <n v="0"/>
  </r>
  <r>
    <x v="9"/>
    <s v="ANT-0270"/>
    <s v="5G"/>
    <s v="Ericsson"/>
    <s v="Résolu"/>
    <n v="72"/>
    <n v="6"/>
    <s v="B2B"/>
    <s v="Pro Monde"/>
    <n v="317"/>
    <d v="1899-12-30T05:17:00"/>
    <n v="54.58"/>
    <n v="0.45"/>
    <n v="24.561"/>
  </r>
  <r>
    <x v="3"/>
    <s v="ANT-0957"/>
    <s v="4G"/>
    <s v="Huawei"/>
    <s v="Résolu"/>
    <n v="86"/>
    <n v="7"/>
    <s v="B2C"/>
    <s v="Premium 5G 150Go"/>
    <n v="278"/>
    <d v="1899-12-30T04:38:00"/>
    <n v="30.12"/>
    <n v="0.45"/>
    <n v="13.554"/>
  </r>
  <r>
    <x v="12"/>
    <s v="ANT-0843"/>
    <s v="5G"/>
    <s v="Ericsson"/>
    <s v="Résolu"/>
    <n v="21"/>
    <n v="1"/>
    <s v="B2C"/>
    <s v="Illimité 50Go"/>
    <n v="460"/>
    <d v="1899-12-30T07:40:00"/>
    <n v="70.81"/>
    <n v="0.45"/>
    <n v="31.864500000000003"/>
  </r>
  <r>
    <x v="9"/>
    <s v="ANT-0270"/>
    <s v="5G"/>
    <s v="Ericsson"/>
    <s v="Résolu"/>
    <n v="39"/>
    <n v="3"/>
    <s v="B2B"/>
    <s v="Pro Monde"/>
    <n v="289"/>
    <d v="1899-12-30T04:49:00"/>
    <n v="86.7"/>
    <n v="0.45"/>
    <n v="39.015000000000001"/>
  </r>
  <r>
    <x v="24"/>
    <s v="ANT-0563"/>
    <s v="3G"/>
    <s v="Nokia"/>
    <s v="Non Résolu"/>
    <n v="63"/>
    <n v="5"/>
    <s v="B2B"/>
    <s v="Pro Monde"/>
    <n v="449"/>
    <d v="1899-12-30T07:29:00"/>
    <n v="37.08"/>
    <n v="0.45"/>
    <n v="16.686"/>
  </r>
  <r>
    <x v="2"/>
    <s v="ANT-0837"/>
    <s v="5G"/>
    <s v="Ericsson"/>
    <s v="Résolu"/>
    <n v="37"/>
    <n v="3"/>
    <s v="B2B"/>
    <s v="Pro Monde"/>
    <n v="150"/>
    <d v="1899-12-30T02:30:00"/>
    <n v="37.979999999999997"/>
    <n v="0.1"/>
    <n v="3.798"/>
  </r>
  <r>
    <x v="14"/>
    <s v="ANT-0524"/>
    <s v="4G"/>
    <s v="Huawei"/>
    <s v="Résolu"/>
    <n v="9"/>
    <n v="0"/>
    <s v="B2C"/>
    <s v="Bloqué 5Go"/>
    <n v="27"/>
    <d v="1899-12-30T00:27:00"/>
    <n v="99.02"/>
    <n v="0"/>
    <n v="0"/>
  </r>
  <r>
    <x v="19"/>
    <s v="ANT-0533"/>
    <s v="3G"/>
    <s v="ZTE"/>
    <s v="Non Résolu"/>
    <n v="103"/>
    <n v="8"/>
    <s v="B2C"/>
    <s v="Premium 5G 150Go"/>
    <n v="386"/>
    <d v="1899-12-30T06:26:00"/>
    <n v="10.58"/>
    <n v="0.45"/>
    <n v="4.7610000000000001"/>
  </r>
  <r>
    <x v="2"/>
    <s v="ANT-0837"/>
    <s v="5G"/>
    <s v="Ericsson"/>
    <s v="Résolu"/>
    <n v="38"/>
    <n v="3"/>
    <s v="B2C"/>
    <s v="Premium 5G 150Go"/>
    <n v="432"/>
    <d v="1899-12-30T07:12:00"/>
    <n v="53.65"/>
    <n v="0.45"/>
    <n v="24.142499999999998"/>
  </r>
  <r>
    <x v="1"/>
    <s v="ANT-0287"/>
    <s v="5G"/>
    <s v="Ericsson"/>
    <s v="Résolu"/>
    <n v="2"/>
    <n v="0"/>
    <s v="B2C"/>
    <s v="Premium 5G 150Go"/>
    <n v="201"/>
    <d v="1899-12-30T03:21:00"/>
    <n v="71.900000000000006"/>
    <n v="0.45"/>
    <n v="32.355000000000004"/>
  </r>
  <r>
    <x v="16"/>
    <s v="ANT-0988"/>
    <s v="5G"/>
    <s v="Ericsson"/>
    <s v="Résolu"/>
    <n v="59"/>
    <n v="4"/>
    <s v="B2C"/>
    <s v="Illimité 50Go"/>
    <n v="64"/>
    <d v="1899-12-30T01:04:00"/>
    <n v="20.32"/>
    <n v="0"/>
    <n v="0"/>
  </r>
  <r>
    <x v="23"/>
    <s v="ANT-0754"/>
    <s v="3G"/>
    <s v="ZTE"/>
    <s v="En Cours"/>
    <n v="6"/>
    <n v="0"/>
    <s v="B2B"/>
    <s v="Pro Monde"/>
    <n v="206"/>
    <d v="1899-12-30T03:26:00"/>
    <n v="10"/>
    <n v="0.1"/>
    <n v="1"/>
  </r>
  <r>
    <x v="20"/>
    <s v="ANT-0436"/>
    <s v="5G"/>
    <s v="Ericsson"/>
    <s v="Résolu"/>
    <n v="28"/>
    <n v="2"/>
    <s v="B2C"/>
    <s v="Premium 5G 150Go"/>
    <n v="343"/>
    <d v="1899-12-30T05:43:00"/>
    <n v="64.34"/>
    <n v="0.45"/>
    <n v="28.953000000000003"/>
  </r>
  <r>
    <x v="7"/>
    <s v="ANT-0794"/>
    <s v="3G"/>
    <s v="ZTE"/>
    <s v="En Cours"/>
    <n v="37"/>
    <n v="3"/>
    <s v="B2C"/>
    <s v="Illimité 50Go"/>
    <n v="3"/>
    <d v="1899-12-30T00:03:00"/>
    <n v="20.89"/>
    <n v="0"/>
    <n v="0"/>
  </r>
  <r>
    <x v="19"/>
    <s v="ANT-0533"/>
    <s v="3G"/>
    <s v="ZTE"/>
    <s v="En Cours"/>
    <n v="106"/>
    <n v="8"/>
    <s v="B2C"/>
    <s v="Illimité 50Go"/>
    <n v="236"/>
    <d v="1899-12-30T03:56:00"/>
    <n v="18.72"/>
    <n v="0"/>
    <n v="0"/>
  </r>
  <r>
    <x v="1"/>
    <s v="ANT-0287"/>
    <s v="5G"/>
    <s v="Ericsson"/>
    <s v="Résolu"/>
    <n v="76"/>
    <n v="6"/>
    <s v="B2C"/>
    <s v="Premium 5G 150Go"/>
    <n v="413"/>
    <d v="1899-12-30T06:53:00"/>
    <n v="28.39"/>
    <n v="0.45"/>
    <n v="12.775500000000001"/>
  </r>
  <r>
    <x v="4"/>
    <s v="ANT-0557"/>
    <s v="3G"/>
    <s v="Huawei"/>
    <s v="Non Résolu"/>
    <n v="16"/>
    <n v="1"/>
    <s v="B2C"/>
    <s v="Illimité 50Go"/>
    <n v="390"/>
    <d v="1899-12-30T06:30:00"/>
    <n v="52.64"/>
    <n v="0.45"/>
    <n v="23.688000000000002"/>
  </r>
  <r>
    <x v="21"/>
    <s v="ANT-0531"/>
    <s v="4G"/>
    <s v="Ericsson"/>
    <s v="Résolu"/>
    <n v="7"/>
    <n v="0"/>
    <s v="B2B"/>
    <s v="Pro Monde"/>
    <n v="447"/>
    <d v="1899-12-30T07:27:00"/>
    <n v="84.95"/>
    <n v="0.45"/>
    <n v="38.227499999999999"/>
  </r>
  <r>
    <x v="24"/>
    <s v="ANT-0224"/>
    <s v="5G"/>
    <s v="Ericsson"/>
    <s v="Résolu"/>
    <n v="63"/>
    <n v="5"/>
    <s v="B2C"/>
    <s v="Illimité 50Go"/>
    <n v="265"/>
    <d v="1899-12-30T04:25:00"/>
    <n v="49.94"/>
    <n v="0.45"/>
    <n v="22.472999999999999"/>
  </r>
  <r>
    <x v="22"/>
    <s v="ANT-0194"/>
    <s v="3G"/>
    <s v="Huawei"/>
    <s v="En Cours"/>
    <n v="40"/>
    <n v="3"/>
    <s v="B2C"/>
    <s v="Premium 5G 150Go"/>
    <n v="235"/>
    <d v="1899-12-30T03:55:00"/>
    <n v="15.01"/>
    <n v="0.45"/>
    <n v="6.7545000000000002"/>
  </r>
  <r>
    <x v="0"/>
    <s v="ANT-0059"/>
    <s v="5G"/>
    <s v="Ericsson"/>
    <s v="Résolu"/>
    <n v="1"/>
    <n v="0"/>
    <s v="B2C"/>
    <s v="Premium 5G 150Go"/>
    <n v="429"/>
    <d v="1899-12-30T07:09:00"/>
    <n v="20.96"/>
    <n v="0.45"/>
    <n v="9.4320000000000004"/>
  </r>
  <r>
    <x v="19"/>
    <s v="ANT-0533"/>
    <s v="3G"/>
    <s v="Huawei"/>
    <s v="En Cours"/>
    <n v="56"/>
    <n v="4"/>
    <s v="B2C"/>
    <s v="Bloqué 5Go"/>
    <n v="27"/>
    <d v="1899-12-30T00:27:00"/>
    <n v="46.41"/>
    <n v="0"/>
    <n v="0"/>
  </r>
  <r>
    <x v="10"/>
    <s v="ANT-0276"/>
    <s v="4G"/>
    <s v="Ericsson"/>
    <s v="En Cours"/>
    <n v="46"/>
    <n v="3"/>
    <s v="B2C"/>
    <s v="Premium 5G 150Go"/>
    <n v="43"/>
    <d v="1899-12-30T00:43:00"/>
    <n v="98.44"/>
    <n v="0.45"/>
    <n v="44.298000000000002"/>
  </r>
  <r>
    <x v="9"/>
    <s v="ANT-0270"/>
    <s v="5G"/>
    <s v="Ericsson"/>
    <s v="En Cours"/>
    <n v="85"/>
    <n v="7"/>
    <s v="B2B"/>
    <s v="Pro Monde"/>
    <n v="28"/>
    <d v="1899-12-30T00:28:00"/>
    <n v="83.82"/>
    <n v="0.1"/>
    <n v="8.3819999999999997"/>
  </r>
  <r>
    <x v="17"/>
    <s v="ANT-0737"/>
    <s v="5G"/>
    <s v="Ericsson"/>
    <s v="En Cours"/>
    <n v="107"/>
    <n v="8"/>
    <s v="B2C"/>
    <s v="Illimité 50Go"/>
    <n v="138"/>
    <d v="1899-12-30T02:18:00"/>
    <n v="85.75"/>
    <n v="0"/>
    <n v="0"/>
  </r>
  <r>
    <x v="22"/>
    <s v="ANT-0194"/>
    <s v="3G"/>
    <s v="Nokia"/>
    <s v="Résolu"/>
    <n v="1"/>
    <n v="0"/>
    <s v="B2B"/>
    <s v="Pro Monde"/>
    <n v="424"/>
    <d v="1899-12-30T07:04:00"/>
    <n v="59.2"/>
    <n v="0.45"/>
    <n v="26.64"/>
  </r>
  <r>
    <x v="20"/>
    <s v="ANT-0436"/>
    <s v="5G"/>
    <s v="Huawei"/>
    <s v="Non Résolu"/>
    <n v="7"/>
    <n v="0"/>
    <s v="B2B"/>
    <s v="Pro Monde"/>
    <n v="332"/>
    <d v="1899-12-30T05:32:00"/>
    <n v="83.95"/>
    <n v="0.45"/>
    <n v="37.777500000000003"/>
  </r>
  <r>
    <x v="11"/>
    <s v="ANT-0357"/>
    <s v="5G"/>
    <s v="Huawei"/>
    <s v="Non Résolu"/>
    <n v="33"/>
    <n v="2"/>
    <s v="B2C"/>
    <s v="Bloqué 5Go"/>
    <n v="54"/>
    <d v="1899-12-30T00:54:00"/>
    <n v="71.319999999999993"/>
    <n v="0"/>
    <n v="0"/>
  </r>
  <r>
    <x v="21"/>
    <s v="ANT-0531"/>
    <s v="4G"/>
    <s v="Ericsson"/>
    <s v="En Cours"/>
    <n v="18"/>
    <n v="1"/>
    <s v="B2C"/>
    <s v="Illimité 50Go"/>
    <n v="170"/>
    <d v="1899-12-30T02:50:00"/>
    <n v="87.34"/>
    <n v="0"/>
    <n v="0"/>
  </r>
  <r>
    <x v="8"/>
    <s v="ANT-0714"/>
    <s v="3G"/>
    <s v="Nokia"/>
    <s v="Résolu"/>
    <n v="45"/>
    <n v="3"/>
    <s v="B2B"/>
    <s v="Pro Monde"/>
    <n v="304"/>
    <d v="1899-12-30T05:04:00"/>
    <n v="65.540000000000006"/>
    <n v="0.45"/>
    <n v="29.493000000000002"/>
  </r>
  <r>
    <x v="14"/>
    <s v="ANT-0850"/>
    <s v="3G"/>
    <s v="Nokia"/>
    <s v="Résolu"/>
    <n v="113"/>
    <n v="9"/>
    <s v="B2C"/>
    <s v="Premium 5G 150Go"/>
    <n v="49"/>
    <d v="1899-12-30T00:49:00"/>
    <n v="48.91"/>
    <n v="0"/>
    <n v="0"/>
  </r>
  <r>
    <x v="0"/>
    <s v="ANT-0059"/>
    <s v="5G"/>
    <s v="Huawei"/>
    <s v="En Cours"/>
    <n v="37"/>
    <n v="3"/>
    <s v="B2C"/>
    <s v="Premium 5G 150Go"/>
    <n v="420"/>
    <d v="1899-12-30T07:00:00"/>
    <n v="67.260000000000005"/>
    <n v="0.45"/>
    <n v="30.267000000000003"/>
  </r>
  <r>
    <x v="5"/>
    <s v="ANT-0543"/>
    <s v="4G"/>
    <s v="Ericsson"/>
    <s v="En Cours"/>
    <n v="101"/>
    <n v="8"/>
    <s v="B2B"/>
    <s v="Pro Monde"/>
    <n v="148"/>
    <d v="1899-12-30T02:28:00"/>
    <n v="26.63"/>
    <n v="0.1"/>
    <n v="2.6630000000000003"/>
  </r>
  <r>
    <x v="23"/>
    <s v="ANT-0622"/>
    <s v="5G"/>
    <s v="Ericsson"/>
    <s v="En Cours"/>
    <n v="110"/>
    <n v="9"/>
    <s v="B2C"/>
    <s v="Premium 5G 150Go"/>
    <n v="289"/>
    <d v="1899-12-30T04:49:00"/>
    <n v="83.67"/>
    <n v="0.45"/>
    <n v="37.651499999999999"/>
  </r>
  <r>
    <x v="22"/>
    <s v="ANT-0194"/>
    <s v="3G"/>
    <s v="Ericsson"/>
    <s v="Résolu"/>
    <n v="65"/>
    <n v="5"/>
    <s v="B2B"/>
    <s v="Pro Monde"/>
    <n v="246"/>
    <d v="1899-12-30T04:06:00"/>
    <n v="69.17"/>
    <n v="0.45"/>
    <n v="31.1265"/>
  </r>
  <r>
    <x v="5"/>
    <s v="ANT-0543"/>
    <s v="4G"/>
    <s v="Ericsson"/>
    <s v="Résolu"/>
    <n v="86"/>
    <n v="7"/>
    <s v="B2B"/>
    <s v="Pro Monde"/>
    <n v="353"/>
    <d v="1899-12-30T05:53:00"/>
    <n v="25.37"/>
    <n v="0.45"/>
    <n v="11.416500000000001"/>
  </r>
  <r>
    <x v="5"/>
    <s v="ANT-0543"/>
    <s v="4G"/>
    <s v="Ericsson"/>
    <s v="Résolu"/>
    <n v="99"/>
    <n v="8"/>
    <s v="B2B"/>
    <s v="Pro Monde"/>
    <n v="169"/>
    <d v="1899-12-30T02:49:00"/>
    <n v="76.75"/>
    <n v="0.1"/>
    <n v="7.6750000000000007"/>
  </r>
  <r>
    <x v="4"/>
    <s v="ANT-0883"/>
    <s v="3G"/>
    <s v="Ericsson"/>
    <s v="Résolu"/>
    <n v="72"/>
    <n v="6"/>
    <s v="B2B"/>
    <s v="Pro Monde"/>
    <n v="442"/>
    <d v="1899-12-30T07:22:00"/>
    <n v="59.2"/>
    <n v="0.45"/>
    <n v="26.64"/>
  </r>
  <r>
    <x v="10"/>
    <s v="ANT-0276"/>
    <s v="4G"/>
    <s v="Ericsson"/>
    <s v="Résolu"/>
    <n v="20"/>
    <n v="1"/>
    <s v="B2B"/>
    <s v="Pro Monde"/>
    <n v="31"/>
    <d v="1899-12-30T00:31:00"/>
    <n v="52.85"/>
    <n v="0.1"/>
    <n v="5.2850000000000001"/>
  </r>
  <r>
    <x v="14"/>
    <s v="ANT-0430"/>
    <s v="4G"/>
    <s v="Ericsson"/>
    <s v="Résolu"/>
    <n v="12"/>
    <n v="1"/>
    <s v="B2C"/>
    <s v="Bloqué 5Go"/>
    <n v="62"/>
    <d v="1899-12-30T01:02:00"/>
    <n v="36.1"/>
    <n v="0"/>
    <n v="0"/>
  </r>
  <r>
    <x v="18"/>
    <s v="ANT-0964"/>
    <s v="5G"/>
    <s v="Nokia"/>
    <s v="Non Résolu"/>
    <n v="92"/>
    <n v="7"/>
    <s v="B2C"/>
    <s v="Bloqué 5Go"/>
    <n v="379"/>
    <d v="1899-12-30T06:19:00"/>
    <n v="70.08"/>
    <n v="0.45"/>
    <n v="31.536000000000001"/>
  </r>
  <r>
    <x v="6"/>
    <s v="ANT-0292"/>
    <s v="3G"/>
    <s v="Ericsson"/>
    <s v="En Cours"/>
    <n v="35"/>
    <n v="2"/>
    <s v="B2B"/>
    <s v="Pro Monde"/>
    <n v="299"/>
    <d v="1899-12-30T04:59:00"/>
    <n v="96.32"/>
    <n v="0.45"/>
    <n v="43.344000000000001"/>
  </r>
  <r>
    <x v="1"/>
    <s v="ANT-0287"/>
    <s v="5G"/>
    <s v="Huawei"/>
    <s v="Résolu"/>
    <n v="19"/>
    <n v="1"/>
    <s v="B2C"/>
    <s v="Bloqué 5Go"/>
    <n v="345"/>
    <d v="1899-12-30T05:45:00"/>
    <n v="54.37"/>
    <n v="0.45"/>
    <n v="24.4665"/>
  </r>
  <r>
    <x v="13"/>
    <s v="ANT-0056"/>
    <s v="4G"/>
    <s v="Ericsson"/>
    <s v="En Cours"/>
    <n v="94"/>
    <n v="7"/>
    <s v="B2C"/>
    <s v="Illimité 50Go"/>
    <n v="261"/>
    <d v="1899-12-30T04:21:00"/>
    <n v="70.09"/>
    <n v="0.45"/>
    <n v="31.540500000000002"/>
  </r>
  <r>
    <x v="23"/>
    <s v="ANT-0622"/>
    <s v="5G"/>
    <s v="Nokia"/>
    <s v="Non Résolu"/>
    <n v="26"/>
    <n v="2"/>
    <s v="B2C"/>
    <s v="Premium 5G 150Go"/>
    <n v="378"/>
    <d v="1899-12-30T06:18:00"/>
    <n v="45.21"/>
    <n v="0.45"/>
    <n v="20.3445"/>
  </r>
  <r>
    <x v="1"/>
    <s v="ANT-0287"/>
    <s v="5G"/>
    <s v="Nokia"/>
    <s v="Non Résolu"/>
    <n v="56"/>
    <n v="4"/>
    <s v="B2C"/>
    <s v="Illimité 50Go"/>
    <n v="367"/>
    <d v="1899-12-30T06:07:00"/>
    <n v="72.790000000000006"/>
    <n v="0.45"/>
    <n v="32.755500000000005"/>
  </r>
  <r>
    <x v="10"/>
    <s v="ANT-0276"/>
    <s v="4G"/>
    <s v="Huawei"/>
    <s v="Résolu"/>
    <n v="97"/>
    <n v="8"/>
    <s v="B2C"/>
    <s v="Bloqué 5Go"/>
    <n v="173"/>
    <d v="1899-12-30T02:53:00"/>
    <n v="19.37"/>
    <n v="0"/>
    <n v="0"/>
  </r>
  <r>
    <x v="24"/>
    <s v="ANT-0045"/>
    <s v="5G"/>
    <s v="Nokia"/>
    <s v="Non Résolu"/>
    <n v="54"/>
    <n v="4"/>
    <s v="B2C"/>
    <s v="Illimité 50Go"/>
    <n v="215"/>
    <d v="1899-12-30T03:35:00"/>
    <n v="54.69"/>
    <n v="0"/>
    <n v="0"/>
  </r>
  <r>
    <x v="12"/>
    <s v="ANT-0708"/>
    <s v="3G"/>
    <s v="ZTE"/>
    <s v="Résolu"/>
    <n v="119"/>
    <n v="9"/>
    <s v="B2C"/>
    <s v="Bloqué 5Go"/>
    <n v="133"/>
    <d v="1899-12-30T02:13:00"/>
    <n v="30.27"/>
    <n v="0"/>
    <n v="0"/>
  </r>
  <r>
    <x v="2"/>
    <s v="ANT-0370"/>
    <s v="4G"/>
    <s v="Huawei"/>
    <s v="Résolu"/>
    <n v="9"/>
    <n v="0"/>
    <s v="B2C"/>
    <s v="Illimité 50Go"/>
    <n v="102"/>
    <d v="1899-12-30T01:42:00"/>
    <n v="41.52"/>
    <n v="0"/>
    <n v="0"/>
  </r>
  <r>
    <x v="6"/>
    <s v="ANT-0507"/>
    <s v="4G"/>
    <s v="Huawei"/>
    <s v="Résolu"/>
    <n v="8"/>
    <n v="0"/>
    <s v="B2C"/>
    <s v="Bloqué 5Go"/>
    <n v="171"/>
    <d v="1899-12-30T02:51:00"/>
    <n v="52.98"/>
    <n v="0"/>
    <n v="0"/>
  </r>
  <r>
    <x v="24"/>
    <s v="ANT-0045"/>
    <s v="5G"/>
    <s v="ZTE"/>
    <s v="Résolu"/>
    <n v="79"/>
    <n v="6"/>
    <s v="B2C"/>
    <s v="Premium 5G 150Go"/>
    <n v="454"/>
    <d v="1899-12-30T07:34:00"/>
    <n v="80.34"/>
    <n v="0.45"/>
    <n v="36.153000000000006"/>
  </r>
  <r>
    <x v="6"/>
    <s v="ANT-0507"/>
    <s v="4G"/>
    <s v="Huawei"/>
    <s v="Résolu"/>
    <n v="33"/>
    <n v="2"/>
    <s v="B2B"/>
    <s v="Pro Monde"/>
    <n v="391"/>
    <d v="1899-12-30T06:31:00"/>
    <n v="88.88"/>
    <n v="0.45"/>
    <n v="39.996000000000002"/>
  </r>
  <r>
    <x v="8"/>
    <s v="ANT-0714"/>
    <s v="3G"/>
    <s v="Nokia"/>
    <s v="En Cours"/>
    <n v="15"/>
    <n v="1"/>
    <s v="B2C"/>
    <s v="Bloqué 5Go"/>
    <n v="30"/>
    <d v="1899-12-30T00:30:00"/>
    <n v="30.5"/>
    <n v="0"/>
    <n v="0"/>
  </r>
  <r>
    <x v="1"/>
    <s v="ANT-0287"/>
    <s v="5G"/>
    <s v="Ericsson"/>
    <s v="Résolu"/>
    <n v="5"/>
    <n v="0"/>
    <s v="B2C"/>
    <s v="Premium 5G 150Go"/>
    <n v="71"/>
    <d v="1899-12-30T01:11:00"/>
    <n v="93.81"/>
    <n v="0.45"/>
    <n v="42.214500000000001"/>
  </r>
  <r>
    <x v="7"/>
    <s v="ANT-0985"/>
    <s v="5G"/>
    <s v="Ericsson"/>
    <s v="Résolu"/>
    <n v="109"/>
    <n v="9"/>
    <s v="B2C"/>
    <s v="Illimité 50Go"/>
    <n v="104"/>
    <d v="1899-12-30T01:44:00"/>
    <n v="12.37"/>
    <n v="0"/>
    <n v="0"/>
  </r>
  <r>
    <x v="22"/>
    <s v="ANT-0194"/>
    <s v="3G"/>
    <s v="Nokia"/>
    <s v="En Cours"/>
    <n v="96"/>
    <n v="8"/>
    <s v="B2B"/>
    <s v="Pro Monde"/>
    <n v="280"/>
    <d v="1899-12-30T04:40:00"/>
    <n v="80.36"/>
    <n v="0.45"/>
    <n v="36.161999999999999"/>
  </r>
  <r>
    <x v="11"/>
    <s v="ANT-0721"/>
    <s v="4G"/>
    <s v="Huawei"/>
    <s v="Résolu"/>
    <n v="10"/>
    <n v="0"/>
    <s v="B2C"/>
    <s v="Illimité 50Go"/>
    <n v="418"/>
    <d v="1899-12-30T06:58:00"/>
    <n v="27.66"/>
    <n v="0.45"/>
    <n v="12.447000000000001"/>
  </r>
  <r>
    <x v="20"/>
    <s v="ANT-0096"/>
    <s v="3G"/>
    <s v="ZTE"/>
    <s v="En Cours"/>
    <n v="57"/>
    <n v="4"/>
    <s v="B2C"/>
    <s v="Illimité 50Go"/>
    <n v="375"/>
    <d v="1899-12-30T06:15:00"/>
    <n v="64.73"/>
    <n v="0.45"/>
    <n v="29.128500000000003"/>
  </r>
  <r>
    <x v="25"/>
    <s v="ANT-0446"/>
    <s v="4G"/>
    <s v="Nokia"/>
    <s v="En Cours"/>
    <n v="98"/>
    <n v="8"/>
    <s v="B2B"/>
    <s v="Pro Monde"/>
    <n v="168"/>
    <d v="1899-12-30T02:48:00"/>
    <n v="44.14"/>
    <n v="0.1"/>
    <n v="4.4140000000000006"/>
  </r>
  <r>
    <x v="1"/>
    <s v="ANT-0287"/>
    <s v="5G"/>
    <s v="Nokia"/>
    <s v="En Cours"/>
    <n v="48"/>
    <n v="4"/>
    <s v="B2C"/>
    <s v="Premium 5G 150Go"/>
    <n v="473"/>
    <d v="1899-12-30T07:53:00"/>
    <n v="71.52"/>
    <n v="0.45"/>
    <n v="32.183999999999997"/>
  </r>
  <r>
    <x v="20"/>
    <s v="ANT-0096"/>
    <s v="3G"/>
    <s v="ZTE"/>
    <s v="En Cours"/>
    <n v="78"/>
    <n v="6"/>
    <s v="B2C"/>
    <s v="Premium 5G 150Go"/>
    <n v="387"/>
    <d v="1899-12-30T06:27:00"/>
    <n v="11.63"/>
    <n v="0.45"/>
    <n v="5.2335000000000003"/>
  </r>
  <r>
    <x v="19"/>
    <s v="ANT-0533"/>
    <s v="3G"/>
    <s v="ZTE"/>
    <s v="Non Résolu"/>
    <n v="81"/>
    <n v="6"/>
    <s v="B2C"/>
    <s v="Illimité 50Go"/>
    <n v="339"/>
    <d v="1899-12-30T05:39:00"/>
    <n v="53.4"/>
    <n v="0.45"/>
    <n v="24.03"/>
  </r>
  <r>
    <x v="13"/>
    <s v="ANT-0056"/>
    <s v="4G"/>
    <s v="Nokia"/>
    <s v="En Cours"/>
    <n v="108"/>
    <n v="9"/>
    <s v="B2C"/>
    <s v="Bloqué 5Go"/>
    <n v="467"/>
    <d v="1899-12-30T07:47:00"/>
    <n v="44.84"/>
    <n v="0.45"/>
    <n v="20.178000000000001"/>
  </r>
  <r>
    <x v="11"/>
    <s v="ANT-0721"/>
    <s v="4G"/>
    <s v="Ericsson"/>
    <s v="Non Résolu"/>
    <n v="4"/>
    <n v="0"/>
    <s v="B2B"/>
    <s v="Pro Monde"/>
    <n v="449"/>
    <d v="1899-12-30T07:29:00"/>
    <n v="43.95"/>
    <n v="0.45"/>
    <n v="19.777500000000003"/>
  </r>
  <r>
    <x v="21"/>
    <s v="ANT-0407"/>
    <s v="5G"/>
    <s v="Nokia"/>
    <s v="Non Résolu"/>
    <n v="119"/>
    <n v="9"/>
    <s v="B2B"/>
    <s v="Pro Monde"/>
    <n v="31"/>
    <d v="1899-12-30T00:31:00"/>
    <n v="21.27"/>
    <n v="0.1"/>
    <n v="2.1270000000000002"/>
  </r>
  <r>
    <x v="22"/>
    <s v="ANT-0607"/>
    <s v="4G"/>
    <s v="Huawei"/>
    <s v="Non Résolu"/>
    <n v="23"/>
    <n v="1"/>
    <s v="B2B"/>
    <s v="Pro Monde"/>
    <n v="120"/>
    <d v="1899-12-30T02:00:00"/>
    <n v="73.12"/>
    <n v="0.1"/>
    <n v="7.3120000000000012"/>
  </r>
  <r>
    <x v="22"/>
    <s v="ANT-0607"/>
    <s v="4G"/>
    <s v="Huawei"/>
    <s v="Non Résolu"/>
    <n v="42"/>
    <n v="3"/>
    <s v="B2C"/>
    <s v="Bloqué 5Go"/>
    <n v="252"/>
    <d v="1899-12-30T04:12:00"/>
    <n v="59.46"/>
    <n v="0.45"/>
    <n v="26.757000000000001"/>
  </r>
  <r>
    <x v="4"/>
    <s v="ANT-0813"/>
    <s v="3G"/>
    <s v="ZTE"/>
    <s v="Non Résolu"/>
    <n v="14"/>
    <n v="1"/>
    <s v="B2C"/>
    <s v="Bloqué 5Go"/>
    <n v="37"/>
    <d v="1899-12-30T00:37:00"/>
    <n v="20.399999999999999"/>
    <n v="0"/>
    <n v="0"/>
  </r>
  <r>
    <x v="22"/>
    <s v="ANT-0607"/>
    <s v="4G"/>
    <s v="Huawei"/>
    <s v="Non Résolu"/>
    <n v="90"/>
    <n v="7"/>
    <s v="B2C"/>
    <s v="Illimité 50Go"/>
    <n v="412"/>
    <d v="1899-12-30T06:52:00"/>
    <n v="20.62"/>
    <n v="0.45"/>
    <n v="9.2789999999999999"/>
  </r>
  <r>
    <x v="8"/>
    <s v="ANT-0714"/>
    <s v="3G"/>
    <s v="Nokia"/>
    <s v="Non Résolu"/>
    <n v="58"/>
    <n v="4"/>
    <s v="B2C"/>
    <s v="Premium 5G 150Go"/>
    <n v="485"/>
    <d v="1899-12-30T08:05:00"/>
    <n v="65.41"/>
    <n v="0.45"/>
    <n v="29.4345"/>
  </r>
  <r>
    <x v="24"/>
    <s v="ANT-0045"/>
    <s v="5G"/>
    <s v="Nokia"/>
    <s v="Non Résolu"/>
    <n v="49"/>
    <n v="4"/>
    <s v="B2C"/>
    <s v="Bloqué 5Go"/>
    <n v="288"/>
    <d v="1899-12-30T04:48:00"/>
    <n v="91.32"/>
    <n v="0.45"/>
    <n v="41.094000000000001"/>
  </r>
  <r>
    <x v="12"/>
    <s v="ANT-0134"/>
    <s v="4G"/>
    <s v="Huawei"/>
    <s v="Non Résolu"/>
    <n v="18"/>
    <n v="1"/>
    <s v="B2C"/>
    <s v="Bloqué 5Go"/>
    <n v="463"/>
    <d v="1899-12-30T07:43:00"/>
    <n v="41.66"/>
    <n v="0.45"/>
    <n v="18.747"/>
  </r>
  <r>
    <x v="17"/>
    <s v="ANT-0718"/>
    <s v="3G"/>
    <s v="Nokia"/>
    <s v="Non Résolu"/>
    <n v="82"/>
    <n v="6"/>
    <s v="B2B"/>
    <s v="Pro Monde"/>
    <n v="312"/>
    <d v="1899-12-30T05:12:00"/>
    <n v="40.880000000000003"/>
    <n v="0.45"/>
    <n v="18.396000000000001"/>
  </r>
  <r>
    <x v="18"/>
    <s v="ANT-0029"/>
    <s v="3G"/>
    <s v="Nokia"/>
    <s v="Non Résolu"/>
    <n v="74"/>
    <n v="6"/>
    <s v="B2C"/>
    <s v="Illimité 50Go"/>
    <n v="359"/>
    <d v="1899-12-30T05:59:00"/>
    <n v="92.63"/>
    <n v="0.45"/>
    <n v="41.683500000000002"/>
  </r>
  <r>
    <x v="3"/>
    <s v="ANT-0957"/>
    <s v="4G"/>
    <s v="Ericsson"/>
    <s v="Résolu"/>
    <n v="72"/>
    <n v="6"/>
    <s v="B2C"/>
    <s v="Bloqué 5Go"/>
    <n v="427"/>
    <d v="1899-12-30T07:07:00"/>
    <n v="31.44"/>
    <n v="0.45"/>
    <n v="14.148000000000001"/>
  </r>
  <r>
    <x v="7"/>
    <s v="ANT-0985"/>
    <s v="5G"/>
    <s v="Nokia"/>
    <s v="Non Résolu"/>
    <n v="26"/>
    <n v="2"/>
    <s v="B2C"/>
    <s v="Premium 5G 150Go"/>
    <n v="391"/>
    <d v="1899-12-30T06:31:00"/>
    <n v="18.28"/>
    <n v="0.45"/>
    <n v="8.2260000000000009"/>
  </r>
  <r>
    <x v="15"/>
    <s v="ANT-0066"/>
    <s v="5G"/>
    <s v="Nokia"/>
    <s v="Non Résolu"/>
    <n v="26"/>
    <n v="2"/>
    <s v="B2C"/>
    <s v="Bloqué 5Go"/>
    <n v="413"/>
    <d v="1899-12-30T06:53:00"/>
    <n v="10.9"/>
    <n v="0.45"/>
    <n v="4.9050000000000002"/>
  </r>
  <r>
    <x v="14"/>
    <s v="ANT-0430"/>
    <s v="4G"/>
    <s v="Ericsson"/>
    <s v="Résolu"/>
    <n v="33"/>
    <n v="2"/>
    <s v="B2C"/>
    <s v="Illimité 50Go"/>
    <n v="18"/>
    <d v="1899-12-30T00:18:00"/>
    <n v="47.18"/>
    <n v="0"/>
    <n v="0"/>
  </r>
  <r>
    <x v="1"/>
    <s v="ANT-0287"/>
    <s v="5G"/>
    <s v="Nokia"/>
    <s v="Non Résolu"/>
    <n v="63"/>
    <n v="5"/>
    <s v="B2C"/>
    <s v="Premium 5G 150Go"/>
    <n v="177"/>
    <d v="1899-12-30T02:57:00"/>
    <n v="77.73"/>
    <n v="0"/>
    <n v="0"/>
  </r>
  <r>
    <x v="14"/>
    <s v="ANT-0430"/>
    <s v="4G"/>
    <s v="Ericsson"/>
    <s v="Résolu"/>
    <n v="57"/>
    <n v="4"/>
    <s v="B2C"/>
    <s v="Premium 5G 150Go"/>
    <n v="36"/>
    <d v="1899-12-30T00:36:00"/>
    <n v="82.7"/>
    <n v="0.45"/>
    <n v="37.215000000000003"/>
  </r>
  <r>
    <x v="6"/>
    <s v="ANT-0882"/>
    <s v="5G"/>
    <s v="Nokia"/>
    <s v="Non Résolu"/>
    <n v="87"/>
    <n v="7"/>
    <s v="B2B"/>
    <s v="Pro Monde"/>
    <n v="486"/>
    <d v="1899-12-30T08:06:00"/>
    <n v="58.26"/>
    <n v="0.45"/>
    <n v="26.216999999999999"/>
  </r>
  <r>
    <x v="1"/>
    <s v="ANT-0287"/>
    <s v="5G"/>
    <s v="Nokia"/>
    <s v="Non Résolu"/>
    <n v="37"/>
    <n v="3"/>
    <s v="B2C"/>
    <s v="Premium 5G 150Go"/>
    <n v="213"/>
    <d v="1899-12-30T03:33:00"/>
    <n v="14.12"/>
    <n v="0.45"/>
    <n v="6.3540000000000001"/>
  </r>
  <r>
    <x v="6"/>
    <s v="ANT-0882"/>
    <s v="5G"/>
    <s v="Nokia"/>
    <s v="Non Résolu"/>
    <n v="29"/>
    <n v="2"/>
    <s v="B2C"/>
    <s v="Bloqué 5Go"/>
    <n v="306"/>
    <d v="1899-12-30T05:06:00"/>
    <n v="82.16"/>
    <n v="0.45"/>
    <n v="36.972000000000001"/>
  </r>
  <r>
    <x v="21"/>
    <s v="ANT-0407"/>
    <s v="5G"/>
    <s v="Nokia"/>
    <s v="Non Résolu"/>
    <n v="26"/>
    <n v="2"/>
    <s v="B2C"/>
    <s v="Illimité 50Go"/>
    <n v="378"/>
    <d v="1899-12-30T06:18:00"/>
    <n v="88.59"/>
    <n v="0.45"/>
    <n v="39.865500000000004"/>
  </r>
  <r>
    <x v="25"/>
    <s v="ANT-0446"/>
    <s v="4G"/>
    <s v="Nokia"/>
    <s v="En Cours"/>
    <n v="95"/>
    <n v="7"/>
    <s v="B2C"/>
    <s v="Premium 5G 150Go"/>
    <n v="313"/>
    <d v="1899-12-30T05:13:00"/>
    <n v="32.49"/>
    <n v="0.45"/>
    <n v="14.620500000000002"/>
  </r>
  <r>
    <x v="15"/>
    <s v="ANT-0066"/>
    <s v="5G"/>
    <s v="Nokia"/>
    <s v="En Cours"/>
    <n v="21"/>
    <n v="1"/>
    <s v="B2C"/>
    <s v="Bloqué 5Go"/>
    <n v="475"/>
    <d v="1899-12-30T07:55:00"/>
    <n v="15.12"/>
    <n v="0.45"/>
    <n v="6.8039999999999994"/>
  </r>
  <r>
    <x v="25"/>
    <s v="ANT-0446"/>
    <s v="4G"/>
    <s v="Nokia"/>
    <s v="Non Résolu"/>
    <n v="56"/>
    <n v="4"/>
    <s v="B2C"/>
    <s v="Illimité 50Go"/>
    <n v="41"/>
    <d v="1899-12-30T00:41:00"/>
    <n v="15.1"/>
    <n v="0"/>
    <n v="0"/>
  </r>
  <r>
    <x v="5"/>
    <s v="ANT-0543"/>
    <s v="4G"/>
    <s v="Nokia"/>
    <s v="Non Résolu"/>
    <n v="105"/>
    <n v="8"/>
    <s v="B2C"/>
    <s v="Premium 5G 150Go"/>
    <n v="454"/>
    <d v="1899-12-30T07:34:00"/>
    <n v="49.47"/>
    <n v="0.45"/>
    <n v="22.261500000000002"/>
  </r>
  <r>
    <x v="3"/>
    <s v="ANT-0423"/>
    <s v="4G"/>
    <s v="Nokia"/>
    <s v="En Cours"/>
    <n v="68"/>
    <n v="5"/>
    <s v="B2B"/>
    <s v="Pro Monde"/>
    <n v="282"/>
    <d v="1899-12-30T04:42:00"/>
    <n v="35.43"/>
    <n v="0.45"/>
    <n v="15.9435"/>
  </r>
  <r>
    <x v="5"/>
    <s v="ANT-0989"/>
    <s v="3G"/>
    <s v="ZTE"/>
    <s v="Non Résolu"/>
    <n v="104"/>
    <n v="8"/>
    <s v="B2C"/>
    <s v="Bloqué 5Go"/>
    <n v="245"/>
    <d v="1899-12-30T04:05:00"/>
    <n v="38.270000000000003"/>
    <n v="0.45"/>
    <n v="17.221500000000002"/>
  </r>
  <r>
    <x v="15"/>
    <s v="ANT-0066"/>
    <s v="5G"/>
    <s v="Ericsson"/>
    <s v="En Cours"/>
    <n v="102"/>
    <n v="8"/>
    <s v="B2C"/>
    <s v="Bloqué 5Go"/>
    <n v="484"/>
    <d v="1899-12-30T08:04:00"/>
    <n v="64.22"/>
    <n v="0.45"/>
    <n v="28.899000000000001"/>
  </r>
  <r>
    <x v="14"/>
    <s v="ANT-0238"/>
    <s v="5G"/>
    <s v="Ericsson"/>
    <s v="En Cours"/>
    <n v="25"/>
    <n v="2"/>
    <s v="B2B"/>
    <s v="Pro Monde"/>
    <n v="66"/>
    <d v="1899-12-30T01:06:00"/>
    <n v="90.14"/>
    <n v="0.1"/>
    <n v="9.0140000000000011"/>
  </r>
  <r>
    <x v="7"/>
    <s v="ANT-0985"/>
    <s v="5G"/>
    <s v="Ericsson"/>
    <s v="En Cours"/>
    <n v="12"/>
    <n v="1"/>
    <s v="B2C"/>
    <s v="Premium 5G 150Go"/>
    <n v="138"/>
    <d v="1899-12-30T02:18:00"/>
    <n v="99.83"/>
    <n v="0.45"/>
    <n v="44.923499999999997"/>
  </r>
  <r>
    <x v="3"/>
    <s v="ANT-0423"/>
    <s v="4G"/>
    <s v="Huawei"/>
    <s v="Résolu"/>
    <n v="75"/>
    <n v="6"/>
    <s v="B2C"/>
    <s v="Bloqué 5Go"/>
    <n v="370"/>
    <d v="1899-12-30T06:10:00"/>
    <n v="21.67"/>
    <n v="0.45"/>
    <n v="9.7515000000000018"/>
  </r>
  <r>
    <x v="24"/>
    <s v="ANT-0045"/>
    <s v="5G"/>
    <s v="ZTE"/>
    <s v="Résolu"/>
    <n v="4"/>
    <n v="0"/>
    <s v="B2C"/>
    <s v="Bloqué 5Go"/>
    <n v="21"/>
    <d v="1899-12-30T00:21:00"/>
    <n v="45.8"/>
    <n v="0"/>
    <n v="0"/>
  </r>
  <r>
    <x v="26"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4E1F5F-9E59-44FA-BB34-D2FCB0038035}" name="Tableau croisé dynamique1" cacheId="49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30" firstHeaderRow="1" firstDataRow="1" firstDataCol="1"/>
  <pivotFields count="13">
    <pivotField showAll="0"/>
    <pivotField showAll="0"/>
    <pivotField axis="axisRow" showAll="0">
      <items count="27">
        <item x="6"/>
        <item x="16"/>
        <item x="5"/>
        <item x="3"/>
        <item x="23"/>
        <item x="0"/>
        <item x="7"/>
        <item x="9"/>
        <item x="15"/>
        <item x="18"/>
        <item x="17"/>
        <item x="12"/>
        <item x="14"/>
        <item x="19"/>
        <item x="25"/>
        <item x="13"/>
        <item x="21"/>
        <item x="2"/>
        <item x="24"/>
        <item x="22"/>
        <item x="10"/>
        <item x="4"/>
        <item x="8"/>
        <item x="11"/>
        <item x="2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/>
    <pivotField showAll="0"/>
  </pivotFields>
  <rowFields count="1">
    <field x="2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Somme de Duree_Cumulee_Panne_Heure" fld="10" baseField="2" baseItem="0" numFmtId="46"/>
  </dataFields>
  <formats count="2">
    <format dxfId="8">
      <pivotArea outline="0" collapsedLevelsAreSubtotals="1" fieldPosition="0"/>
    </format>
    <format dxfId="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D545E8-121D-42FD-A270-2EA70C1BCC32}" name="Tableau croisé dynamique2" cacheId="49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134" firstHeaderRow="1" firstDataRow="1" firstDataCol="1"/>
  <pivotFields count="13">
    <pivotField showAll="0"/>
    <pivotField showAll="0"/>
    <pivotField axis="axisRow" showAll="0">
      <items count="27">
        <item x="6"/>
        <item x="16"/>
        <item x="5"/>
        <item x="3"/>
        <item x="23"/>
        <item x="0"/>
        <item x="7"/>
        <item x="9"/>
        <item x="15"/>
        <item x="18"/>
        <item x="17"/>
        <item x="12"/>
        <item x="14"/>
        <item x="19"/>
        <item x="25"/>
        <item x="13"/>
        <item x="21"/>
        <item x="2"/>
        <item x="24"/>
        <item x="22"/>
        <item x="10"/>
        <item x="4"/>
        <item x="8"/>
        <item x="11"/>
        <item x="20"/>
        <item x="1"/>
        <item t="default"/>
      </items>
    </pivotField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dataField="1" numFmtId="165" showAll="0"/>
    <pivotField showAll="0"/>
    <pivotField showAll="0"/>
  </pivotFields>
  <rowFields count="2">
    <field x="2"/>
    <field x="5"/>
  </rowFields>
  <rowItems count="13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5"/>
    </i>
    <i r="1">
      <x/>
    </i>
    <i r="1">
      <x v="1"/>
    </i>
    <i r="1">
      <x v="2"/>
    </i>
    <i r="1">
      <x v="3"/>
    </i>
    <i>
      <x v="6"/>
    </i>
    <i r="1">
      <x/>
    </i>
    <i r="1">
      <x v="1"/>
    </i>
    <i r="1">
      <x v="2"/>
    </i>
    <i r="1">
      <x v="3"/>
    </i>
    <i>
      <x v="7"/>
    </i>
    <i r="1">
      <x/>
    </i>
    <i r="1">
      <x v="1"/>
    </i>
    <i r="1">
      <x v="2"/>
    </i>
    <i r="1">
      <x v="3"/>
    </i>
    <i>
      <x v="8"/>
    </i>
    <i r="1">
      <x/>
    </i>
    <i r="1">
      <x v="1"/>
    </i>
    <i r="1">
      <x v="2"/>
    </i>
    <i r="1">
      <x v="3"/>
    </i>
    <i>
      <x v="9"/>
    </i>
    <i r="1">
      <x/>
    </i>
    <i r="1">
      <x v="1"/>
    </i>
    <i r="1">
      <x v="2"/>
    </i>
    <i r="1">
      <x v="3"/>
    </i>
    <i>
      <x v="10"/>
    </i>
    <i r="1">
      <x/>
    </i>
    <i r="1">
      <x v="1"/>
    </i>
    <i r="1">
      <x v="2"/>
    </i>
    <i r="1">
      <x v="3"/>
    </i>
    <i>
      <x v="11"/>
    </i>
    <i r="1">
      <x/>
    </i>
    <i r="1">
      <x v="1"/>
    </i>
    <i r="1">
      <x v="2"/>
    </i>
    <i r="1">
      <x v="3"/>
    </i>
    <i>
      <x v="12"/>
    </i>
    <i r="1">
      <x/>
    </i>
    <i r="1">
      <x v="1"/>
    </i>
    <i r="1">
      <x v="2"/>
    </i>
    <i r="1">
      <x v="3"/>
    </i>
    <i>
      <x v="13"/>
    </i>
    <i r="1">
      <x/>
    </i>
    <i r="1">
      <x v="1"/>
    </i>
    <i r="1">
      <x v="2"/>
    </i>
    <i r="1">
      <x v="3"/>
    </i>
    <i>
      <x v="14"/>
    </i>
    <i r="1">
      <x/>
    </i>
    <i r="1">
      <x v="1"/>
    </i>
    <i r="1">
      <x v="2"/>
    </i>
    <i r="1">
      <x v="3"/>
    </i>
    <i>
      <x v="15"/>
    </i>
    <i r="1">
      <x/>
    </i>
    <i r="1">
      <x v="1"/>
    </i>
    <i r="1">
      <x v="2"/>
    </i>
    <i r="1">
      <x v="3"/>
    </i>
    <i>
      <x v="16"/>
    </i>
    <i r="1">
      <x/>
    </i>
    <i r="1">
      <x v="1"/>
    </i>
    <i r="1">
      <x v="2"/>
    </i>
    <i r="1">
      <x v="3"/>
    </i>
    <i>
      <x v="17"/>
    </i>
    <i r="1">
      <x/>
    </i>
    <i r="1">
      <x v="1"/>
    </i>
    <i r="1">
      <x v="2"/>
    </i>
    <i r="1">
      <x v="3"/>
    </i>
    <i>
      <x v="18"/>
    </i>
    <i r="1">
      <x/>
    </i>
    <i r="1">
      <x v="1"/>
    </i>
    <i r="1">
      <x v="2"/>
    </i>
    <i r="1">
      <x v="3"/>
    </i>
    <i>
      <x v="19"/>
    </i>
    <i r="1">
      <x/>
    </i>
    <i r="1">
      <x v="1"/>
    </i>
    <i r="1">
      <x v="2"/>
    </i>
    <i r="1">
      <x v="3"/>
    </i>
    <i>
      <x v="20"/>
    </i>
    <i r="1">
      <x/>
    </i>
    <i r="1">
      <x v="1"/>
    </i>
    <i r="1">
      <x v="2"/>
    </i>
    <i r="1">
      <x v="3"/>
    </i>
    <i>
      <x v="21"/>
    </i>
    <i r="1">
      <x/>
    </i>
    <i r="1">
      <x v="1"/>
    </i>
    <i r="1">
      <x v="2"/>
    </i>
    <i r="1">
      <x v="3"/>
    </i>
    <i>
      <x v="22"/>
    </i>
    <i r="1">
      <x/>
    </i>
    <i r="1">
      <x v="1"/>
    </i>
    <i r="1">
      <x v="2"/>
    </i>
    <i r="1">
      <x v="3"/>
    </i>
    <i>
      <x v="23"/>
    </i>
    <i r="1">
      <x/>
    </i>
    <i r="1">
      <x v="1"/>
    </i>
    <i r="1">
      <x v="2"/>
    </i>
    <i r="1">
      <x v="3"/>
    </i>
    <i>
      <x v="24"/>
    </i>
    <i r="1">
      <x/>
    </i>
    <i r="1">
      <x v="1"/>
    </i>
    <i r="1">
      <x v="2"/>
    </i>
    <i r="1">
      <x v="3"/>
    </i>
    <i>
      <x v="25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omme de Duree_Cumulee_Panne_Heure" fld="10" baseField="2" baseItem="0" numFmtId="46"/>
  </dataFields>
  <formats count="2">
    <format dxfId="6">
      <pivotArea outline="0" collapsedLevelsAreSubtotals="1" fieldPosition="0"/>
    </format>
    <format dxfId="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4E10A2-507D-42C9-8837-1B30B5DD14BF}" name="Tableau croisé dynamique3" cacheId="37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C82" firstHeaderRow="0" firstDataRow="1" firstDataCol="1"/>
  <pivotFields count="4">
    <pivotField axis="axisRow" allDrilled="1" subtotalTop="0" showAll="0" dataSourceSort="1" defaultSubtotal="0" defaultAttributeDrillState="1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  <pivotField axis="axisRow" allDrilled="1" subtotalTop="0" showAll="0" dataSourceSort="1" defaultSubtotal="0" defaultAttributeDrillState="1">
      <items count="2">
        <item s="1" x="0"/>
        <item s="1" x="1"/>
      </items>
    </pivotField>
    <pivotField dataField="1" subtotalTop="0" showAll="0" defaultSubtotal="0"/>
    <pivotField dataField="1" subtotalTop="0" showAll="0" defaultSubtotal="0"/>
  </pivotFields>
  <rowFields count="2">
    <field x="0"/>
    <field x="1"/>
  </rowFields>
  <rowItems count="79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/>
    </i>
    <i r="1">
      <x v="1"/>
    </i>
    <i>
      <x v="7"/>
    </i>
    <i r="1">
      <x/>
    </i>
    <i r="1">
      <x v="1"/>
    </i>
    <i>
      <x v="8"/>
    </i>
    <i r="1">
      <x/>
    </i>
    <i r="1">
      <x v="1"/>
    </i>
    <i>
      <x v="9"/>
    </i>
    <i r="1">
      <x/>
    </i>
    <i r="1">
      <x v="1"/>
    </i>
    <i>
      <x v="10"/>
    </i>
    <i r="1">
      <x/>
    </i>
    <i r="1">
      <x v="1"/>
    </i>
    <i>
      <x v="11"/>
    </i>
    <i r="1">
      <x/>
    </i>
    <i r="1">
      <x v="1"/>
    </i>
    <i>
      <x v="12"/>
    </i>
    <i r="1">
      <x/>
    </i>
    <i r="1">
      <x v="1"/>
    </i>
    <i>
      <x v="13"/>
    </i>
    <i r="1">
      <x/>
    </i>
    <i r="1">
      <x v="1"/>
    </i>
    <i>
      <x v="14"/>
    </i>
    <i r="1">
      <x/>
    </i>
    <i r="1">
      <x v="1"/>
    </i>
    <i>
      <x v="15"/>
    </i>
    <i r="1">
      <x/>
    </i>
    <i r="1">
      <x v="1"/>
    </i>
    <i>
      <x v="16"/>
    </i>
    <i r="1">
      <x/>
    </i>
    <i r="1">
      <x v="1"/>
    </i>
    <i>
      <x v="17"/>
    </i>
    <i r="1">
      <x/>
    </i>
    <i r="1">
      <x v="1"/>
    </i>
    <i>
      <x v="18"/>
    </i>
    <i r="1">
      <x/>
    </i>
    <i r="1">
      <x v="1"/>
    </i>
    <i>
      <x v="19"/>
    </i>
    <i r="1">
      <x/>
    </i>
    <i r="1">
      <x v="1"/>
    </i>
    <i>
      <x v="20"/>
    </i>
    <i r="1">
      <x/>
    </i>
    <i r="1">
      <x v="1"/>
    </i>
    <i>
      <x v="21"/>
    </i>
    <i r="1">
      <x/>
    </i>
    <i r="1">
      <x v="1"/>
    </i>
    <i>
      <x v="22"/>
    </i>
    <i r="1">
      <x/>
    </i>
    <i r="1">
      <x v="1"/>
    </i>
    <i>
      <x v="23"/>
    </i>
    <i r="1">
      <x/>
    </i>
    <i r="1">
      <x v="1"/>
    </i>
    <i>
      <x v="24"/>
    </i>
    <i r="1">
      <x/>
    </i>
    <i r="1">
      <x v="1"/>
    </i>
    <i>
      <x v="25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Nombre de Statut_Resolution" fld="2" subtotal="count" baseField="0" baseItem="0"/>
    <dataField fld="3" subtotal="count" baseField="0" baseItem="0"/>
  </dataField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"/>
    <rowHierarchyUsage hierarchyUsage="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jet_KadeaTelco_HerveMubenga.xlsx!Clients_chun_clean">
        <x15:activeTabTopLevelEntity name="[Clients_chun_clea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1878C6-E89E-4940-8E6B-58115CA232A7}" name="Tableau croisé dynamique7" cacheId="6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31" firstHeaderRow="1" firstDataRow="1" firstDataCol="1"/>
  <pivotFields count="14">
    <pivotField axis="axisRow" showAll="0">
      <items count="28">
        <item x="6"/>
        <item x="16"/>
        <item x="5"/>
        <item x="3"/>
        <item x="23"/>
        <item x="0"/>
        <item x="7"/>
        <item x="9"/>
        <item x="15"/>
        <item x="18"/>
        <item x="17"/>
        <item x="12"/>
        <item x="14"/>
        <item x="19"/>
        <item x="25"/>
        <item x="13"/>
        <item x="21"/>
        <item x="2"/>
        <item x="24"/>
        <item x="22"/>
        <item x="10"/>
        <item x="4"/>
        <item x="8"/>
        <item x="11"/>
        <item x="20"/>
        <item x="1"/>
        <item x="2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Somme de Montant_Remis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B70C81D5-C2F7-4C7C-B734-BCBC6BDFD389}" autoFormatId="16" applyNumberFormats="0" applyBorderFormats="0" applyFontFormats="0" applyPatternFormats="0" applyAlignmentFormats="0" applyWidthHeightFormats="0">
  <queryTableRefresh nextId="19">
    <queryTableFields count="17">
      <queryTableField id="1" name="Source.Name" tableColumnId="1"/>
      <queryTableField id="2" name="ID_Client" tableColumnId="2"/>
      <queryTableField id="3" name="Province_Client" tableColumnId="3"/>
      <queryTableField id="12" dataBound="0" tableColumnId="12"/>
      <queryTableField id="11" dataBound="0" tableColumnId="11"/>
      <queryTableField id="10" dataBound="0" tableColumnId="10"/>
      <queryTableField id="9" dataBound="0" tableColumnId="9"/>
      <queryTableField id="4" name="Anciennete_Mois" tableColumnId="4"/>
      <queryTableField id="17" dataBound="0" tableColumnId="16"/>
      <queryTableField id="14" dataBound="0" tableColumnId="14"/>
      <queryTableField id="5" name="Type_Forfait" tableColumnId="5"/>
      <queryTableField id="6" name="Duree_Cumulee_Panne_Min" tableColumnId="6"/>
      <queryTableField id="13" dataBound="0" tableColumnId="13"/>
      <queryTableField id="7" name="Facture_Mensuelle" tableColumnId="7"/>
      <queryTableField id="16" dataBound="0" tableColumnId="15"/>
      <queryTableField id="18" dataBound="0" tableColumnId="17"/>
      <queryTableField id="8" name="Plaintes_Service_Client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2" xr16:uid="{2782CFB7-9949-46C6-9D75-2878055C7361}" autoFormatId="16" applyNumberFormats="0" applyBorderFormats="0" applyFontFormats="0" applyPatternFormats="0" applyAlignmentFormats="0" applyWidthHeightFormats="0">
  <queryTableRefresh nextId="17">
    <queryTableFields count="11">
      <queryTableField id="1" name="Source.Name" tableColumnId="1"/>
      <queryTableField id="11" dataBound="0" tableColumnId="11"/>
      <queryTableField id="4" name="Cell_ID" tableColumnId="4"/>
      <queryTableField id="8" dataBound="0" tableColumnId="8"/>
      <queryTableField id="7" dataBound="0" tableColumnId="7"/>
      <queryTableField id="6" name="Statut_Resolution" tableColumnId="6"/>
      <queryTableField id="2" name="Date_Panne" tableColumnId="2"/>
      <queryTableField id="3" name="Heure_Panne" tableColumnId="3"/>
      <queryTableField id="10" dataBound="0" tableColumnId="10"/>
      <queryTableField id="9" dataBound="0" tableColumnId="9"/>
      <queryTableField id="5" name="Duree_Panne_Min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3" connectionId="3" xr16:uid="{645BCE67-28F6-420E-B41E-1933012D1742}" autoFormatId="16" applyNumberFormats="0" applyBorderFormats="0" applyFontFormats="0" applyPatternFormats="0" applyAlignmentFormats="0" applyWidthHeightFormats="0">
  <queryTableRefresh nextId="8">
    <queryTableFields count="7">
      <queryTableField id="1" name="Source.Name" tableColumnId="1"/>
      <queryTableField id="2" name="ID_Antenne" tableColumnId="2"/>
      <queryTableField id="3" name="Province_RDC" tableColumnId="3"/>
      <queryTableField id="4" name="Latitude" tableColumnId="4"/>
      <queryTableField id="5" name="Longitude" tableColumnId="5"/>
      <queryTableField id="6" name="Technologie" tableColumnId="6"/>
      <queryTableField id="7" name="Equipementier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DF071C-1161-410B-8C53-4D71B08530F8}" name="Clients_chun_clean" displayName="Clients_chun_clean" ref="A1:Q749" tableType="queryTable" totalsRowShown="0">
  <autoFilter ref="A1:Q749" xr:uid="{0CDF071C-1161-410B-8C53-4D71B08530F8}"/>
  <tableColumns count="17">
    <tableColumn id="1" xr3:uid="{B2149CAA-4977-421E-B55B-165664B89F9B}" uniqueName="1" name="Source.Name" queryTableFieldId="1" dataDxfId="32"/>
    <tableColumn id="2" xr3:uid="{DB085140-C69F-4318-B66A-0734C073BBED}" uniqueName="2" name="ID_Client" queryTableFieldId="2" dataDxfId="31"/>
    <tableColumn id="3" xr3:uid="{2F0AB3C8-3D95-470A-ACE2-43A75ED36196}" uniqueName="3" name="Province_Client" queryTableFieldId="3" dataDxfId="30"/>
    <tableColumn id="12" xr3:uid="{02F38DFC-0FF8-4412-9B6D-5E88F71A53E0}" uniqueName="12" name="Cell_ID" queryTableFieldId="12" dataDxfId="10">
      <calculatedColumnFormula>VLOOKUP(Clients_chun_clean[[#This Row],[Province_Client]],Master_Logs_reseau_registre!B2:F1073,2,0)</calculatedColumnFormula>
    </tableColumn>
    <tableColumn id="11" xr3:uid="{C7A546AA-6509-455A-8EB9-F8AE873CB39A}" uniqueName="11" name="Technologie" queryTableFieldId="11" dataDxfId="11"/>
    <tableColumn id="10" xr3:uid="{03F9C293-2321-4387-85B2-D5C3D9219E84}" uniqueName="10" name="Equipementier" queryTableFieldId="10" dataDxfId="12"/>
    <tableColumn id="9" xr3:uid="{ED972B4B-B25B-4A7C-967E-A3D732680745}" uniqueName="9" name="Statut_Resolution" queryTableFieldId="9" dataDxfId="13"/>
    <tableColumn id="4" xr3:uid="{B8D47C12-57B5-479D-9CEB-E29E24958FC2}" uniqueName="4" name="Anciennete_Mois" queryTableFieldId="4"/>
    <tableColumn id="16" xr3:uid="{285D9AA1-DAC5-40F9-9474-34CD41A75220}" uniqueName="16" name="Anciennete_An" queryTableFieldId="17" dataDxfId="3"/>
    <tableColumn id="14" xr3:uid="{67A36BBE-4C6F-48F8-BD4C-B9E6A1F7F1E6}" uniqueName="14" name="Type_Abonnés" queryTableFieldId="14" dataDxfId="4"/>
    <tableColumn id="5" xr3:uid="{814BEC5E-4162-4866-8081-ABF9E58BAED5}" uniqueName="5" name="Type_Forfait" queryTableFieldId="5" dataDxfId="29"/>
    <tableColumn id="6" xr3:uid="{DCBC82CC-22CF-4E6B-8F9D-3990A815D2B7}" uniqueName="6" name="Duree_Cumulee_Panne_Min" queryTableFieldId="6"/>
    <tableColumn id="13" xr3:uid="{4B6F92C0-C2C3-46FE-A122-81392DFDE4BC}" uniqueName="13" name="Duree_Cumulee_Panne_Heure" queryTableFieldId="13" dataDxfId="9"/>
    <tableColumn id="7" xr3:uid="{8CE619CB-C5BD-4CC7-96B3-9159CBE54628}" uniqueName="7" name="Facture_Mensuelle" queryTableFieldId="7" dataDxfId="1"/>
    <tableColumn id="15" xr3:uid="{8B3EE1C8-F901-41E8-A9D3-6F1796DF651F}" uniqueName="15" name="Remise" queryTableFieldId="16" dataDxfId="2">
      <calculatedColumnFormula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calculatedColumnFormula>
    </tableColumn>
    <tableColumn id="17" xr3:uid="{41150A34-B1B0-474C-AAB2-4893860ABF0D}" uniqueName="17" name="Montant_Remise" queryTableFieldId="18" dataDxfId="0">
      <calculatedColumnFormula>Clients_chun_clean[[#This Row],[Facture_Mensuelle]]*Clients_chun_clean[[#This Row],[Remise]]</calculatedColumnFormula>
    </tableColumn>
    <tableColumn id="8" xr3:uid="{B2FC49DA-B319-4A72-8937-4CC0E0F3204B}" uniqueName="8" name="Plaintes_Service_Client" queryTableFieldId="8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A54E82-D9B3-47F2-A366-3E5CF75ED2E9}" name="Logs_reseau_clean" displayName="Logs_reseau_clean" ref="A1:K1074" tableType="queryTable" totalsRowShown="0">
  <autoFilter ref="A1:K1074" xr:uid="{6AA54E82-D9B3-47F2-A366-3E5CF75ED2E9}">
    <filterColumn colId="8">
      <filters>
        <filter val="-0,044697"/>
        <filter val="0,053609"/>
        <filter val="0,085491"/>
        <filter val="-0,157111"/>
        <filter val="0,163277"/>
        <filter val="0,168414"/>
        <filter val="0,172153"/>
        <filter val="-0,172581"/>
        <filter val="0,208662"/>
        <filter val="0,235835"/>
        <filter val="0,24202"/>
        <filter val="0,317408"/>
        <filter val="-0,340519"/>
        <filter val="-0,376657"/>
        <filter val="0,402678"/>
        <filter val="0,451161"/>
        <filter val="-0,469945"/>
        <filter val="-0,474119"/>
        <filter val="0,489655"/>
        <filter val="0,528975"/>
        <filter val="-0,549086"/>
        <filter val="-0,571049"/>
        <filter val="0,620555"/>
        <filter val="0,639208"/>
        <filter val="0,652889"/>
        <filter val="-0,774321"/>
        <filter val="0,791243"/>
        <filter val="-0,794066"/>
        <filter val="-0,794599"/>
        <filter val="0,828686"/>
        <filter val="-0,856247"/>
        <filter val="-0,908544"/>
        <filter val="-0,919767"/>
        <filter val="0,945399"/>
        <filter val="-0,988304"/>
        <filter val="1,013488"/>
        <filter val="-1,013558"/>
        <filter val="1,017161"/>
        <filter val="-1,128454"/>
        <filter val="1,210869"/>
        <filter val="-1,231033"/>
        <filter val="1,239199"/>
        <filter val="1,241952"/>
        <filter val="1,246392"/>
        <filter val="1,269165"/>
        <filter val="1,286548"/>
        <filter val="1,300618"/>
        <filter val="-1,302421"/>
        <filter val="-1,339734"/>
        <filter val="-1,342476"/>
        <filter val="-1,393855"/>
        <filter val="-1,397652"/>
        <filter val="1,400674"/>
        <filter val="-1,411039"/>
        <filter val="-1,470006"/>
        <filter val="-1,500685"/>
        <filter val="-1,50664"/>
        <filter val="1,527867"/>
        <filter val="-1,541905"/>
        <filter val="1,580286"/>
        <filter val="-1,593622"/>
        <filter val="-1,607639"/>
        <filter val="-1,609757"/>
        <filter val="-1,648264"/>
        <filter val="-1,648326"/>
        <filter val="-1,648893"/>
        <filter val="-1,689321"/>
        <filter val="1,727095"/>
        <filter val="1,783244"/>
        <filter val="-1,804598"/>
        <filter val="1,810386"/>
        <filter val="-1,855598"/>
        <filter val="-1,864393"/>
        <filter val="1,897178"/>
        <filter val="-1,912057"/>
        <filter val="1,938083"/>
        <filter val="-1,954052"/>
        <filter val="1,981107"/>
        <filter val="-10,059846"/>
        <filter val="-10,161428"/>
        <filter val="-10,165072"/>
        <filter val="-10,227569"/>
        <filter val="-10,25074"/>
        <filter val="-10,298385"/>
        <filter val="-10,318835"/>
        <filter val="-10,375267"/>
        <filter val="-10,414493"/>
        <filter val="-10,439687"/>
        <filter val="-10,442425"/>
        <filter val="-10,481027"/>
        <filter val="-10,56448"/>
        <filter val="-10,574821"/>
        <filter val="-10,577049"/>
        <filter val="-10,611184"/>
        <filter val="-10,650321"/>
        <filter val="-10,653247"/>
        <filter val="-10,735106"/>
        <filter val="-10,764815"/>
        <filter val="-10,776204"/>
        <filter val="-10,846307"/>
        <filter val="-10,872632"/>
        <filter val="-10,914952"/>
        <filter val="-10,939713"/>
        <filter val="-10,945031"/>
        <filter val="-10,963041"/>
        <filter val="-10,967288"/>
        <filter val="-10,977309"/>
        <filter val="-11,002602"/>
        <filter val="-11,144149"/>
        <filter val="-11,157245"/>
        <filter val="-11,207139"/>
        <filter val="-11,218454"/>
        <filter val="-11,231472"/>
        <filter val="-11,265995"/>
        <filter val="-11,266566"/>
        <filter val="-11,354772"/>
        <filter val="-11,387296"/>
        <filter val="-11,389362"/>
        <filter val="-11,407966"/>
        <filter val="-11,468578"/>
        <filter val="-11,514188"/>
        <filter val="-11,514817"/>
        <filter val="-11,588665"/>
        <filter val="-11,594525"/>
        <filter val="-11,622689"/>
        <filter val="-11,710408"/>
        <filter val="-11,793894"/>
        <filter val="-11,866133"/>
        <filter val="-11,89448"/>
        <filter val="-11,924048"/>
        <filter val="-11,99102"/>
        <filter val="-12,050063"/>
        <filter val="-12,070842"/>
        <filter val="-12,100756"/>
        <filter val="-12,1124"/>
        <filter val="-12,112682"/>
        <filter val="-12,141233"/>
        <filter val="-12,192204"/>
        <filter val="-12,229338"/>
        <filter val="-12,292039"/>
        <filter val="-12,333232"/>
        <filter val="-12,336202"/>
        <filter val="-12,342054"/>
        <filter val="-12,364128"/>
        <filter val="-12,431227"/>
        <filter val="-12,488033"/>
        <filter val="-12,560557"/>
        <filter val="-12,564277"/>
        <filter val="-12,595355"/>
        <filter val="-12,839263"/>
        <filter val="2,016505"/>
        <filter val="2,039208"/>
        <filter val="-2,099631"/>
        <filter val="-2,219956"/>
        <filter val="-2,237157"/>
        <filter val="-2,268179"/>
        <filter val="-2,287621"/>
        <filter val="-2,310211"/>
        <filter val="-2,326982"/>
        <filter val="-2,36778"/>
        <filter val="-2,374321"/>
        <filter val="2,441451"/>
        <filter val="2,442598"/>
        <filter val="2,453036"/>
        <filter val="-2,466251"/>
        <filter val="2,474102"/>
        <filter val="2,486888"/>
        <filter val="2,545838"/>
        <filter val="2,566584"/>
        <filter val="-2,571777"/>
        <filter val="2,628638"/>
        <filter val="-2,666507"/>
        <filter val="-2,714069"/>
        <filter val="-2,821152"/>
        <filter val="-2,853287"/>
        <filter val="2,85525"/>
        <filter val="-2,926736"/>
        <filter val="-2,941772"/>
        <filter val="-2,965153"/>
        <filter val="2,975352"/>
        <filter val="-3,003879"/>
        <filter val="3,060376"/>
        <filter val="-3,111418"/>
        <filter val="3,136293"/>
        <filter val="-3,160839"/>
        <filter val="3,175935"/>
        <filter val="3,328924"/>
        <filter val="-3,389079"/>
        <filter val="3,611561"/>
        <filter val="3,634485"/>
        <filter val="-3,694546"/>
        <filter val="-3,772064"/>
        <filter val="-3,811999"/>
        <filter val="-3,914872"/>
        <filter val="4,0158"/>
        <filter val="4,09881"/>
        <filter val="-4,125096"/>
        <filter val="-4,169459"/>
        <filter val="-4,175494"/>
        <filter val="-4,2185"/>
        <filter val="-4,240836"/>
        <filter val="4,249365"/>
        <filter val="-4,264562"/>
        <filter val="4,290463"/>
        <filter val="-4,351254"/>
        <filter val="-4,363907"/>
        <filter val="-4,435127"/>
        <filter val="-4,445128"/>
        <filter val="4,471256"/>
        <filter val="-4,48311"/>
        <filter val="-4,495872"/>
        <filter val="4,497306"/>
        <filter val="-4,560361"/>
        <filter val="4,628716"/>
        <filter val="-4,631146"/>
        <filter val="-4,642676"/>
        <filter val="4,680923"/>
        <filter val="-4,681841"/>
        <filter val="-4,695751"/>
        <filter val="4,777735"/>
        <filter val="-4,788677"/>
        <filter val="-4,812866"/>
        <filter val="-4,815702"/>
        <filter val="4,822865"/>
        <filter val="4,826567"/>
        <filter val="4,831904"/>
        <filter val="4,868966"/>
        <filter val="-4,869434"/>
        <filter val="4,925005"/>
        <filter val="4,945516"/>
        <filter val="-4,955258"/>
        <filter val="-4,978908"/>
        <filter val="-5,040218"/>
        <filter val="-5,10306"/>
        <filter val="-5,125"/>
        <filter val="-5,150767"/>
        <filter val="-5,252685"/>
        <filter val="-5,376269"/>
        <filter val="-5,407303"/>
        <filter val="-5,412628"/>
        <filter val="-5,42171"/>
        <filter val="-5,544512"/>
        <filter val="-5,555933"/>
        <filter val="-5,703513"/>
        <filter val="-5,720015"/>
        <filter val="-5,79576"/>
        <filter val="-5,814557"/>
        <filter val="-5,835282"/>
        <filter val="-5,902197"/>
        <filter val="-6,149074"/>
        <filter val="-6,183785"/>
        <filter val="-6,314824"/>
        <filter val="-6,332432"/>
        <filter val="-6,419719"/>
        <filter val="-6,467019"/>
        <filter val="-6,488329"/>
        <filter val="-6,5333"/>
        <filter val="-6,552985"/>
        <filter val="-6,680371"/>
        <filter val="-6,814918"/>
        <filter val="-6,962499"/>
        <filter val="-7,000784"/>
        <filter val="-7,00769"/>
        <filter val="-7,107917"/>
        <filter val="-7,148375"/>
        <filter val="-7,158757"/>
        <filter val="-7,17859"/>
        <filter val="-7,226709"/>
        <filter val="-7,337934"/>
        <filter val="-7,395204"/>
        <filter val="-7,402336"/>
        <filter val="-7,460844"/>
        <filter val="-7,512941"/>
        <filter val="-7,513261"/>
        <filter val="-7,54184"/>
        <filter val="-7,564128"/>
        <filter val="-7,596951"/>
        <filter val="-7,675772"/>
        <filter val="-7,695137"/>
        <filter val="-7,758771"/>
        <filter val="-7,783905"/>
        <filter val="-7,789663"/>
        <filter val="-7,821597"/>
        <filter val="-7,837318"/>
        <filter val="-7,877043"/>
        <filter val="-7,942505"/>
        <filter val="-7,98667"/>
        <filter val="-7,998722"/>
        <filter val="-8,030199"/>
        <filter val="-8,080081"/>
        <filter val="-8,08649"/>
        <filter val="-8,092224"/>
        <filter val="-8,121062"/>
        <filter val="-8,143791"/>
        <filter val="-8,324156"/>
        <filter val="-8,422786"/>
        <filter val="-8,482467"/>
        <filter val="-8,498519"/>
        <filter val="-8,567575"/>
        <filter val="-8,811857"/>
        <filter val="-8,958636"/>
        <filter val="-9,002459"/>
        <filter val="-9,079812"/>
        <filter val="-9,121588"/>
        <filter val="-9,306632"/>
        <filter val="-9,365224"/>
        <filter val="-9,365228"/>
        <filter val="-9,390001"/>
        <filter val="-9,413364"/>
        <filter val="-9,422975"/>
        <filter val="-9,470213"/>
        <filter val="-9,470862"/>
        <filter val="-9,524331"/>
        <filter val="-9,526625"/>
        <filter val="-9,561943"/>
        <filter val="-9,584035"/>
        <filter val="-9,640719"/>
        <filter val="-9,771298"/>
        <filter val="-9,780398"/>
        <filter val="-9,820871"/>
        <filter val="-9,956574"/>
        <filter val="-9,987514"/>
      </filters>
    </filterColumn>
  </autoFilter>
  <tableColumns count="11">
    <tableColumn id="1" xr3:uid="{4D6E4DB0-A8A8-4B99-ACDE-B9A9C7EE3553}" uniqueName="1" name="Source.Name" queryTableFieldId="1" dataDxfId="28"/>
    <tableColumn id="11" xr3:uid="{ED6778FA-14EA-4E1C-A384-D0B1338093B4}" uniqueName="11" name="Province_RDC" queryTableFieldId="11" dataDxfId="18"/>
    <tableColumn id="4" xr3:uid="{668B702B-B57D-4991-B745-D73BE0B0DAA6}" uniqueName="4" name="Cell_ID" queryTableFieldId="4" dataDxfId="17"/>
    <tableColumn id="8" xr3:uid="{926ACAC4-7CE7-416B-804B-291D1DE5A9B2}" uniqueName="8" name="Technologie" queryTableFieldId="8" dataDxfId="16"/>
    <tableColumn id="7" xr3:uid="{A7F07DC5-7858-4A5C-89E6-BA9ECBA0CFFF}" uniqueName="7" name="Equipementier" queryTableFieldId="7" dataDxfId="15"/>
    <tableColumn id="6" xr3:uid="{AB4D7F73-2CC5-486F-BC7C-2E0252784B48}" uniqueName="6" name="Statut_Resolution" queryTableFieldId="6" dataDxfId="14"/>
    <tableColumn id="2" xr3:uid="{4B2CCE37-8D72-4335-BF94-93757C78AA98}" uniqueName="2" name="Date_Panne" queryTableFieldId="2" dataDxfId="27"/>
    <tableColumn id="3" xr3:uid="{9F785220-3C6A-49C3-A693-A1B822331D96}" uniqueName="3" name="Heure_Panne" queryTableFieldId="3" dataDxfId="26"/>
    <tableColumn id="10" xr3:uid="{627A9778-8B14-457D-B1DA-B6DF45473F58}" uniqueName="10" name="Latitude" queryTableFieldId="10" dataDxfId="20"/>
    <tableColumn id="9" xr3:uid="{7345FF6F-392F-49A3-9528-A1BEBD4E2695}" uniqueName="9" name="Longitude" queryTableFieldId="9" dataDxfId="19"/>
    <tableColumn id="5" xr3:uid="{3CBF787A-8946-4988-B1C4-D11A6279481D}" uniqueName="5" name="Duree_Panne_Min" queryTableFieldId="5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DA55540-AA13-4516-9D21-024544E78290}" name="Registre_maintenance_clean" displayName="Registre_maintenance_clean" ref="A1:G499" tableType="queryTable" totalsRowShown="0">
  <autoFilter ref="A1:G499" xr:uid="{6DA55540-AA13-4516-9D21-024544E78290}"/>
  <tableColumns count="7">
    <tableColumn id="1" xr3:uid="{A9F81B1C-1F4D-412F-B5E0-518037C8FF5F}" uniqueName="1" name="Source.Name" queryTableFieldId="1" dataDxfId="25"/>
    <tableColumn id="2" xr3:uid="{0FE63DF8-D0B1-4EBB-9A84-8D726CA7EE2B}" uniqueName="2" name="ID_Antenne" queryTableFieldId="2" dataDxfId="24"/>
    <tableColumn id="3" xr3:uid="{C47CEBC3-9C89-4B99-96DB-9B59A8CF68C0}" uniqueName="3" name="Province_RDC" queryTableFieldId="3" dataDxfId="23"/>
    <tableColumn id="4" xr3:uid="{6F37EDD4-8FCF-4D18-BD3D-527D4FB2CF48}" uniqueName="4" name="Latitude" queryTableFieldId="4"/>
    <tableColumn id="5" xr3:uid="{38C57B07-3A67-4179-846D-290141A8A3E0}" uniqueName="5" name="Longitude" queryTableFieldId="5"/>
    <tableColumn id="6" xr3:uid="{2CB566E2-FB05-4CFF-A331-A3ABCE558897}" uniqueName="6" name="Technologie" queryTableFieldId="6" dataDxfId="22"/>
    <tableColumn id="7" xr3:uid="{729B66A1-6777-451E-8410-2855C0FC57C5}" uniqueName="7" name="Equipementier" queryTableFieldId="7" dataDxfId="2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62F88-E3FD-46C7-BFB0-3A06FD4EF9DC}">
  <sheetPr>
    <tabColor rgb="FF00B0F0"/>
  </sheetPr>
  <dimension ref="A3:B30"/>
  <sheetViews>
    <sheetView workbookViewId="0">
      <selection activeCell="B8" sqref="B8"/>
    </sheetView>
  </sheetViews>
  <sheetFormatPr baseColWidth="10" defaultRowHeight="15" x14ac:dyDescent="0.25"/>
  <cols>
    <col min="1" max="1" width="21.42578125" bestFit="1" customWidth="1"/>
    <col min="2" max="2" width="39.28515625" style="7" bestFit="1" customWidth="1"/>
    <col min="3" max="26" width="24.42578125" bestFit="1" customWidth="1"/>
    <col min="27" max="27" width="12.5703125" bestFit="1" customWidth="1"/>
  </cols>
  <sheetData>
    <row r="3" spans="1:2" x14ac:dyDescent="0.25">
      <c r="A3" s="5" t="s">
        <v>1698</v>
      </c>
      <c r="B3" s="7" t="s">
        <v>1699</v>
      </c>
    </row>
    <row r="4" spans="1:2" x14ac:dyDescent="0.25">
      <c r="A4" s="6" t="s">
        <v>26</v>
      </c>
      <c r="B4" s="7">
        <v>6.3319444444444448</v>
      </c>
    </row>
    <row r="5" spans="1:2" x14ac:dyDescent="0.25">
      <c r="A5" s="6" t="s">
        <v>60</v>
      </c>
      <c r="B5" s="7">
        <v>4.2861111111111105</v>
      </c>
    </row>
    <row r="6" spans="1:2" x14ac:dyDescent="0.25">
      <c r="A6" s="6" t="s">
        <v>24</v>
      </c>
      <c r="B6" s="7">
        <v>7.0847222222222221</v>
      </c>
    </row>
    <row r="7" spans="1:2" x14ac:dyDescent="0.25">
      <c r="A7" s="6" t="s">
        <v>18</v>
      </c>
      <c r="B7" s="7">
        <v>6.489583333333333</v>
      </c>
    </row>
    <row r="8" spans="1:2" x14ac:dyDescent="0.25">
      <c r="A8" s="6" t="s">
        <v>127</v>
      </c>
      <c r="B8" s="7">
        <v>2.646527777777778</v>
      </c>
    </row>
    <row r="9" spans="1:2" x14ac:dyDescent="0.25">
      <c r="A9" s="6" t="s">
        <v>10</v>
      </c>
      <c r="B9" s="7">
        <v>6.2458333333333318</v>
      </c>
    </row>
    <row r="10" spans="1:2" x14ac:dyDescent="0.25">
      <c r="A10" s="6" t="s">
        <v>29</v>
      </c>
      <c r="B10" s="7">
        <v>4.8013888888888898</v>
      </c>
    </row>
    <row r="11" spans="1:2" x14ac:dyDescent="0.25">
      <c r="A11" s="6" t="s">
        <v>33</v>
      </c>
      <c r="B11" s="7">
        <v>4.9868055555555566</v>
      </c>
    </row>
    <row r="12" spans="1:2" x14ac:dyDescent="0.25">
      <c r="A12" s="6" t="s">
        <v>57</v>
      </c>
      <c r="B12" s="7">
        <v>5.1277777777777764</v>
      </c>
    </row>
    <row r="13" spans="1:2" x14ac:dyDescent="0.25">
      <c r="A13" s="6" t="s">
        <v>64</v>
      </c>
      <c r="B13" s="7">
        <v>3.9659722222222231</v>
      </c>
    </row>
    <row r="14" spans="1:2" x14ac:dyDescent="0.25">
      <c r="A14" s="6" t="s">
        <v>62</v>
      </c>
      <c r="B14" s="7">
        <v>3.7333333333333343</v>
      </c>
    </row>
    <row r="15" spans="1:2" x14ac:dyDescent="0.25">
      <c r="A15" s="6" t="s">
        <v>40</v>
      </c>
      <c r="B15" s="7">
        <v>6.5638888888888891</v>
      </c>
    </row>
    <row r="16" spans="1:2" x14ac:dyDescent="0.25">
      <c r="A16" s="6" t="s">
        <v>51</v>
      </c>
      <c r="B16" s="7">
        <v>5.8666666666666689</v>
      </c>
    </row>
    <row r="17" spans="1:2" x14ac:dyDescent="0.25">
      <c r="A17" s="6" t="s">
        <v>67</v>
      </c>
      <c r="B17" s="7">
        <v>3.7652777777777775</v>
      </c>
    </row>
    <row r="18" spans="1:2" x14ac:dyDescent="0.25">
      <c r="A18" s="6" t="s">
        <v>137</v>
      </c>
      <c r="B18" s="7">
        <v>2.4972222222222222</v>
      </c>
    </row>
    <row r="19" spans="1:2" x14ac:dyDescent="0.25">
      <c r="A19" s="6" t="s">
        <v>44</v>
      </c>
      <c r="B19" s="7">
        <v>4.5374999999999996</v>
      </c>
    </row>
    <row r="20" spans="1:2" x14ac:dyDescent="0.25">
      <c r="A20" s="6" t="s">
        <v>78</v>
      </c>
      <c r="B20" s="7">
        <v>3.8430555555555559</v>
      </c>
    </row>
    <row r="21" spans="1:2" x14ac:dyDescent="0.25">
      <c r="A21" s="6" t="s">
        <v>16</v>
      </c>
      <c r="B21" s="7">
        <v>5.4194444444444434</v>
      </c>
    </row>
    <row r="22" spans="1:2" x14ac:dyDescent="0.25">
      <c r="A22" s="6" t="s">
        <v>131</v>
      </c>
      <c r="B22" s="7">
        <v>6.0541666666666671</v>
      </c>
    </row>
    <row r="23" spans="1:2" x14ac:dyDescent="0.25">
      <c r="A23" s="6" t="s">
        <v>89</v>
      </c>
      <c r="B23" s="7">
        <v>4.3000000000000016</v>
      </c>
    </row>
    <row r="24" spans="1:2" x14ac:dyDescent="0.25">
      <c r="A24" s="6" t="s">
        <v>35</v>
      </c>
      <c r="B24" s="7">
        <v>4.6381944444444425</v>
      </c>
    </row>
    <row r="25" spans="1:2" x14ac:dyDescent="0.25">
      <c r="A25" s="6" t="s">
        <v>21</v>
      </c>
      <c r="B25" s="7">
        <v>3.8506944444444446</v>
      </c>
    </row>
    <row r="26" spans="1:2" x14ac:dyDescent="0.25">
      <c r="A26" s="6" t="s">
        <v>31</v>
      </c>
      <c r="B26" s="7">
        <v>6.0909722222222227</v>
      </c>
    </row>
    <row r="27" spans="1:2" x14ac:dyDescent="0.25">
      <c r="A27" s="6" t="s">
        <v>37</v>
      </c>
      <c r="B27" s="7">
        <v>4.6715277777777775</v>
      </c>
    </row>
    <row r="28" spans="1:2" x14ac:dyDescent="0.25">
      <c r="A28" s="6" t="s">
        <v>73</v>
      </c>
      <c r="B28" s="7">
        <v>3.7624999999999997</v>
      </c>
    </row>
    <row r="29" spans="1:2" x14ac:dyDescent="0.25">
      <c r="A29" s="6" t="s">
        <v>13</v>
      </c>
      <c r="B29" s="7">
        <v>4.5618055555555559</v>
      </c>
    </row>
    <row r="30" spans="1:2" x14ac:dyDescent="0.25">
      <c r="A30" s="6" t="s">
        <v>1697</v>
      </c>
      <c r="B30" s="7">
        <v>126.12291666666664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4531A-9137-4876-A275-B324FAC9A460}">
  <sheetPr>
    <tabColor rgb="FFFFFF00"/>
  </sheetPr>
  <dimension ref="A3:B134"/>
  <sheetViews>
    <sheetView workbookViewId="0">
      <selection activeCell="B1" sqref="B1:B1048576"/>
    </sheetView>
  </sheetViews>
  <sheetFormatPr baseColWidth="10" defaultRowHeight="15" x14ac:dyDescent="0.25"/>
  <cols>
    <col min="1" max="1" width="21.42578125" bestFit="1" customWidth="1"/>
    <col min="2" max="2" width="39.28515625" style="7" bestFit="1" customWidth="1"/>
  </cols>
  <sheetData>
    <row r="3" spans="1:2" x14ac:dyDescent="0.25">
      <c r="A3" s="5" t="s">
        <v>1698</v>
      </c>
      <c r="B3" s="7" t="s">
        <v>1699</v>
      </c>
    </row>
    <row r="4" spans="1:2" x14ac:dyDescent="0.25">
      <c r="A4" s="6" t="s">
        <v>26</v>
      </c>
      <c r="B4" s="7">
        <v>6.3319444444444439</v>
      </c>
    </row>
    <row r="5" spans="1:2" x14ac:dyDescent="0.25">
      <c r="A5" s="8" t="s">
        <v>1504</v>
      </c>
      <c r="B5" s="7">
        <v>0.83958333333333335</v>
      </c>
    </row>
    <row r="6" spans="1:2" x14ac:dyDescent="0.25">
      <c r="A6" s="8" t="s">
        <v>1507</v>
      </c>
      <c r="B6" s="7">
        <v>0.92500000000000004</v>
      </c>
    </row>
    <row r="7" spans="1:2" x14ac:dyDescent="0.25">
      <c r="A7" s="8" t="s">
        <v>1516</v>
      </c>
      <c r="B7" s="7">
        <v>2.0965277777777773</v>
      </c>
    </row>
    <row r="8" spans="1:2" x14ac:dyDescent="0.25">
      <c r="A8" s="8" t="s">
        <v>1509</v>
      </c>
      <c r="B8" s="7">
        <v>2.4708333333333332</v>
      </c>
    </row>
    <row r="9" spans="1:2" x14ac:dyDescent="0.25">
      <c r="A9" s="6" t="s">
        <v>60</v>
      </c>
      <c r="B9" s="7">
        <v>4.2861111111111114</v>
      </c>
    </row>
    <row r="10" spans="1:2" x14ac:dyDescent="0.25">
      <c r="A10" s="8" t="s">
        <v>1504</v>
      </c>
      <c r="B10" s="7">
        <v>0.44791666666666669</v>
      </c>
    </row>
    <row r="11" spans="1:2" x14ac:dyDescent="0.25">
      <c r="A11" s="8" t="s">
        <v>1507</v>
      </c>
      <c r="B11" s="7">
        <v>1.4513888888888893</v>
      </c>
    </row>
    <row r="12" spans="1:2" x14ac:dyDescent="0.25">
      <c r="A12" s="8" t="s">
        <v>1516</v>
      </c>
      <c r="B12" s="7">
        <v>0.49930555555555556</v>
      </c>
    </row>
    <row r="13" spans="1:2" x14ac:dyDescent="0.25">
      <c r="A13" s="8" t="s">
        <v>1509</v>
      </c>
      <c r="B13" s="7">
        <v>1.8875</v>
      </c>
    </row>
    <row r="14" spans="1:2" x14ac:dyDescent="0.25">
      <c r="A14" s="6" t="s">
        <v>24</v>
      </c>
      <c r="B14" s="7">
        <v>7.0847222222222221</v>
      </c>
    </row>
    <row r="15" spans="1:2" x14ac:dyDescent="0.25">
      <c r="A15" s="8" t="s">
        <v>1504</v>
      </c>
      <c r="B15" s="7">
        <v>2.0861111111111108</v>
      </c>
    </row>
    <row r="16" spans="1:2" x14ac:dyDescent="0.25">
      <c r="A16" s="8" t="s">
        <v>1507</v>
      </c>
      <c r="B16" s="7">
        <v>1.1777777777777776</v>
      </c>
    </row>
    <row r="17" spans="1:2" x14ac:dyDescent="0.25">
      <c r="A17" s="8" t="s">
        <v>1516</v>
      </c>
      <c r="B17" s="7">
        <v>1.5611111111111113</v>
      </c>
    </row>
    <row r="18" spans="1:2" x14ac:dyDescent="0.25">
      <c r="A18" s="8" t="s">
        <v>1509</v>
      </c>
      <c r="B18" s="7">
        <v>2.2597222222222224</v>
      </c>
    </row>
    <row r="19" spans="1:2" x14ac:dyDescent="0.25">
      <c r="A19" s="6" t="s">
        <v>18</v>
      </c>
      <c r="B19" s="7">
        <v>6.489583333333333</v>
      </c>
    </row>
    <row r="20" spans="1:2" x14ac:dyDescent="0.25">
      <c r="A20" s="8" t="s">
        <v>1504</v>
      </c>
      <c r="B20" s="7">
        <v>1.6423611111111109</v>
      </c>
    </row>
    <row r="21" spans="1:2" x14ac:dyDescent="0.25">
      <c r="A21" s="8" t="s">
        <v>1507</v>
      </c>
      <c r="B21" s="7">
        <v>3.6326388888888888</v>
      </c>
    </row>
    <row r="22" spans="1:2" x14ac:dyDescent="0.25">
      <c r="A22" s="8" t="s">
        <v>1516</v>
      </c>
      <c r="B22" s="7">
        <v>1.0986111111111112</v>
      </c>
    </row>
    <row r="23" spans="1:2" x14ac:dyDescent="0.25">
      <c r="A23" s="8" t="s">
        <v>1509</v>
      </c>
      <c r="B23" s="7">
        <v>0.11597222222222223</v>
      </c>
    </row>
    <row r="24" spans="1:2" x14ac:dyDescent="0.25">
      <c r="A24" s="6" t="s">
        <v>127</v>
      </c>
      <c r="B24" s="7">
        <v>2.6465277777777776</v>
      </c>
    </row>
    <row r="25" spans="1:2" x14ac:dyDescent="0.25">
      <c r="A25" s="8" t="s">
        <v>1504</v>
      </c>
      <c r="B25" s="7">
        <v>0.63055555555555554</v>
      </c>
    </row>
    <row r="26" spans="1:2" x14ac:dyDescent="0.25">
      <c r="A26" s="8" t="s">
        <v>1507</v>
      </c>
      <c r="B26" s="7">
        <v>0.66597222222222219</v>
      </c>
    </row>
    <row r="27" spans="1:2" x14ac:dyDescent="0.25">
      <c r="A27" s="8" t="s">
        <v>1516</v>
      </c>
      <c r="B27" s="7">
        <v>1.117361111111111</v>
      </c>
    </row>
    <row r="28" spans="1:2" x14ac:dyDescent="0.25">
      <c r="A28" s="8" t="s">
        <v>1509</v>
      </c>
      <c r="B28" s="7">
        <v>0.2326388888888889</v>
      </c>
    </row>
    <row r="29" spans="1:2" x14ac:dyDescent="0.25">
      <c r="A29" s="6" t="s">
        <v>10</v>
      </c>
      <c r="B29" s="7">
        <v>6.2458333333333336</v>
      </c>
    </row>
    <row r="30" spans="1:2" x14ac:dyDescent="0.25">
      <c r="A30" s="8" t="s">
        <v>1504</v>
      </c>
      <c r="B30" s="7">
        <v>2.7659722222222225</v>
      </c>
    </row>
    <row r="31" spans="1:2" x14ac:dyDescent="0.25">
      <c r="A31" s="8" t="s">
        <v>1507</v>
      </c>
      <c r="B31" s="7">
        <v>1.3472222222222223</v>
      </c>
    </row>
    <row r="32" spans="1:2" x14ac:dyDescent="0.25">
      <c r="A32" s="8" t="s">
        <v>1516</v>
      </c>
      <c r="B32" s="7">
        <v>1.2111111111111112</v>
      </c>
    </row>
    <row r="33" spans="1:2" x14ac:dyDescent="0.25">
      <c r="A33" s="8" t="s">
        <v>1509</v>
      </c>
      <c r="B33" s="7">
        <v>0.92152777777777772</v>
      </c>
    </row>
    <row r="34" spans="1:2" x14ac:dyDescent="0.25">
      <c r="A34" s="6" t="s">
        <v>29</v>
      </c>
      <c r="B34" s="7">
        <v>4.8013888888888898</v>
      </c>
    </row>
    <row r="35" spans="1:2" x14ac:dyDescent="0.25">
      <c r="A35" s="8" t="s">
        <v>1504</v>
      </c>
      <c r="B35" s="7">
        <v>1.4812500000000002</v>
      </c>
    </row>
    <row r="36" spans="1:2" x14ac:dyDescent="0.25">
      <c r="A36" s="8" t="s">
        <v>1507</v>
      </c>
      <c r="B36" s="7">
        <v>2.0381944444444451</v>
      </c>
    </row>
    <row r="37" spans="1:2" x14ac:dyDescent="0.25">
      <c r="A37" s="8" t="s">
        <v>1516</v>
      </c>
      <c r="B37" s="7">
        <v>0.43402777777777779</v>
      </c>
    </row>
    <row r="38" spans="1:2" x14ac:dyDescent="0.25">
      <c r="A38" s="8" t="s">
        <v>1509</v>
      </c>
      <c r="B38" s="7">
        <v>0.84791666666666665</v>
      </c>
    </row>
    <row r="39" spans="1:2" x14ac:dyDescent="0.25">
      <c r="A39" s="6" t="s">
        <v>33</v>
      </c>
      <c r="B39" s="7">
        <v>4.9868055555555557</v>
      </c>
    </row>
    <row r="40" spans="1:2" x14ac:dyDescent="0.25">
      <c r="A40" s="8" t="s">
        <v>1504</v>
      </c>
      <c r="B40" s="7">
        <v>1.6375000000000002</v>
      </c>
    </row>
    <row r="41" spans="1:2" x14ac:dyDescent="0.25">
      <c r="A41" s="8" t="s">
        <v>1507</v>
      </c>
      <c r="B41" s="7">
        <v>1.1493055555555556</v>
      </c>
    </row>
    <row r="42" spans="1:2" x14ac:dyDescent="0.25">
      <c r="A42" s="8" t="s">
        <v>1516</v>
      </c>
      <c r="B42" s="7">
        <v>0.82708333333333328</v>
      </c>
    </row>
    <row r="43" spans="1:2" x14ac:dyDescent="0.25">
      <c r="A43" s="8" t="s">
        <v>1509</v>
      </c>
      <c r="B43" s="7">
        <v>1.3729166666666666</v>
      </c>
    </row>
    <row r="44" spans="1:2" x14ac:dyDescent="0.25">
      <c r="A44" s="6" t="s">
        <v>57</v>
      </c>
      <c r="B44" s="7">
        <v>5.1277777777777782</v>
      </c>
    </row>
    <row r="45" spans="1:2" x14ac:dyDescent="0.25">
      <c r="A45" s="8" t="s">
        <v>1504</v>
      </c>
      <c r="B45" s="7">
        <v>1.8368055555555558</v>
      </c>
    </row>
    <row r="46" spans="1:2" x14ac:dyDescent="0.25">
      <c r="A46" s="8" t="s">
        <v>1507</v>
      </c>
      <c r="B46" s="7">
        <v>0.89166666666666661</v>
      </c>
    </row>
    <row r="47" spans="1:2" x14ac:dyDescent="0.25">
      <c r="A47" s="8" t="s">
        <v>1516</v>
      </c>
      <c r="B47" s="7">
        <v>1.2222222222222221</v>
      </c>
    </row>
    <row r="48" spans="1:2" x14ac:dyDescent="0.25">
      <c r="A48" s="8" t="s">
        <v>1509</v>
      </c>
      <c r="B48" s="7">
        <v>1.1770833333333335</v>
      </c>
    </row>
    <row r="49" spans="1:2" x14ac:dyDescent="0.25">
      <c r="A49" s="6" t="s">
        <v>64</v>
      </c>
      <c r="B49" s="7">
        <v>3.9659722222222222</v>
      </c>
    </row>
    <row r="50" spans="1:2" x14ac:dyDescent="0.25">
      <c r="A50" s="8" t="s">
        <v>1504</v>
      </c>
      <c r="B50" s="7">
        <v>0.80972222222222223</v>
      </c>
    </row>
    <row r="51" spans="1:2" x14ac:dyDescent="0.25">
      <c r="A51" s="8" t="s">
        <v>1507</v>
      </c>
      <c r="B51" s="7">
        <v>0.46875</v>
      </c>
    </row>
    <row r="52" spans="1:2" x14ac:dyDescent="0.25">
      <c r="A52" s="8" t="s">
        <v>1516</v>
      </c>
      <c r="B52" s="7">
        <v>1.5451388888888888</v>
      </c>
    </row>
    <row r="53" spans="1:2" x14ac:dyDescent="0.25">
      <c r="A53" s="8" t="s">
        <v>1509</v>
      </c>
      <c r="B53" s="7">
        <v>1.1423611111111112</v>
      </c>
    </row>
    <row r="54" spans="1:2" x14ac:dyDescent="0.25">
      <c r="A54" s="6" t="s">
        <v>62</v>
      </c>
      <c r="B54" s="7">
        <v>3.7333333333333334</v>
      </c>
    </row>
    <row r="55" spans="1:2" x14ac:dyDescent="0.25">
      <c r="A55" s="8" t="s">
        <v>1504</v>
      </c>
      <c r="B55" s="7">
        <v>0.6166666666666667</v>
      </c>
    </row>
    <row r="56" spans="1:2" x14ac:dyDescent="0.25">
      <c r="A56" s="8" t="s">
        <v>1507</v>
      </c>
      <c r="B56" s="7">
        <v>0.67361111111111116</v>
      </c>
    </row>
    <row r="57" spans="1:2" x14ac:dyDescent="0.25">
      <c r="A57" s="8" t="s">
        <v>1516</v>
      </c>
      <c r="B57" s="7">
        <v>1.3506944444444442</v>
      </c>
    </row>
    <row r="58" spans="1:2" x14ac:dyDescent="0.25">
      <c r="A58" s="8" t="s">
        <v>1509</v>
      </c>
      <c r="B58" s="7">
        <v>1.0923611111111111</v>
      </c>
    </row>
    <row r="59" spans="1:2" x14ac:dyDescent="0.25">
      <c r="A59" s="6" t="s">
        <v>40</v>
      </c>
      <c r="B59" s="7">
        <v>6.5638888888888891</v>
      </c>
    </row>
    <row r="60" spans="1:2" x14ac:dyDescent="0.25">
      <c r="A60" s="8" t="s">
        <v>1504</v>
      </c>
      <c r="B60" s="7">
        <v>1.6069444444444445</v>
      </c>
    </row>
    <row r="61" spans="1:2" x14ac:dyDescent="0.25">
      <c r="A61" s="8" t="s">
        <v>1507</v>
      </c>
      <c r="B61" s="7">
        <v>2.3881944444444447</v>
      </c>
    </row>
    <row r="62" spans="1:2" x14ac:dyDescent="0.25">
      <c r="A62" s="8" t="s">
        <v>1516</v>
      </c>
      <c r="B62" s="7">
        <v>0.65902777777777777</v>
      </c>
    </row>
    <row r="63" spans="1:2" x14ac:dyDescent="0.25">
      <c r="A63" s="8" t="s">
        <v>1509</v>
      </c>
      <c r="B63" s="7">
        <v>1.9097222222222221</v>
      </c>
    </row>
    <row r="64" spans="1:2" x14ac:dyDescent="0.25">
      <c r="A64" s="6" t="s">
        <v>51</v>
      </c>
      <c r="B64" s="7">
        <v>5.8666666666666671</v>
      </c>
    </row>
    <row r="65" spans="1:2" x14ac:dyDescent="0.25">
      <c r="A65" s="8" t="s">
        <v>1504</v>
      </c>
      <c r="B65" s="7">
        <v>1.9881944444444446</v>
      </c>
    </row>
    <row r="66" spans="1:2" x14ac:dyDescent="0.25">
      <c r="A66" s="8" t="s">
        <v>1507</v>
      </c>
      <c r="B66" s="7">
        <v>2.693055555555556</v>
      </c>
    </row>
    <row r="67" spans="1:2" x14ac:dyDescent="0.25">
      <c r="A67" s="8" t="s">
        <v>1516</v>
      </c>
      <c r="B67" s="7">
        <v>0.54027777777777786</v>
      </c>
    </row>
    <row r="68" spans="1:2" x14ac:dyDescent="0.25">
      <c r="A68" s="8" t="s">
        <v>1509</v>
      </c>
      <c r="B68" s="7">
        <v>0.64513888888888893</v>
      </c>
    </row>
    <row r="69" spans="1:2" x14ac:dyDescent="0.25">
      <c r="A69" s="6" t="s">
        <v>67</v>
      </c>
      <c r="B69" s="7">
        <v>3.7652777777777775</v>
      </c>
    </row>
    <row r="70" spans="1:2" x14ac:dyDescent="0.25">
      <c r="A70" s="8" t="s">
        <v>1504</v>
      </c>
      <c r="B70" s="7">
        <v>1.2409722222222224</v>
      </c>
    </row>
    <row r="71" spans="1:2" x14ac:dyDescent="0.25">
      <c r="A71" s="8" t="s">
        <v>1507</v>
      </c>
      <c r="B71" s="7">
        <v>0.33194444444444443</v>
      </c>
    </row>
    <row r="72" spans="1:2" x14ac:dyDescent="0.25">
      <c r="A72" s="8" t="s">
        <v>1516</v>
      </c>
      <c r="B72" s="7">
        <v>0.99722222222222212</v>
      </c>
    </row>
    <row r="73" spans="1:2" x14ac:dyDescent="0.25">
      <c r="A73" s="8" t="s">
        <v>1509</v>
      </c>
      <c r="B73" s="7">
        <v>1.195138888888889</v>
      </c>
    </row>
    <row r="74" spans="1:2" x14ac:dyDescent="0.25">
      <c r="A74" s="6" t="s">
        <v>137</v>
      </c>
      <c r="B74" s="7">
        <v>2.4972222222222218</v>
      </c>
    </row>
    <row r="75" spans="1:2" x14ac:dyDescent="0.25">
      <c r="A75" s="8" t="s">
        <v>1504</v>
      </c>
      <c r="B75" s="7">
        <v>0.77083333333333326</v>
      </c>
    </row>
    <row r="76" spans="1:2" x14ac:dyDescent="0.25">
      <c r="A76" s="8" t="s">
        <v>1507</v>
      </c>
      <c r="B76" s="7">
        <v>0.7055555555555556</v>
      </c>
    </row>
    <row r="77" spans="1:2" x14ac:dyDescent="0.25">
      <c r="A77" s="8" t="s">
        <v>1516</v>
      </c>
      <c r="B77" s="7">
        <v>0.69513888888888886</v>
      </c>
    </row>
    <row r="78" spans="1:2" x14ac:dyDescent="0.25">
      <c r="A78" s="8" t="s">
        <v>1509</v>
      </c>
      <c r="B78" s="7">
        <v>0.32569444444444445</v>
      </c>
    </row>
    <row r="79" spans="1:2" x14ac:dyDescent="0.25">
      <c r="A79" s="6" t="s">
        <v>44</v>
      </c>
      <c r="B79" s="7">
        <v>4.5374999999999996</v>
      </c>
    </row>
    <row r="80" spans="1:2" x14ac:dyDescent="0.25">
      <c r="A80" s="8" t="s">
        <v>1504</v>
      </c>
      <c r="B80" s="7">
        <v>2.0090277777777779</v>
      </c>
    </row>
    <row r="81" spans="1:2" x14ac:dyDescent="0.25">
      <c r="A81" s="8" t="s">
        <v>1507</v>
      </c>
      <c r="B81" s="7">
        <v>0.98750000000000004</v>
      </c>
    </row>
    <row r="82" spans="1:2" x14ac:dyDescent="0.25">
      <c r="A82" s="8" t="s">
        <v>1516</v>
      </c>
      <c r="B82" s="7">
        <v>0.57013888888888897</v>
      </c>
    </row>
    <row r="83" spans="1:2" x14ac:dyDescent="0.25">
      <c r="A83" s="8" t="s">
        <v>1509</v>
      </c>
      <c r="B83" s="7">
        <v>0.97083333333333333</v>
      </c>
    </row>
    <row r="84" spans="1:2" x14ac:dyDescent="0.25">
      <c r="A84" s="6" t="s">
        <v>78</v>
      </c>
      <c r="B84" s="7">
        <v>3.8430555555555554</v>
      </c>
    </row>
    <row r="85" spans="1:2" x14ac:dyDescent="0.25">
      <c r="A85" s="8" t="s">
        <v>1504</v>
      </c>
      <c r="B85" s="7">
        <v>0.9145833333333333</v>
      </c>
    </row>
    <row r="86" spans="1:2" x14ac:dyDescent="0.25">
      <c r="A86" s="8" t="s">
        <v>1507</v>
      </c>
      <c r="B86" s="7">
        <v>0.81736111111111109</v>
      </c>
    </row>
    <row r="87" spans="1:2" x14ac:dyDescent="0.25">
      <c r="A87" s="8" t="s">
        <v>1516</v>
      </c>
      <c r="B87" s="7">
        <v>1.2979166666666666</v>
      </c>
    </row>
    <row r="88" spans="1:2" x14ac:dyDescent="0.25">
      <c r="A88" s="8" t="s">
        <v>1509</v>
      </c>
      <c r="B88" s="7">
        <v>0.81319444444444444</v>
      </c>
    </row>
    <row r="89" spans="1:2" x14ac:dyDescent="0.25">
      <c r="A89" s="6" t="s">
        <v>16</v>
      </c>
      <c r="B89" s="7">
        <v>5.4194444444444443</v>
      </c>
    </row>
    <row r="90" spans="1:2" x14ac:dyDescent="0.25">
      <c r="A90" s="8" t="s">
        <v>1504</v>
      </c>
      <c r="B90" s="7">
        <v>2.9909722222222217</v>
      </c>
    </row>
    <row r="91" spans="1:2" x14ac:dyDescent="0.25">
      <c r="A91" s="8" t="s">
        <v>1507</v>
      </c>
      <c r="B91" s="7">
        <v>0.5527777777777777</v>
      </c>
    </row>
    <row r="92" spans="1:2" x14ac:dyDescent="0.25">
      <c r="A92" s="8" t="s">
        <v>1516</v>
      </c>
      <c r="B92" s="7">
        <v>0.34583333333333333</v>
      </c>
    </row>
    <row r="93" spans="1:2" x14ac:dyDescent="0.25">
      <c r="A93" s="8" t="s">
        <v>1509</v>
      </c>
      <c r="B93" s="7">
        <v>1.5298611111111113</v>
      </c>
    </row>
    <row r="94" spans="1:2" x14ac:dyDescent="0.25">
      <c r="A94" s="6" t="s">
        <v>131</v>
      </c>
      <c r="B94" s="7">
        <v>6.0541666666666663</v>
      </c>
    </row>
    <row r="95" spans="1:2" x14ac:dyDescent="0.25">
      <c r="A95" s="8" t="s">
        <v>1504</v>
      </c>
      <c r="B95" s="7">
        <v>1.2458333333333331</v>
      </c>
    </row>
    <row r="96" spans="1:2" x14ac:dyDescent="0.25">
      <c r="A96" s="8" t="s">
        <v>1507</v>
      </c>
      <c r="B96" s="7">
        <v>1.9840277777777782</v>
      </c>
    </row>
    <row r="97" spans="1:2" x14ac:dyDescent="0.25">
      <c r="A97" s="8" t="s">
        <v>1516</v>
      </c>
      <c r="B97" s="7">
        <v>1.5041666666666664</v>
      </c>
    </row>
    <row r="98" spans="1:2" x14ac:dyDescent="0.25">
      <c r="A98" s="8" t="s">
        <v>1509</v>
      </c>
      <c r="B98" s="7">
        <v>1.320138888888889</v>
      </c>
    </row>
    <row r="99" spans="1:2" x14ac:dyDescent="0.25">
      <c r="A99" s="6" t="s">
        <v>89</v>
      </c>
      <c r="B99" s="7">
        <v>4.3000000000000007</v>
      </c>
    </row>
    <row r="100" spans="1:2" x14ac:dyDescent="0.25">
      <c r="A100" s="8" t="s">
        <v>1504</v>
      </c>
      <c r="B100" s="7">
        <v>1.6097222222222225</v>
      </c>
    </row>
    <row r="101" spans="1:2" x14ac:dyDescent="0.25">
      <c r="A101" s="8" t="s">
        <v>1507</v>
      </c>
      <c r="B101" s="7">
        <v>0.79930555555555549</v>
      </c>
    </row>
    <row r="102" spans="1:2" x14ac:dyDescent="0.25">
      <c r="A102" s="8" t="s">
        <v>1516</v>
      </c>
      <c r="B102" s="7">
        <v>1.3555555555555556</v>
      </c>
    </row>
    <row r="103" spans="1:2" x14ac:dyDescent="0.25">
      <c r="A103" s="8" t="s">
        <v>1509</v>
      </c>
      <c r="B103" s="7">
        <v>0.53541666666666665</v>
      </c>
    </row>
    <row r="104" spans="1:2" x14ac:dyDescent="0.25">
      <c r="A104" s="6" t="s">
        <v>35</v>
      </c>
      <c r="B104" s="7">
        <v>4.6381944444444443</v>
      </c>
    </row>
    <row r="105" spans="1:2" x14ac:dyDescent="0.25">
      <c r="A105" s="8" t="s">
        <v>1504</v>
      </c>
      <c r="B105" s="7">
        <v>1.9958333333333336</v>
      </c>
    </row>
    <row r="106" spans="1:2" x14ac:dyDescent="0.25">
      <c r="A106" s="8" t="s">
        <v>1507</v>
      </c>
      <c r="B106" s="7">
        <v>1.1930555555555558</v>
      </c>
    </row>
    <row r="107" spans="1:2" x14ac:dyDescent="0.25">
      <c r="A107" s="8" t="s">
        <v>1516</v>
      </c>
      <c r="B107" s="7">
        <v>0.19166666666666668</v>
      </c>
    </row>
    <row r="108" spans="1:2" x14ac:dyDescent="0.25">
      <c r="A108" s="8" t="s">
        <v>1509</v>
      </c>
      <c r="B108" s="7">
        <v>1.2576388888888888</v>
      </c>
    </row>
    <row r="109" spans="1:2" x14ac:dyDescent="0.25">
      <c r="A109" s="6" t="s">
        <v>21</v>
      </c>
      <c r="B109" s="7">
        <v>3.8506944444444446</v>
      </c>
    </row>
    <row r="110" spans="1:2" x14ac:dyDescent="0.25">
      <c r="A110" s="8" t="s">
        <v>1504</v>
      </c>
      <c r="B110" s="7">
        <v>1.4395833333333334</v>
      </c>
    </row>
    <row r="111" spans="1:2" x14ac:dyDescent="0.25">
      <c r="A111" s="8" t="s">
        <v>1507</v>
      </c>
      <c r="B111" s="7">
        <v>0.84305555555555545</v>
      </c>
    </row>
    <row r="112" spans="1:2" x14ac:dyDescent="0.25">
      <c r="A112" s="8" t="s">
        <v>1516</v>
      </c>
      <c r="B112" s="7">
        <v>0.73958333333333337</v>
      </c>
    </row>
    <row r="113" spans="1:2" x14ac:dyDescent="0.25">
      <c r="A113" s="8" t="s">
        <v>1509</v>
      </c>
      <c r="B113" s="7">
        <v>0.82847222222222217</v>
      </c>
    </row>
    <row r="114" spans="1:2" x14ac:dyDescent="0.25">
      <c r="A114" s="6" t="s">
        <v>31</v>
      </c>
      <c r="B114" s="7">
        <v>6.0909722222222209</v>
      </c>
    </row>
    <row r="115" spans="1:2" x14ac:dyDescent="0.25">
      <c r="A115" s="8" t="s">
        <v>1504</v>
      </c>
      <c r="B115" s="7">
        <v>2.1805555555555554</v>
      </c>
    </row>
    <row r="116" spans="1:2" x14ac:dyDescent="0.25">
      <c r="A116" s="8" t="s">
        <v>1507</v>
      </c>
      <c r="B116" s="7">
        <v>1.8701388888888886</v>
      </c>
    </row>
    <row r="117" spans="1:2" x14ac:dyDescent="0.25">
      <c r="A117" s="8" t="s">
        <v>1516</v>
      </c>
      <c r="B117" s="7">
        <v>1.0687500000000001</v>
      </c>
    </row>
    <row r="118" spans="1:2" x14ac:dyDescent="0.25">
      <c r="A118" s="8" t="s">
        <v>1509</v>
      </c>
      <c r="B118" s="7">
        <v>0.97152777777777766</v>
      </c>
    </row>
    <row r="119" spans="1:2" x14ac:dyDescent="0.25">
      <c r="A119" s="6" t="s">
        <v>37</v>
      </c>
      <c r="B119" s="7">
        <v>4.6715277777777784</v>
      </c>
    </row>
    <row r="120" spans="1:2" x14ac:dyDescent="0.25">
      <c r="A120" s="8" t="s">
        <v>1504</v>
      </c>
      <c r="B120" s="7">
        <v>0.89027777777777783</v>
      </c>
    </row>
    <row r="121" spans="1:2" x14ac:dyDescent="0.25">
      <c r="A121" s="8" t="s">
        <v>1507</v>
      </c>
      <c r="B121" s="7">
        <v>1.490277777777778</v>
      </c>
    </row>
    <row r="122" spans="1:2" x14ac:dyDescent="0.25">
      <c r="A122" s="8" t="s">
        <v>1516</v>
      </c>
      <c r="B122" s="7">
        <v>0.91805555555555562</v>
      </c>
    </row>
    <row r="123" spans="1:2" x14ac:dyDescent="0.25">
      <c r="A123" s="8" t="s">
        <v>1509</v>
      </c>
      <c r="B123" s="7">
        <v>1.3729166666666668</v>
      </c>
    </row>
    <row r="124" spans="1:2" x14ac:dyDescent="0.25">
      <c r="A124" s="6" t="s">
        <v>73</v>
      </c>
      <c r="B124" s="7">
        <v>3.7625000000000002</v>
      </c>
    </row>
    <row r="125" spans="1:2" x14ac:dyDescent="0.25">
      <c r="A125" s="8" t="s">
        <v>1504</v>
      </c>
      <c r="B125" s="7">
        <v>0.98888888888888893</v>
      </c>
    </row>
    <row r="126" spans="1:2" x14ac:dyDescent="0.25">
      <c r="A126" s="8" t="s">
        <v>1507</v>
      </c>
      <c r="B126" s="7">
        <v>0.80833333333333335</v>
      </c>
    </row>
    <row r="127" spans="1:2" x14ac:dyDescent="0.25">
      <c r="A127" s="8" t="s">
        <v>1516</v>
      </c>
      <c r="B127" s="7">
        <v>0.66597222222222219</v>
      </c>
    </row>
    <row r="128" spans="1:2" x14ac:dyDescent="0.25">
      <c r="A128" s="8" t="s">
        <v>1509</v>
      </c>
      <c r="B128" s="7">
        <v>1.2993055555555555</v>
      </c>
    </row>
    <row r="129" spans="1:2" x14ac:dyDescent="0.25">
      <c r="A129" s="6" t="s">
        <v>13</v>
      </c>
      <c r="B129" s="7">
        <v>4.5618055555555559</v>
      </c>
    </row>
    <row r="130" spans="1:2" x14ac:dyDescent="0.25">
      <c r="A130" s="8" t="s">
        <v>1504</v>
      </c>
      <c r="B130" s="7">
        <v>2.3673611111111112</v>
      </c>
    </row>
    <row r="131" spans="1:2" x14ac:dyDescent="0.25">
      <c r="A131" s="8" t="s">
        <v>1507</v>
      </c>
      <c r="B131" s="7">
        <v>0.65694444444444444</v>
      </c>
    </row>
    <row r="132" spans="1:2" x14ac:dyDescent="0.25">
      <c r="A132" s="8" t="s">
        <v>1516</v>
      </c>
      <c r="B132" s="7">
        <v>1.0652777777777778</v>
      </c>
    </row>
    <row r="133" spans="1:2" x14ac:dyDescent="0.25">
      <c r="A133" s="8" t="s">
        <v>1509</v>
      </c>
      <c r="B133" s="7">
        <v>0.47222222222222221</v>
      </c>
    </row>
    <row r="134" spans="1:2" x14ac:dyDescent="0.25">
      <c r="A134" s="6" t="s">
        <v>1697</v>
      </c>
      <c r="B134" s="7">
        <v>126.1229166666667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6BE1F-52B9-4AC1-AACD-5D67E895BDD8}">
  <sheetPr>
    <tabColor rgb="FF002060"/>
  </sheetPr>
  <dimension ref="A3:C82"/>
  <sheetViews>
    <sheetView workbookViewId="0">
      <selection activeCell="D12" sqref="D12"/>
    </sheetView>
  </sheetViews>
  <sheetFormatPr baseColWidth="10" defaultRowHeight="15" x14ac:dyDescent="0.25"/>
  <cols>
    <col min="1" max="1" width="21.42578125" bestFit="1" customWidth="1"/>
    <col min="2" max="2" width="28" bestFit="1" customWidth="1"/>
    <col min="3" max="3" width="9.42578125" bestFit="1" customWidth="1"/>
  </cols>
  <sheetData>
    <row r="3" spans="1:3" x14ac:dyDescent="0.25">
      <c r="A3" s="5" t="s">
        <v>1698</v>
      </c>
      <c r="B3" t="s">
        <v>1700</v>
      </c>
      <c r="C3" t="s">
        <v>1701</v>
      </c>
    </row>
    <row r="4" spans="1:3" x14ac:dyDescent="0.25">
      <c r="A4" s="6" t="s">
        <v>26</v>
      </c>
      <c r="B4" s="1"/>
      <c r="C4" s="1"/>
    </row>
    <row r="5" spans="1:3" x14ac:dyDescent="0.25">
      <c r="A5" s="8" t="s">
        <v>813</v>
      </c>
      <c r="B5" s="1">
        <v>14</v>
      </c>
      <c r="C5" s="9">
        <v>0.53846153846153844</v>
      </c>
    </row>
    <row r="6" spans="1:3" x14ac:dyDescent="0.25">
      <c r="A6" s="8" t="s">
        <v>811</v>
      </c>
      <c r="B6" s="1">
        <v>9</v>
      </c>
      <c r="C6" s="9">
        <v>0.34615384615384615</v>
      </c>
    </row>
    <row r="7" spans="1:3" x14ac:dyDescent="0.25">
      <c r="A7" s="6" t="s">
        <v>60</v>
      </c>
      <c r="B7" s="1"/>
      <c r="C7" s="1"/>
    </row>
    <row r="8" spans="1:3" x14ac:dyDescent="0.25">
      <c r="A8" s="8" t="s">
        <v>813</v>
      </c>
      <c r="B8" s="1">
        <v>8</v>
      </c>
      <c r="C8" s="9">
        <v>0.30769230769230771</v>
      </c>
    </row>
    <row r="9" spans="1:3" x14ac:dyDescent="0.25">
      <c r="A9" s="8" t="s">
        <v>811</v>
      </c>
      <c r="B9" s="1">
        <v>7</v>
      </c>
      <c r="C9" s="9">
        <v>0.26923076923076922</v>
      </c>
    </row>
    <row r="10" spans="1:3" x14ac:dyDescent="0.25">
      <c r="A10" s="6" t="s">
        <v>24</v>
      </c>
      <c r="B10" s="1"/>
      <c r="C10" s="1"/>
    </row>
    <row r="11" spans="1:3" x14ac:dyDescent="0.25">
      <c r="A11" s="8" t="s">
        <v>813</v>
      </c>
      <c r="B11" s="1">
        <v>9</v>
      </c>
      <c r="C11" s="9">
        <v>0.34615384615384615</v>
      </c>
    </row>
    <row r="12" spans="1:3" x14ac:dyDescent="0.25">
      <c r="A12" s="8" t="s">
        <v>811</v>
      </c>
      <c r="B12" s="1">
        <v>17</v>
      </c>
      <c r="C12" s="9">
        <v>0.65384615384615385</v>
      </c>
    </row>
    <row r="13" spans="1:3" x14ac:dyDescent="0.25">
      <c r="A13" s="6" t="s">
        <v>18</v>
      </c>
      <c r="B13" s="1"/>
      <c r="C13" s="1"/>
    </row>
    <row r="14" spans="1:3" x14ac:dyDescent="0.25">
      <c r="A14" s="8" t="s">
        <v>813</v>
      </c>
      <c r="B14" s="1">
        <v>6</v>
      </c>
      <c r="C14" s="9">
        <v>0.23076923076923078</v>
      </c>
    </row>
    <row r="15" spans="1:3" x14ac:dyDescent="0.25">
      <c r="A15" s="8" t="s">
        <v>811</v>
      </c>
      <c r="B15" s="1">
        <v>7</v>
      </c>
      <c r="C15" s="9">
        <v>0.26923076923076922</v>
      </c>
    </row>
    <row r="16" spans="1:3" x14ac:dyDescent="0.25">
      <c r="A16" s="6" t="s">
        <v>127</v>
      </c>
      <c r="B16" s="1"/>
      <c r="C16" s="1"/>
    </row>
    <row r="17" spans="1:3" x14ac:dyDescent="0.25">
      <c r="A17" s="8" t="s">
        <v>813</v>
      </c>
      <c r="B17" s="1">
        <v>6</v>
      </c>
      <c r="C17" s="9">
        <v>0.23076923076923078</v>
      </c>
    </row>
    <row r="18" spans="1:3" x14ac:dyDescent="0.25">
      <c r="A18" s="8" t="s">
        <v>811</v>
      </c>
      <c r="B18" s="1">
        <v>6</v>
      </c>
      <c r="C18" s="9">
        <v>0.23076923076923078</v>
      </c>
    </row>
    <row r="19" spans="1:3" x14ac:dyDescent="0.25">
      <c r="A19" s="6" t="s">
        <v>10</v>
      </c>
      <c r="B19" s="1"/>
      <c r="C19" s="1"/>
    </row>
    <row r="20" spans="1:3" x14ac:dyDescent="0.25">
      <c r="A20" s="8" t="s">
        <v>813</v>
      </c>
      <c r="B20" s="1">
        <v>10</v>
      </c>
      <c r="C20" s="9">
        <v>0.38461538461538464</v>
      </c>
    </row>
    <row r="21" spans="1:3" x14ac:dyDescent="0.25">
      <c r="A21" s="8" t="s">
        <v>811</v>
      </c>
      <c r="B21" s="1">
        <v>13</v>
      </c>
      <c r="C21" s="9">
        <v>0.5</v>
      </c>
    </row>
    <row r="22" spans="1:3" x14ac:dyDescent="0.25">
      <c r="A22" s="6" t="s">
        <v>29</v>
      </c>
      <c r="B22" s="1"/>
      <c r="C22" s="1"/>
    </row>
    <row r="23" spans="1:3" x14ac:dyDescent="0.25">
      <c r="A23" s="8" t="s">
        <v>813</v>
      </c>
      <c r="B23" s="1">
        <v>8</v>
      </c>
      <c r="C23" s="9">
        <v>0.30769230769230771</v>
      </c>
    </row>
    <row r="24" spans="1:3" x14ac:dyDescent="0.25">
      <c r="A24" s="8" t="s">
        <v>811</v>
      </c>
      <c r="B24" s="1">
        <v>9</v>
      </c>
      <c r="C24" s="9">
        <v>0.34615384615384615</v>
      </c>
    </row>
    <row r="25" spans="1:3" x14ac:dyDescent="0.25">
      <c r="A25" s="6" t="s">
        <v>33</v>
      </c>
      <c r="B25" s="1"/>
      <c r="C25" s="1"/>
    </row>
    <row r="26" spans="1:3" x14ac:dyDescent="0.25">
      <c r="A26" s="8" t="s">
        <v>813</v>
      </c>
      <c r="B26" s="1">
        <v>11</v>
      </c>
      <c r="C26" s="9">
        <v>0.42307692307692307</v>
      </c>
    </row>
    <row r="27" spans="1:3" x14ac:dyDescent="0.25">
      <c r="A27" s="8" t="s">
        <v>811</v>
      </c>
      <c r="B27" s="1">
        <v>4</v>
      </c>
      <c r="C27" s="9">
        <v>0.15384615384615385</v>
      </c>
    </row>
    <row r="28" spans="1:3" x14ac:dyDescent="0.25">
      <c r="A28" s="6" t="s">
        <v>57</v>
      </c>
      <c r="B28" s="1"/>
      <c r="C28" s="1"/>
    </row>
    <row r="29" spans="1:3" x14ac:dyDescent="0.25">
      <c r="A29" s="8" t="s">
        <v>813</v>
      </c>
      <c r="B29" s="1">
        <v>10</v>
      </c>
      <c r="C29" s="9">
        <v>0.38461538461538464</v>
      </c>
    </row>
    <row r="30" spans="1:3" x14ac:dyDescent="0.25">
      <c r="A30" s="8" t="s">
        <v>811</v>
      </c>
      <c r="B30" s="1">
        <v>8</v>
      </c>
      <c r="C30" s="9">
        <v>0.30769230769230771</v>
      </c>
    </row>
    <row r="31" spans="1:3" x14ac:dyDescent="0.25">
      <c r="A31" s="6" t="s">
        <v>64</v>
      </c>
      <c r="B31" s="1"/>
      <c r="C31" s="1"/>
    </row>
    <row r="32" spans="1:3" x14ac:dyDescent="0.25">
      <c r="A32" s="8" t="s">
        <v>813</v>
      </c>
      <c r="B32" s="1">
        <v>11</v>
      </c>
      <c r="C32" s="9">
        <v>0.42307692307692307</v>
      </c>
    </row>
    <row r="33" spans="1:3" x14ac:dyDescent="0.25">
      <c r="A33" s="8" t="s">
        <v>811</v>
      </c>
      <c r="B33" s="1">
        <v>9</v>
      </c>
      <c r="C33" s="9">
        <v>0.34615384615384615</v>
      </c>
    </row>
    <row r="34" spans="1:3" x14ac:dyDescent="0.25">
      <c r="A34" s="6" t="s">
        <v>62</v>
      </c>
      <c r="B34" s="1"/>
      <c r="C34" s="1"/>
    </row>
    <row r="35" spans="1:3" x14ac:dyDescent="0.25">
      <c r="A35" s="8" t="s">
        <v>813</v>
      </c>
      <c r="B35" s="1">
        <v>8</v>
      </c>
      <c r="C35" s="9">
        <v>0.30769230769230771</v>
      </c>
    </row>
    <row r="36" spans="1:3" x14ac:dyDescent="0.25">
      <c r="A36" s="8" t="s">
        <v>811</v>
      </c>
      <c r="B36" s="1">
        <v>8</v>
      </c>
      <c r="C36" s="9">
        <v>0.30769230769230771</v>
      </c>
    </row>
    <row r="37" spans="1:3" x14ac:dyDescent="0.25">
      <c r="A37" s="6" t="s">
        <v>40</v>
      </c>
      <c r="B37" s="1"/>
      <c r="C37" s="1"/>
    </row>
    <row r="38" spans="1:3" x14ac:dyDescent="0.25">
      <c r="A38" s="8" t="s">
        <v>813</v>
      </c>
      <c r="B38" s="1">
        <v>5</v>
      </c>
      <c r="C38" s="9">
        <v>0.19230769230769232</v>
      </c>
    </row>
    <row r="39" spans="1:3" x14ac:dyDescent="0.25">
      <c r="A39" s="8" t="s">
        <v>811</v>
      </c>
      <c r="B39" s="1">
        <v>16</v>
      </c>
      <c r="C39" s="9">
        <v>0.61538461538461542</v>
      </c>
    </row>
    <row r="40" spans="1:3" x14ac:dyDescent="0.25">
      <c r="A40" s="6" t="s">
        <v>51</v>
      </c>
      <c r="B40" s="1"/>
      <c r="C40" s="1"/>
    </row>
    <row r="41" spans="1:3" x14ac:dyDescent="0.25">
      <c r="A41" s="8" t="s">
        <v>813</v>
      </c>
      <c r="B41" s="1">
        <v>16</v>
      </c>
      <c r="C41" s="9">
        <v>0.61538461538461542</v>
      </c>
    </row>
    <row r="42" spans="1:3" x14ac:dyDescent="0.25">
      <c r="A42" s="8" t="s">
        <v>811</v>
      </c>
      <c r="B42" s="1">
        <v>9</v>
      </c>
      <c r="C42" s="9">
        <v>0.34615384615384615</v>
      </c>
    </row>
    <row r="43" spans="1:3" x14ac:dyDescent="0.25">
      <c r="A43" s="6" t="s">
        <v>67</v>
      </c>
      <c r="B43" s="1"/>
      <c r="C43" s="1"/>
    </row>
    <row r="44" spans="1:3" x14ac:dyDescent="0.25">
      <c r="A44" s="8" t="s">
        <v>813</v>
      </c>
      <c r="B44" s="1">
        <v>8</v>
      </c>
      <c r="C44" s="9">
        <v>0.30769230769230771</v>
      </c>
    </row>
    <row r="45" spans="1:3" x14ac:dyDescent="0.25">
      <c r="A45" s="8" t="s">
        <v>811</v>
      </c>
      <c r="B45" s="1">
        <v>9</v>
      </c>
      <c r="C45" s="9">
        <v>0.34615384615384615</v>
      </c>
    </row>
    <row r="46" spans="1:3" x14ac:dyDescent="0.25">
      <c r="A46" s="6" t="s">
        <v>137</v>
      </c>
      <c r="B46" s="1"/>
      <c r="C46" s="1"/>
    </row>
    <row r="47" spans="1:3" x14ac:dyDescent="0.25">
      <c r="A47" s="8" t="s">
        <v>813</v>
      </c>
      <c r="B47" s="1">
        <v>4</v>
      </c>
      <c r="C47" s="9">
        <v>0.15384615384615385</v>
      </c>
    </row>
    <row r="48" spans="1:3" x14ac:dyDescent="0.25">
      <c r="A48" s="8" t="s">
        <v>811</v>
      </c>
      <c r="B48" s="1">
        <v>12</v>
      </c>
      <c r="C48" s="9">
        <v>0.46153846153846156</v>
      </c>
    </row>
    <row r="49" spans="1:3" x14ac:dyDescent="0.25">
      <c r="A49" s="6" t="s">
        <v>44</v>
      </c>
      <c r="B49" s="1"/>
      <c r="C49" s="1"/>
    </row>
    <row r="50" spans="1:3" x14ac:dyDescent="0.25">
      <c r="A50" s="8" t="s">
        <v>813</v>
      </c>
      <c r="B50" s="1">
        <v>12</v>
      </c>
      <c r="C50" s="9">
        <v>0.46153846153846156</v>
      </c>
    </row>
    <row r="51" spans="1:3" x14ac:dyDescent="0.25">
      <c r="A51" s="8" t="s">
        <v>811</v>
      </c>
      <c r="B51" s="1">
        <v>9</v>
      </c>
      <c r="C51" s="9">
        <v>0.34615384615384615</v>
      </c>
    </row>
    <row r="52" spans="1:3" x14ac:dyDescent="0.25">
      <c r="A52" s="6" t="s">
        <v>78</v>
      </c>
      <c r="B52" s="1"/>
      <c r="C52" s="1"/>
    </row>
    <row r="53" spans="1:3" x14ac:dyDescent="0.25">
      <c r="A53" s="8" t="s">
        <v>813</v>
      </c>
      <c r="B53" s="1">
        <v>9</v>
      </c>
      <c r="C53" s="9">
        <v>0.34615384615384615</v>
      </c>
    </row>
    <row r="54" spans="1:3" x14ac:dyDescent="0.25">
      <c r="A54" s="8" t="s">
        <v>811</v>
      </c>
      <c r="B54" s="1">
        <v>10</v>
      </c>
      <c r="C54" s="9">
        <v>0.38461538461538464</v>
      </c>
    </row>
    <row r="55" spans="1:3" x14ac:dyDescent="0.25">
      <c r="A55" s="6" t="s">
        <v>16</v>
      </c>
      <c r="B55" s="1"/>
      <c r="C55" s="1"/>
    </row>
    <row r="56" spans="1:3" x14ac:dyDescent="0.25">
      <c r="A56" s="8" t="s">
        <v>813</v>
      </c>
      <c r="B56" s="1">
        <v>7</v>
      </c>
      <c r="C56" s="9">
        <v>0.26923076923076922</v>
      </c>
    </row>
    <row r="57" spans="1:3" x14ac:dyDescent="0.25">
      <c r="A57" s="8" t="s">
        <v>811</v>
      </c>
      <c r="B57" s="1">
        <v>9</v>
      </c>
      <c r="C57" s="9">
        <v>0.34615384615384615</v>
      </c>
    </row>
    <row r="58" spans="1:3" x14ac:dyDescent="0.25">
      <c r="A58" s="6" t="s">
        <v>131</v>
      </c>
      <c r="B58" s="1"/>
      <c r="C58" s="1"/>
    </row>
    <row r="59" spans="1:3" x14ac:dyDescent="0.25">
      <c r="A59" s="8" t="s">
        <v>813</v>
      </c>
      <c r="B59" s="1">
        <v>17</v>
      </c>
      <c r="C59" s="9">
        <v>0.65384615384615385</v>
      </c>
    </row>
    <row r="60" spans="1:3" x14ac:dyDescent="0.25">
      <c r="A60" s="8" t="s">
        <v>811</v>
      </c>
      <c r="B60" s="1">
        <v>7</v>
      </c>
      <c r="C60" s="9">
        <v>0.26923076923076922</v>
      </c>
    </row>
    <row r="61" spans="1:3" x14ac:dyDescent="0.25">
      <c r="A61" s="6" t="s">
        <v>89</v>
      </c>
      <c r="B61" s="1"/>
      <c r="C61" s="1"/>
    </row>
    <row r="62" spans="1:3" x14ac:dyDescent="0.25">
      <c r="A62" s="8" t="s">
        <v>813</v>
      </c>
      <c r="B62" s="1">
        <v>9</v>
      </c>
      <c r="C62" s="9">
        <v>0.34615384615384615</v>
      </c>
    </row>
    <row r="63" spans="1:3" x14ac:dyDescent="0.25">
      <c r="A63" s="8" t="s">
        <v>811</v>
      </c>
      <c r="B63" s="1">
        <v>9</v>
      </c>
      <c r="C63" s="9">
        <v>0.34615384615384615</v>
      </c>
    </row>
    <row r="64" spans="1:3" x14ac:dyDescent="0.25">
      <c r="A64" s="6" t="s">
        <v>35</v>
      </c>
      <c r="B64" s="1"/>
      <c r="C64" s="1"/>
    </row>
    <row r="65" spans="1:3" x14ac:dyDescent="0.25">
      <c r="A65" s="8" t="s">
        <v>813</v>
      </c>
      <c r="B65" s="1">
        <v>6</v>
      </c>
      <c r="C65" s="9">
        <v>0.23076923076923078</v>
      </c>
    </row>
    <row r="66" spans="1:3" x14ac:dyDescent="0.25">
      <c r="A66" s="8" t="s">
        <v>811</v>
      </c>
      <c r="B66" s="1">
        <v>12</v>
      </c>
      <c r="C66" s="9">
        <v>0.46153846153846156</v>
      </c>
    </row>
    <row r="67" spans="1:3" x14ac:dyDescent="0.25">
      <c r="A67" s="6" t="s">
        <v>21</v>
      </c>
      <c r="B67" s="1"/>
      <c r="C67" s="1"/>
    </row>
    <row r="68" spans="1:3" x14ac:dyDescent="0.25">
      <c r="A68" s="8" t="s">
        <v>813</v>
      </c>
      <c r="B68" s="1">
        <v>8</v>
      </c>
      <c r="C68" s="9">
        <v>0.30769230769230771</v>
      </c>
    </row>
    <row r="69" spans="1:3" x14ac:dyDescent="0.25">
      <c r="A69" s="8" t="s">
        <v>811</v>
      </c>
      <c r="B69" s="1">
        <v>9</v>
      </c>
      <c r="C69" s="9">
        <v>0.34615384615384615</v>
      </c>
    </row>
    <row r="70" spans="1:3" x14ac:dyDescent="0.25">
      <c r="A70" s="6" t="s">
        <v>31</v>
      </c>
      <c r="B70" s="1"/>
      <c r="C70" s="1"/>
    </row>
    <row r="71" spans="1:3" x14ac:dyDescent="0.25">
      <c r="A71" s="8" t="s">
        <v>813</v>
      </c>
      <c r="B71" s="1">
        <v>13</v>
      </c>
      <c r="C71" s="9">
        <v>0.5</v>
      </c>
    </row>
    <row r="72" spans="1:3" x14ac:dyDescent="0.25">
      <c r="A72" s="8" t="s">
        <v>811</v>
      </c>
      <c r="B72" s="1">
        <v>13</v>
      </c>
      <c r="C72" s="9">
        <v>0.5</v>
      </c>
    </row>
    <row r="73" spans="1:3" x14ac:dyDescent="0.25">
      <c r="A73" s="6" t="s">
        <v>37</v>
      </c>
      <c r="B73" s="1"/>
      <c r="C73" s="1"/>
    </row>
    <row r="74" spans="1:3" x14ac:dyDescent="0.25">
      <c r="A74" s="8" t="s">
        <v>813</v>
      </c>
      <c r="B74" s="1">
        <v>13</v>
      </c>
      <c r="C74" s="9">
        <v>0.5</v>
      </c>
    </row>
    <row r="75" spans="1:3" x14ac:dyDescent="0.25">
      <c r="A75" s="8" t="s">
        <v>811</v>
      </c>
      <c r="B75" s="1">
        <v>5</v>
      </c>
      <c r="C75" s="9">
        <v>0.19230769230769232</v>
      </c>
    </row>
    <row r="76" spans="1:3" x14ac:dyDescent="0.25">
      <c r="A76" s="6" t="s">
        <v>73</v>
      </c>
      <c r="B76" s="1"/>
      <c r="C76" s="1"/>
    </row>
    <row r="77" spans="1:3" x14ac:dyDescent="0.25">
      <c r="A77" s="8" t="s">
        <v>813</v>
      </c>
      <c r="B77" s="1">
        <v>9</v>
      </c>
      <c r="C77" s="9">
        <v>0.34615384615384615</v>
      </c>
    </row>
    <row r="78" spans="1:3" x14ac:dyDescent="0.25">
      <c r="A78" s="8" t="s">
        <v>811</v>
      </c>
      <c r="B78" s="1">
        <v>9</v>
      </c>
      <c r="C78" s="9">
        <v>0.34615384615384615</v>
      </c>
    </row>
    <row r="79" spans="1:3" x14ac:dyDescent="0.25">
      <c r="A79" s="6" t="s">
        <v>13</v>
      </c>
      <c r="B79" s="1"/>
      <c r="C79" s="1"/>
    </row>
    <row r="80" spans="1:3" x14ac:dyDescent="0.25">
      <c r="A80" s="8" t="s">
        <v>813</v>
      </c>
      <c r="B80" s="1">
        <v>7</v>
      </c>
      <c r="C80" s="9">
        <v>0.26923076923076922</v>
      </c>
    </row>
    <row r="81" spans="1:3" x14ac:dyDescent="0.25">
      <c r="A81" s="8" t="s">
        <v>811</v>
      </c>
      <c r="B81" s="1">
        <v>9</v>
      </c>
      <c r="C81" s="9">
        <v>0.34615384615384615</v>
      </c>
    </row>
    <row r="82" spans="1:3" x14ac:dyDescent="0.25">
      <c r="A82" s="6" t="s">
        <v>1697</v>
      </c>
      <c r="B82" s="1">
        <v>488</v>
      </c>
      <c r="C82" s="9">
        <v>18.76923076923077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C38E9-B34E-44C3-A3FC-41C21034BD07}">
  <sheetPr>
    <tabColor rgb="FFFF0000"/>
  </sheetPr>
  <dimension ref="A3:B31"/>
  <sheetViews>
    <sheetView topLeftCell="A12" workbookViewId="0">
      <selection activeCell="C26" sqref="C26"/>
    </sheetView>
  </sheetViews>
  <sheetFormatPr baseColWidth="10" defaultRowHeight="15" x14ac:dyDescent="0.25"/>
  <cols>
    <col min="1" max="1" width="21.42578125" bestFit="1" customWidth="1"/>
    <col min="2" max="2" width="26.5703125" bestFit="1" customWidth="1"/>
  </cols>
  <sheetData>
    <row r="3" spans="1:2" x14ac:dyDescent="0.25">
      <c r="A3" s="5" t="s">
        <v>1698</v>
      </c>
      <c r="B3" t="s">
        <v>1709</v>
      </c>
    </row>
    <row r="4" spans="1:2" x14ac:dyDescent="0.25">
      <c r="A4" s="6" t="s">
        <v>26</v>
      </c>
      <c r="B4" s="1">
        <v>556.37549999999999</v>
      </c>
    </row>
    <row r="5" spans="1:2" x14ac:dyDescent="0.25">
      <c r="A5" s="6" t="s">
        <v>60</v>
      </c>
      <c r="B5" s="1">
        <v>378.62800000000004</v>
      </c>
    </row>
    <row r="6" spans="1:2" x14ac:dyDescent="0.25">
      <c r="A6" s="6" t="s">
        <v>24</v>
      </c>
      <c r="B6" s="1">
        <v>519.11250000000007</v>
      </c>
    </row>
    <row r="7" spans="1:2" x14ac:dyDescent="0.25">
      <c r="A7" s="6" t="s">
        <v>18</v>
      </c>
      <c r="B7" s="1">
        <v>459.34749999999991</v>
      </c>
    </row>
    <row r="8" spans="1:2" x14ac:dyDescent="0.25">
      <c r="A8" s="6" t="s">
        <v>127</v>
      </c>
      <c r="B8" s="1">
        <v>201.09950000000001</v>
      </c>
    </row>
    <row r="9" spans="1:2" x14ac:dyDescent="0.25">
      <c r="A9" s="6" t="s">
        <v>10</v>
      </c>
      <c r="B9" s="1">
        <v>558.30650000000003</v>
      </c>
    </row>
    <row r="10" spans="1:2" x14ac:dyDescent="0.25">
      <c r="A10" s="6" t="s">
        <v>29</v>
      </c>
      <c r="B10" s="1">
        <v>486.87650000000008</v>
      </c>
    </row>
    <row r="11" spans="1:2" x14ac:dyDescent="0.25">
      <c r="A11" s="6" t="s">
        <v>33</v>
      </c>
      <c r="B11" s="1">
        <v>550.49800000000005</v>
      </c>
    </row>
    <row r="12" spans="1:2" x14ac:dyDescent="0.25">
      <c r="A12" s="6" t="s">
        <v>57</v>
      </c>
      <c r="B12" s="1">
        <v>369.82499999999999</v>
      </c>
    </row>
    <row r="13" spans="1:2" x14ac:dyDescent="0.25">
      <c r="A13" s="6" t="s">
        <v>64</v>
      </c>
      <c r="B13" s="1">
        <v>299.17700000000002</v>
      </c>
    </row>
    <row r="14" spans="1:2" x14ac:dyDescent="0.25">
      <c r="A14" s="6" t="s">
        <v>62</v>
      </c>
      <c r="B14" s="1">
        <v>269.56799999999998</v>
      </c>
    </row>
    <row r="15" spans="1:2" x14ac:dyDescent="0.25">
      <c r="A15" s="6" t="s">
        <v>40</v>
      </c>
      <c r="B15" s="1">
        <v>598.78149999999982</v>
      </c>
    </row>
    <row r="16" spans="1:2" x14ac:dyDescent="0.25">
      <c r="A16" s="6" t="s">
        <v>51</v>
      </c>
      <c r="B16" s="1">
        <v>510.76549999999997</v>
      </c>
    </row>
    <row r="17" spans="1:2" x14ac:dyDescent="0.25">
      <c r="A17" s="6" t="s">
        <v>67</v>
      </c>
      <c r="B17" s="1">
        <v>281.45849999999996</v>
      </c>
    </row>
    <row r="18" spans="1:2" x14ac:dyDescent="0.25">
      <c r="A18" s="6" t="s">
        <v>137</v>
      </c>
      <c r="B18" s="1">
        <v>196.44450000000001</v>
      </c>
    </row>
    <row r="19" spans="1:2" x14ac:dyDescent="0.25">
      <c r="A19" s="6" t="s">
        <v>44</v>
      </c>
      <c r="B19" s="1">
        <v>527.6400000000001</v>
      </c>
    </row>
    <row r="20" spans="1:2" x14ac:dyDescent="0.25">
      <c r="A20" s="6" t="s">
        <v>78</v>
      </c>
      <c r="B20" s="1">
        <v>377.74350000000004</v>
      </c>
    </row>
    <row r="21" spans="1:2" x14ac:dyDescent="0.25">
      <c r="A21" s="6" t="s">
        <v>16</v>
      </c>
      <c r="B21" s="1">
        <v>311.96899999999994</v>
      </c>
    </row>
    <row r="22" spans="1:2" x14ac:dyDescent="0.25">
      <c r="A22" s="6" t="s">
        <v>131</v>
      </c>
      <c r="B22" s="1">
        <v>580.17000000000007</v>
      </c>
    </row>
    <row r="23" spans="1:2" x14ac:dyDescent="0.25">
      <c r="A23" s="6" t="s">
        <v>89</v>
      </c>
      <c r="B23" s="1">
        <v>491.86499999999995</v>
      </c>
    </row>
    <row r="24" spans="1:2" x14ac:dyDescent="0.25">
      <c r="A24" s="6" t="s">
        <v>35</v>
      </c>
      <c r="B24" s="1">
        <v>448.64350000000007</v>
      </c>
    </row>
    <row r="25" spans="1:2" x14ac:dyDescent="0.25">
      <c r="A25" s="6" t="s">
        <v>21</v>
      </c>
      <c r="B25" s="1">
        <v>243.81349999999998</v>
      </c>
    </row>
    <row r="26" spans="1:2" x14ac:dyDescent="0.25">
      <c r="A26" s="6" t="s">
        <v>31</v>
      </c>
      <c r="B26" s="1">
        <v>438.92649999999992</v>
      </c>
    </row>
    <row r="27" spans="1:2" x14ac:dyDescent="0.25">
      <c r="A27" s="6" t="s">
        <v>37</v>
      </c>
      <c r="B27" s="1">
        <v>410.51799999999992</v>
      </c>
    </row>
    <row r="28" spans="1:2" x14ac:dyDescent="0.25">
      <c r="A28" s="6" t="s">
        <v>73</v>
      </c>
      <c r="B28" s="1">
        <v>365.15550000000002</v>
      </c>
    </row>
    <row r="29" spans="1:2" x14ac:dyDescent="0.25">
      <c r="A29" s="6" t="s">
        <v>13</v>
      </c>
      <c r="B29" s="1">
        <v>451.19249999999994</v>
      </c>
    </row>
    <row r="30" spans="1:2" x14ac:dyDescent="0.25">
      <c r="A30" s="6" t="s">
        <v>1708</v>
      </c>
      <c r="B30" s="1"/>
    </row>
    <row r="31" spans="1:2" x14ac:dyDescent="0.25">
      <c r="A31" s="6" t="s">
        <v>1697</v>
      </c>
      <c r="B31" s="1">
        <v>10883.901000000002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3F82C-EFB6-42F1-A177-367264E1FB7D}">
  <sheetPr>
    <tabColor theme="9"/>
  </sheetPr>
  <dimension ref="A1:Q749"/>
  <sheetViews>
    <sheetView tabSelected="1" topLeftCell="C1" workbookViewId="0">
      <selection activeCell="F8" sqref="F8"/>
    </sheetView>
  </sheetViews>
  <sheetFormatPr baseColWidth="10" defaultRowHeight="15" x14ac:dyDescent="0.25"/>
  <cols>
    <col min="1" max="1" width="24.5703125" bestFit="1" customWidth="1"/>
    <col min="2" max="2" width="11.7109375" bestFit="1" customWidth="1"/>
    <col min="3" max="3" width="17.5703125" bestFit="1" customWidth="1"/>
    <col min="4" max="7" width="17.5703125" customWidth="1"/>
    <col min="8" max="8" width="18.85546875" bestFit="1" customWidth="1"/>
    <col min="9" max="9" width="18.85546875" customWidth="1"/>
    <col min="10" max="10" width="29" bestFit="1" customWidth="1"/>
    <col min="11" max="11" width="17.7109375" bestFit="1" customWidth="1"/>
    <col min="12" max="12" width="29" bestFit="1" customWidth="1"/>
    <col min="13" max="13" width="29" style="4" customWidth="1"/>
    <col min="14" max="14" width="20.42578125" bestFit="1" customWidth="1"/>
    <col min="15" max="16" width="20.42578125" customWidth="1"/>
    <col min="17" max="17" width="24.855468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803</v>
      </c>
      <c r="E1" t="s">
        <v>1500</v>
      </c>
      <c r="F1" t="s">
        <v>1501</v>
      </c>
      <c r="G1" t="s">
        <v>805</v>
      </c>
      <c r="H1" t="s">
        <v>3</v>
      </c>
      <c r="I1" t="s">
        <v>1703</v>
      </c>
      <c r="J1" t="s">
        <v>1706</v>
      </c>
      <c r="K1" t="s">
        <v>4</v>
      </c>
      <c r="L1" t="s">
        <v>5</v>
      </c>
      <c r="M1" s="4" t="s">
        <v>1696</v>
      </c>
      <c r="N1" s="10" t="s">
        <v>6</v>
      </c>
      <c r="O1" t="s">
        <v>1702</v>
      </c>
      <c r="P1" t="s">
        <v>1707</v>
      </c>
      <c r="Q1" t="s">
        <v>7</v>
      </c>
    </row>
    <row r="2" spans="1:17" x14ac:dyDescent="0.25">
      <c r="A2" s="1" t="s">
        <v>8</v>
      </c>
      <c r="B2" s="1" t="s">
        <v>9</v>
      </c>
      <c r="C2" s="1" t="s">
        <v>10</v>
      </c>
      <c r="D2" s="1" t="str">
        <f>VLOOKUP(Clients_chun_clean[[#This Row],[Province_Client]],Master_Logs_reseau_registre!B2:F1073,2,0)</f>
        <v>ANT-0037</v>
      </c>
      <c r="E2" s="1" t="s">
        <v>1508</v>
      </c>
      <c r="F2" s="1" t="s">
        <v>1516</v>
      </c>
      <c r="G2" s="1" t="s">
        <v>808</v>
      </c>
      <c r="H2">
        <v>29</v>
      </c>
      <c r="I2">
        <v>2</v>
      </c>
      <c r="J2" s="1" t="s">
        <v>1704</v>
      </c>
      <c r="K2" s="1" t="s">
        <v>11</v>
      </c>
      <c r="L2">
        <v>214</v>
      </c>
      <c r="M2" s="4">
        <v>0.14861111111111111</v>
      </c>
      <c r="N2" s="10">
        <v>74.7</v>
      </c>
      <c r="O2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2" s="10">
        <f>Clients_chun_clean[[#This Row],[Facture_Mensuelle]]*Clients_chun_clean[[#This Row],[Remise]]</f>
        <v>33.615000000000002</v>
      </c>
      <c r="Q2">
        <v>3</v>
      </c>
    </row>
    <row r="3" spans="1:17" x14ac:dyDescent="0.25">
      <c r="A3" s="1" t="s">
        <v>8</v>
      </c>
      <c r="B3" s="1" t="s">
        <v>12</v>
      </c>
      <c r="C3" s="1" t="s">
        <v>13</v>
      </c>
      <c r="D3" s="1" t="str">
        <f>VLOOKUP(Clients_chun_clean[[#This Row],[Province_Client]],Master_Logs_reseau_registre!B3:F1074,2,0)</f>
        <v>ANT-0271</v>
      </c>
      <c r="E3" s="1" t="s">
        <v>1503</v>
      </c>
      <c r="F3" s="1" t="s">
        <v>1504</v>
      </c>
      <c r="G3" s="1" t="s">
        <v>811</v>
      </c>
      <c r="H3">
        <v>63</v>
      </c>
      <c r="I3">
        <v>5</v>
      </c>
      <c r="J3" s="1" t="s">
        <v>1705</v>
      </c>
      <c r="K3" s="1" t="s">
        <v>14</v>
      </c>
      <c r="L3">
        <v>205</v>
      </c>
      <c r="M3" s="4">
        <v>0.1423611111111111</v>
      </c>
      <c r="N3" s="10">
        <v>89.19</v>
      </c>
      <c r="O3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3" s="10">
        <f>Clients_chun_clean[[#This Row],[Facture_Mensuelle]]*Clients_chun_clean[[#This Row],[Remise]]</f>
        <v>8.9190000000000005</v>
      </c>
      <c r="Q3">
        <v>0</v>
      </c>
    </row>
    <row r="4" spans="1:17" x14ac:dyDescent="0.25">
      <c r="A4" s="1" t="s">
        <v>8</v>
      </c>
      <c r="B4" s="1" t="s">
        <v>15</v>
      </c>
      <c r="C4" s="1" t="s">
        <v>16</v>
      </c>
      <c r="D4" s="1" t="str">
        <f>VLOOKUP(Clients_chun_clean[[#This Row],[Province_Client]],Master_Logs_reseau_registre!B4:F1075,2,0)</f>
        <v>ANT-0855</v>
      </c>
      <c r="E4" s="1" t="s">
        <v>1503</v>
      </c>
      <c r="F4" s="1" t="s">
        <v>1504</v>
      </c>
      <c r="G4" s="1" t="s">
        <v>811</v>
      </c>
      <c r="H4">
        <v>34</v>
      </c>
      <c r="I4">
        <v>2</v>
      </c>
      <c r="J4" s="1" t="s">
        <v>1705</v>
      </c>
      <c r="K4" s="1" t="s">
        <v>14</v>
      </c>
      <c r="L4">
        <v>453</v>
      </c>
      <c r="M4" s="4">
        <v>0.31458333333333333</v>
      </c>
      <c r="N4" s="10">
        <v>56.84</v>
      </c>
      <c r="O4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4" s="10">
        <f>Clients_chun_clean[[#This Row],[Facture_Mensuelle]]*Clients_chun_clean[[#This Row],[Remise]]</f>
        <v>25.578000000000003</v>
      </c>
      <c r="Q4">
        <v>0</v>
      </c>
    </row>
    <row r="5" spans="1:17" x14ac:dyDescent="0.25">
      <c r="A5" s="1" t="s">
        <v>8</v>
      </c>
      <c r="B5" s="1" t="s">
        <v>17</v>
      </c>
      <c r="C5" s="1" t="s">
        <v>18</v>
      </c>
      <c r="D5" s="1" t="str">
        <f>VLOOKUP(Clients_chun_clean[[#This Row],[Province_Client]],Master_Logs_reseau_registre!B5:F1076,2,0)</f>
        <v>ANT-0371</v>
      </c>
      <c r="E5" s="1" t="s">
        <v>1506</v>
      </c>
      <c r="F5" s="1" t="s">
        <v>1507</v>
      </c>
      <c r="G5" s="1" t="s">
        <v>808</v>
      </c>
      <c r="H5">
        <v>44</v>
      </c>
      <c r="I5">
        <v>3</v>
      </c>
      <c r="J5" s="1" t="s">
        <v>1704</v>
      </c>
      <c r="K5" s="1" t="s">
        <v>19</v>
      </c>
      <c r="L5">
        <v>348</v>
      </c>
      <c r="M5" s="4">
        <v>0.24166666666666667</v>
      </c>
      <c r="N5" s="10">
        <v>58.67</v>
      </c>
      <c r="O5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5" s="10">
        <f>Clients_chun_clean[[#This Row],[Facture_Mensuelle]]*Clients_chun_clean[[#This Row],[Remise]]</f>
        <v>26.401500000000002</v>
      </c>
      <c r="Q5">
        <v>0</v>
      </c>
    </row>
    <row r="6" spans="1:17" x14ac:dyDescent="0.25">
      <c r="A6" s="1" t="s">
        <v>8</v>
      </c>
      <c r="B6" s="1" t="s">
        <v>20</v>
      </c>
      <c r="C6" s="1" t="s">
        <v>21</v>
      </c>
      <c r="D6" s="1" t="str">
        <f>VLOOKUP(Clients_chun_clean[[#This Row],[Province_Client]],Master_Logs_reseau_registre!B6:F1077,2,0)</f>
        <v>ANT-0852</v>
      </c>
      <c r="E6" s="1" t="s">
        <v>1508</v>
      </c>
      <c r="F6" s="1" t="s">
        <v>1516</v>
      </c>
      <c r="G6" s="1" t="s">
        <v>813</v>
      </c>
      <c r="H6">
        <v>101</v>
      </c>
      <c r="I6">
        <v>8</v>
      </c>
      <c r="J6" s="1" t="s">
        <v>1704</v>
      </c>
      <c r="K6" s="1" t="s">
        <v>22</v>
      </c>
      <c r="L6">
        <v>358</v>
      </c>
      <c r="M6" s="4">
        <v>0.24861111111111112</v>
      </c>
      <c r="N6" s="10">
        <v>29.24</v>
      </c>
      <c r="O6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6" s="10">
        <f>Clients_chun_clean[[#This Row],[Facture_Mensuelle]]*Clients_chun_clean[[#This Row],[Remise]]</f>
        <v>13.157999999999999</v>
      </c>
      <c r="Q6">
        <v>3</v>
      </c>
    </row>
    <row r="7" spans="1:17" x14ac:dyDescent="0.25">
      <c r="A7" s="1" t="s">
        <v>8</v>
      </c>
      <c r="B7" s="1" t="s">
        <v>23</v>
      </c>
      <c r="C7" s="1" t="s">
        <v>24</v>
      </c>
      <c r="D7" s="1" t="str">
        <f>VLOOKUP(Clients_chun_clean[[#This Row],[Province_Client]],Master_Logs_reseau_registre!B7:F1078,2,0)</f>
        <v>ANT-0624</v>
      </c>
      <c r="E7" s="1" t="s">
        <v>1508</v>
      </c>
      <c r="F7" s="1" t="s">
        <v>1516</v>
      </c>
      <c r="G7" s="1" t="s">
        <v>813</v>
      </c>
      <c r="H7">
        <v>46</v>
      </c>
      <c r="I7">
        <v>3</v>
      </c>
      <c r="J7" s="1" t="s">
        <v>1704</v>
      </c>
      <c r="K7" s="1" t="s">
        <v>11</v>
      </c>
      <c r="L7">
        <v>283</v>
      </c>
      <c r="M7" s="4">
        <v>0.19652777777777777</v>
      </c>
      <c r="N7" s="10">
        <v>56.05</v>
      </c>
      <c r="O7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7" s="10">
        <f>Clients_chun_clean[[#This Row],[Facture_Mensuelle]]*Clients_chun_clean[[#This Row],[Remise]]</f>
        <v>25.2225</v>
      </c>
      <c r="Q7">
        <v>1</v>
      </c>
    </row>
    <row r="8" spans="1:17" x14ac:dyDescent="0.25">
      <c r="A8" s="1" t="s">
        <v>8</v>
      </c>
      <c r="B8" s="1" t="s">
        <v>25</v>
      </c>
      <c r="C8" s="1" t="s">
        <v>26</v>
      </c>
      <c r="D8" s="1" t="str">
        <f>VLOOKUP(Clients_chun_clean[[#This Row],[Province_Client]],Master_Logs_reseau_registre!B8:F1079,2,0)</f>
        <v>ANT-0566</v>
      </c>
      <c r="E8" s="1" t="s">
        <v>1508</v>
      </c>
      <c r="F8" s="1" t="s">
        <v>1516</v>
      </c>
      <c r="G8" s="1" t="s">
        <v>813</v>
      </c>
      <c r="H8">
        <v>99</v>
      </c>
      <c r="I8">
        <v>8</v>
      </c>
      <c r="J8" s="1" t="s">
        <v>1704</v>
      </c>
      <c r="K8" s="1" t="s">
        <v>11</v>
      </c>
      <c r="L8">
        <v>447</v>
      </c>
      <c r="M8" s="4">
        <v>0.31041666666666667</v>
      </c>
      <c r="N8" s="10">
        <v>38.1</v>
      </c>
      <c r="O8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8" s="10">
        <f>Clients_chun_clean[[#This Row],[Facture_Mensuelle]]*Clients_chun_clean[[#This Row],[Remise]]</f>
        <v>17.145</v>
      </c>
      <c r="Q8">
        <v>3</v>
      </c>
    </row>
    <row r="9" spans="1:17" x14ac:dyDescent="0.25">
      <c r="A9" s="1" t="s">
        <v>8</v>
      </c>
      <c r="B9" s="1" t="s">
        <v>27</v>
      </c>
      <c r="C9" s="1" t="s">
        <v>24</v>
      </c>
      <c r="D9" s="1" t="str">
        <f>VLOOKUP(Clients_chun_clean[[#This Row],[Province_Client]],Master_Logs_reseau_registre!B9:F1080,2,0)</f>
        <v>ANT-0624</v>
      </c>
      <c r="E9" s="1" t="s">
        <v>1508</v>
      </c>
      <c r="F9" s="1" t="s">
        <v>1516</v>
      </c>
      <c r="G9" s="1" t="s">
        <v>813</v>
      </c>
      <c r="H9">
        <v>6</v>
      </c>
      <c r="I9">
        <v>0</v>
      </c>
      <c r="J9" s="1" t="s">
        <v>1704</v>
      </c>
      <c r="K9" s="1" t="s">
        <v>22</v>
      </c>
      <c r="L9">
        <v>155</v>
      </c>
      <c r="M9" s="4">
        <v>0.1076388888888889</v>
      </c>
      <c r="N9" s="10">
        <v>40.659999999999997</v>
      </c>
      <c r="O9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9" s="10">
        <f>Clients_chun_clean[[#This Row],[Facture_Mensuelle]]*Clients_chun_clean[[#This Row],[Remise]]</f>
        <v>0</v>
      </c>
      <c r="Q9">
        <v>1</v>
      </c>
    </row>
    <row r="10" spans="1:17" x14ac:dyDescent="0.25">
      <c r="A10" s="1" t="s">
        <v>8</v>
      </c>
      <c r="B10" s="1" t="s">
        <v>28</v>
      </c>
      <c r="C10" s="1" t="s">
        <v>29</v>
      </c>
      <c r="D10" s="1" t="str">
        <f>VLOOKUP(Clients_chun_clean[[#This Row],[Province_Client]],Master_Logs_reseau_registre!B10:F1081,2,0)</f>
        <v>ANT-0332</v>
      </c>
      <c r="E10" s="1" t="s">
        <v>1506</v>
      </c>
      <c r="F10" s="1" t="s">
        <v>1507</v>
      </c>
      <c r="G10" s="1" t="s">
        <v>808</v>
      </c>
      <c r="H10">
        <v>99</v>
      </c>
      <c r="I10">
        <v>8</v>
      </c>
      <c r="J10" s="1" t="s">
        <v>1704</v>
      </c>
      <c r="K10" s="1" t="s">
        <v>19</v>
      </c>
      <c r="L10">
        <v>369</v>
      </c>
      <c r="M10" s="4">
        <v>0.25624999999999998</v>
      </c>
      <c r="N10" s="10">
        <v>67.209999999999994</v>
      </c>
      <c r="O10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10" s="10">
        <f>Clients_chun_clean[[#This Row],[Facture_Mensuelle]]*Clients_chun_clean[[#This Row],[Remise]]</f>
        <v>30.244499999999999</v>
      </c>
      <c r="Q10">
        <v>3</v>
      </c>
    </row>
    <row r="11" spans="1:17" x14ac:dyDescent="0.25">
      <c r="A11" s="1" t="s">
        <v>8</v>
      </c>
      <c r="B11" s="1" t="s">
        <v>30</v>
      </c>
      <c r="C11" s="1" t="s">
        <v>31</v>
      </c>
      <c r="D11" s="1" t="str">
        <f>VLOOKUP(Clients_chun_clean[[#This Row],[Province_Client]],Master_Logs_reseau_registre!B11:F1082,2,0)</f>
        <v>ANT-0166</v>
      </c>
      <c r="E11" s="1" t="s">
        <v>1503</v>
      </c>
      <c r="F11" s="1" t="s">
        <v>1504</v>
      </c>
      <c r="G11" s="1" t="s">
        <v>811</v>
      </c>
      <c r="H11">
        <v>113</v>
      </c>
      <c r="I11">
        <v>9</v>
      </c>
      <c r="J11" s="1" t="s">
        <v>1704</v>
      </c>
      <c r="K11" s="1" t="s">
        <v>22</v>
      </c>
      <c r="L11">
        <v>380</v>
      </c>
      <c r="M11" s="4">
        <v>0.2638888888888889</v>
      </c>
      <c r="N11" s="10">
        <v>12.11</v>
      </c>
      <c r="O11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11" s="10">
        <f>Clients_chun_clean[[#This Row],[Facture_Mensuelle]]*Clients_chun_clean[[#This Row],[Remise]]</f>
        <v>5.4494999999999996</v>
      </c>
      <c r="Q11">
        <v>0</v>
      </c>
    </row>
    <row r="12" spans="1:17" x14ac:dyDescent="0.25">
      <c r="A12" s="1" t="s">
        <v>8</v>
      </c>
      <c r="B12" s="1" t="s">
        <v>32</v>
      </c>
      <c r="C12" s="1" t="s">
        <v>33</v>
      </c>
      <c r="D12" s="1" t="str">
        <f>VLOOKUP(Clients_chun_clean[[#This Row],[Province_Client]],Master_Logs_reseau_registre!B12:F1083,2,0)</f>
        <v>ANT-0379</v>
      </c>
      <c r="E12" s="1" t="s">
        <v>1506</v>
      </c>
      <c r="F12" s="1" t="s">
        <v>1507</v>
      </c>
      <c r="G12" s="1" t="s">
        <v>808</v>
      </c>
      <c r="H12">
        <v>72</v>
      </c>
      <c r="I12">
        <v>6</v>
      </c>
      <c r="J12" s="1" t="s">
        <v>1705</v>
      </c>
      <c r="K12" s="1" t="s">
        <v>14</v>
      </c>
      <c r="L12">
        <v>160</v>
      </c>
      <c r="M12" s="4">
        <v>0.1111111111111111</v>
      </c>
      <c r="N12" s="10">
        <v>90.13</v>
      </c>
      <c r="O12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12" s="10">
        <f>Clients_chun_clean[[#This Row],[Facture_Mensuelle]]*Clients_chun_clean[[#This Row],[Remise]]</f>
        <v>9.0129999999999999</v>
      </c>
      <c r="Q12">
        <v>2</v>
      </c>
    </row>
    <row r="13" spans="1:17" x14ac:dyDescent="0.25">
      <c r="A13" s="1" t="s">
        <v>8</v>
      </c>
      <c r="B13" s="1" t="s">
        <v>34</v>
      </c>
      <c r="C13" s="1" t="s">
        <v>35</v>
      </c>
      <c r="D13" s="1" t="str">
        <f>VLOOKUP(Clients_chun_clean[[#This Row],[Province_Client]],Master_Logs_reseau_registre!B13:F1084,2,0)</f>
        <v>ANT-0760</v>
      </c>
      <c r="E13" s="1" t="s">
        <v>1506</v>
      </c>
      <c r="F13" s="1" t="s">
        <v>1507</v>
      </c>
      <c r="G13" s="1" t="s">
        <v>808</v>
      </c>
      <c r="H13">
        <v>35</v>
      </c>
      <c r="I13">
        <v>2</v>
      </c>
      <c r="J13" s="1" t="s">
        <v>1705</v>
      </c>
      <c r="K13" s="1" t="s">
        <v>14</v>
      </c>
      <c r="L13">
        <v>465</v>
      </c>
      <c r="M13" s="4">
        <v>0.32291666666666669</v>
      </c>
      <c r="N13" s="10">
        <v>58.59</v>
      </c>
      <c r="O13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13" s="10">
        <f>Clients_chun_clean[[#This Row],[Facture_Mensuelle]]*Clients_chun_clean[[#This Row],[Remise]]</f>
        <v>26.365500000000001</v>
      </c>
      <c r="Q13">
        <v>5</v>
      </c>
    </row>
    <row r="14" spans="1:17" x14ac:dyDescent="0.25">
      <c r="A14" s="1" t="s">
        <v>8</v>
      </c>
      <c r="B14" s="1" t="s">
        <v>36</v>
      </c>
      <c r="C14" s="1" t="s">
        <v>37</v>
      </c>
      <c r="D14" s="1" t="str">
        <f>VLOOKUP(Clients_chun_clean[[#This Row],[Province_Client]],Master_Logs_reseau_registre!B14:F1085,2,0)</f>
        <v>ANT-0862</v>
      </c>
      <c r="E14" s="1" t="s">
        <v>1508</v>
      </c>
      <c r="F14" s="1" t="s">
        <v>1516</v>
      </c>
      <c r="G14" s="1" t="s">
        <v>813</v>
      </c>
      <c r="H14">
        <v>115</v>
      </c>
      <c r="I14">
        <v>9</v>
      </c>
      <c r="J14" s="1" t="s">
        <v>1704</v>
      </c>
      <c r="K14" s="1" t="s">
        <v>19</v>
      </c>
      <c r="L14">
        <v>176</v>
      </c>
      <c r="M14" s="4">
        <v>0.12222222222222222</v>
      </c>
      <c r="N14" s="10">
        <v>33.28</v>
      </c>
      <c r="O14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14" s="10">
        <f>Clients_chun_clean[[#This Row],[Facture_Mensuelle]]*Clients_chun_clean[[#This Row],[Remise]]</f>
        <v>0</v>
      </c>
      <c r="Q14">
        <v>4</v>
      </c>
    </row>
    <row r="15" spans="1:17" x14ac:dyDescent="0.25">
      <c r="A15" s="1" t="s">
        <v>8</v>
      </c>
      <c r="B15" s="1" t="s">
        <v>38</v>
      </c>
      <c r="C15" s="1" t="s">
        <v>18</v>
      </c>
      <c r="D15" s="1" t="str">
        <f>VLOOKUP(Clients_chun_clean[[#This Row],[Province_Client]],Master_Logs_reseau_registre!B15:F1086,2,0)</f>
        <v>ANT-0371</v>
      </c>
      <c r="E15" s="1" t="s">
        <v>1506</v>
      </c>
      <c r="F15" s="1" t="s">
        <v>1507</v>
      </c>
      <c r="G15" s="1" t="s">
        <v>811</v>
      </c>
      <c r="H15">
        <v>20</v>
      </c>
      <c r="I15">
        <v>1</v>
      </c>
      <c r="J15" s="1" t="s">
        <v>1704</v>
      </c>
      <c r="K15" s="1" t="s">
        <v>22</v>
      </c>
      <c r="L15">
        <v>4</v>
      </c>
      <c r="M15" s="4">
        <v>2.7777777777777779E-3</v>
      </c>
      <c r="N15" s="10">
        <v>84.9</v>
      </c>
      <c r="O15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15" s="10">
        <f>Clients_chun_clean[[#This Row],[Facture_Mensuelle]]*Clients_chun_clean[[#This Row],[Remise]]</f>
        <v>0</v>
      </c>
      <c r="Q15">
        <v>3</v>
      </c>
    </row>
    <row r="16" spans="1:17" x14ac:dyDescent="0.25">
      <c r="A16" s="1" t="s">
        <v>8</v>
      </c>
      <c r="B16" s="1" t="s">
        <v>39</v>
      </c>
      <c r="C16" s="1" t="s">
        <v>40</v>
      </c>
      <c r="D16" s="1" t="str">
        <f>VLOOKUP(Clients_chun_clean[[#This Row],[Province_Client]],Master_Logs_reseau_registre!B16:F1087,2,0)</f>
        <v>ANT-0134</v>
      </c>
      <c r="E16" s="1" t="s">
        <v>1506</v>
      </c>
      <c r="F16" s="1" t="s">
        <v>1507</v>
      </c>
      <c r="G16" s="1" t="s">
        <v>811</v>
      </c>
      <c r="H16">
        <v>110</v>
      </c>
      <c r="I16">
        <v>9</v>
      </c>
      <c r="J16" s="1" t="s">
        <v>1705</v>
      </c>
      <c r="K16" s="1" t="s">
        <v>14</v>
      </c>
      <c r="L16">
        <v>423</v>
      </c>
      <c r="M16" s="4">
        <v>0.29375000000000001</v>
      </c>
      <c r="N16" s="10">
        <v>37.35</v>
      </c>
      <c r="O16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16" s="10">
        <f>Clients_chun_clean[[#This Row],[Facture_Mensuelle]]*Clients_chun_clean[[#This Row],[Remise]]</f>
        <v>16.807500000000001</v>
      </c>
      <c r="Q16">
        <v>4</v>
      </c>
    </row>
    <row r="17" spans="1:17" x14ac:dyDescent="0.25">
      <c r="A17" s="1" t="s">
        <v>8</v>
      </c>
      <c r="B17" s="1" t="s">
        <v>41</v>
      </c>
      <c r="C17" s="1" t="s">
        <v>13</v>
      </c>
      <c r="D17" s="1" t="str">
        <f>VLOOKUP(Clients_chun_clean[[#This Row],[Province_Client]],Master_Logs_reseau_registre!B17:F1088,2,0)</f>
        <v>ANT-0271</v>
      </c>
      <c r="E17" s="1" t="s">
        <v>1503</v>
      </c>
      <c r="F17" s="1" t="s">
        <v>1504</v>
      </c>
      <c r="G17" s="1" t="s">
        <v>808</v>
      </c>
      <c r="H17">
        <v>89</v>
      </c>
      <c r="I17">
        <v>7</v>
      </c>
      <c r="J17" s="1" t="s">
        <v>1704</v>
      </c>
      <c r="K17" s="1" t="s">
        <v>11</v>
      </c>
      <c r="L17">
        <v>143</v>
      </c>
      <c r="M17" s="4">
        <v>9.930555555555555E-2</v>
      </c>
      <c r="N17" s="10">
        <v>48.05</v>
      </c>
      <c r="O17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17" s="10">
        <f>Clients_chun_clean[[#This Row],[Facture_Mensuelle]]*Clients_chun_clean[[#This Row],[Remise]]</f>
        <v>0</v>
      </c>
      <c r="Q17">
        <v>4</v>
      </c>
    </row>
    <row r="18" spans="1:17" x14ac:dyDescent="0.25">
      <c r="A18" s="1" t="s">
        <v>8</v>
      </c>
      <c r="B18" s="1" t="s">
        <v>42</v>
      </c>
      <c r="C18" s="1" t="s">
        <v>26</v>
      </c>
      <c r="D18" s="1" t="str">
        <f>VLOOKUP(Clients_chun_clean[[#This Row],[Province_Client]],Master_Logs_reseau_registre!B18:F1089,2,0)</f>
        <v>ANT-0566</v>
      </c>
      <c r="E18" s="1" t="s">
        <v>1508</v>
      </c>
      <c r="F18" s="1" t="s">
        <v>1509</v>
      </c>
      <c r="G18" s="1" t="s">
        <v>811</v>
      </c>
      <c r="H18">
        <v>112</v>
      </c>
      <c r="I18">
        <v>9</v>
      </c>
      <c r="J18" s="1" t="s">
        <v>1704</v>
      </c>
      <c r="K18" s="1" t="s">
        <v>11</v>
      </c>
      <c r="L18">
        <v>460</v>
      </c>
      <c r="M18" s="4">
        <v>0.31944444444444442</v>
      </c>
      <c r="N18" s="10">
        <v>55.47</v>
      </c>
      <c r="O18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18" s="10">
        <f>Clients_chun_clean[[#This Row],[Facture_Mensuelle]]*Clients_chun_clean[[#This Row],[Remise]]</f>
        <v>24.961500000000001</v>
      </c>
      <c r="Q18">
        <v>4</v>
      </c>
    </row>
    <row r="19" spans="1:17" x14ac:dyDescent="0.25">
      <c r="A19" s="1" t="s">
        <v>8</v>
      </c>
      <c r="B19" s="1" t="s">
        <v>43</v>
      </c>
      <c r="C19" s="1" t="s">
        <v>44</v>
      </c>
      <c r="D19" s="1" t="str">
        <f>VLOOKUP(Clients_chun_clean[[#This Row],[Province_Client]],Master_Logs_reseau_registre!B19:F1090,2,0)</f>
        <v>ANT-0011</v>
      </c>
      <c r="E19" s="1" t="s">
        <v>1506</v>
      </c>
      <c r="F19" s="1" t="s">
        <v>1507</v>
      </c>
      <c r="G19" s="1" t="s">
        <v>811</v>
      </c>
      <c r="H19">
        <v>66</v>
      </c>
      <c r="I19">
        <v>5</v>
      </c>
      <c r="J19" s="1" t="s">
        <v>1704</v>
      </c>
      <c r="K19" s="1" t="s">
        <v>22</v>
      </c>
      <c r="L19">
        <v>270</v>
      </c>
      <c r="M19" s="4">
        <v>0.1875</v>
      </c>
      <c r="N19" s="10">
        <v>75.88</v>
      </c>
      <c r="O19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19" s="10">
        <f>Clients_chun_clean[[#This Row],[Facture_Mensuelle]]*Clients_chun_clean[[#This Row],[Remise]]</f>
        <v>34.146000000000001</v>
      </c>
      <c r="Q19">
        <v>3</v>
      </c>
    </row>
    <row r="20" spans="1:17" x14ac:dyDescent="0.25">
      <c r="A20" s="1" t="s">
        <v>8</v>
      </c>
      <c r="B20" s="1" t="s">
        <v>45</v>
      </c>
      <c r="C20" s="1" t="s">
        <v>29</v>
      </c>
      <c r="D20" s="1" t="str">
        <f>VLOOKUP(Clients_chun_clean[[#This Row],[Province_Client]],Master_Logs_reseau_registre!B20:F1091,2,0)</f>
        <v>ANT-0332</v>
      </c>
      <c r="E20" s="1" t="s">
        <v>1506</v>
      </c>
      <c r="F20" s="1" t="s">
        <v>1507</v>
      </c>
      <c r="G20" s="1" t="s">
        <v>811</v>
      </c>
      <c r="H20">
        <v>78</v>
      </c>
      <c r="I20">
        <v>6</v>
      </c>
      <c r="J20" s="1" t="s">
        <v>1704</v>
      </c>
      <c r="K20" s="1" t="s">
        <v>19</v>
      </c>
      <c r="L20">
        <v>312</v>
      </c>
      <c r="M20" s="4">
        <v>0.21666666666666667</v>
      </c>
      <c r="N20" s="10">
        <v>85.74</v>
      </c>
      <c r="O20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20" s="10">
        <f>Clients_chun_clean[[#This Row],[Facture_Mensuelle]]*Clients_chun_clean[[#This Row],[Remise]]</f>
        <v>38.582999999999998</v>
      </c>
      <c r="Q20">
        <v>2</v>
      </c>
    </row>
    <row r="21" spans="1:17" x14ac:dyDescent="0.25">
      <c r="A21" s="1" t="s">
        <v>8</v>
      </c>
      <c r="B21" s="1" t="s">
        <v>46</v>
      </c>
      <c r="C21" s="1" t="s">
        <v>33</v>
      </c>
      <c r="D21" s="1" t="str">
        <f>VLOOKUP(Clients_chun_clean[[#This Row],[Province_Client]],Master_Logs_reseau_registre!B21:F1092,2,0)</f>
        <v>ANT-0379</v>
      </c>
      <c r="E21" s="1" t="s">
        <v>1506</v>
      </c>
      <c r="F21" s="1" t="s">
        <v>1504</v>
      </c>
      <c r="G21" s="1" t="s">
        <v>808</v>
      </c>
      <c r="H21">
        <v>86</v>
      </c>
      <c r="I21">
        <v>7</v>
      </c>
      <c r="J21" s="1" t="s">
        <v>1704</v>
      </c>
      <c r="K21" s="1" t="s">
        <v>11</v>
      </c>
      <c r="L21">
        <v>471</v>
      </c>
      <c r="M21" s="4">
        <v>0.32708333333333334</v>
      </c>
      <c r="N21" s="10">
        <v>33.380000000000003</v>
      </c>
      <c r="O21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21" s="10">
        <f>Clients_chun_clean[[#This Row],[Facture_Mensuelle]]*Clients_chun_clean[[#This Row],[Remise]]</f>
        <v>15.021000000000001</v>
      </c>
      <c r="Q21">
        <v>4</v>
      </c>
    </row>
    <row r="22" spans="1:17" x14ac:dyDescent="0.25">
      <c r="A22" s="1" t="s">
        <v>8</v>
      </c>
      <c r="B22" s="1" t="s">
        <v>47</v>
      </c>
      <c r="C22" s="1" t="s">
        <v>29</v>
      </c>
      <c r="D22" s="1" t="str">
        <f>VLOOKUP(Clients_chun_clean[[#This Row],[Province_Client]],Master_Logs_reseau_registre!B22:F1093,2,0)</f>
        <v>ANT-0332</v>
      </c>
      <c r="E22" s="1" t="s">
        <v>1506</v>
      </c>
      <c r="F22" s="1" t="s">
        <v>1504</v>
      </c>
      <c r="G22" s="1" t="s">
        <v>811</v>
      </c>
      <c r="H22">
        <v>14</v>
      </c>
      <c r="I22">
        <v>1</v>
      </c>
      <c r="J22" s="1" t="s">
        <v>1704</v>
      </c>
      <c r="K22" s="1" t="s">
        <v>11</v>
      </c>
      <c r="L22">
        <v>75</v>
      </c>
      <c r="M22" s="4">
        <v>5.2083333333333336E-2</v>
      </c>
      <c r="N22" s="10">
        <v>55.67</v>
      </c>
      <c r="O22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22" s="10">
        <f>Clients_chun_clean[[#This Row],[Facture_Mensuelle]]*Clients_chun_clean[[#This Row],[Remise]]</f>
        <v>25.051500000000001</v>
      </c>
      <c r="Q22">
        <v>3</v>
      </c>
    </row>
    <row r="23" spans="1:17" x14ac:dyDescent="0.25">
      <c r="A23" s="1" t="s">
        <v>8</v>
      </c>
      <c r="B23" s="1" t="s">
        <v>48</v>
      </c>
      <c r="C23" s="1" t="s">
        <v>31</v>
      </c>
      <c r="D23" s="1" t="str">
        <f>VLOOKUP(Clients_chun_clean[[#This Row],[Province_Client]],Master_Logs_reseau_registre!B23:F1094,2,0)</f>
        <v>ANT-0166</v>
      </c>
      <c r="E23" s="1" t="s">
        <v>1503</v>
      </c>
      <c r="F23" s="1" t="s">
        <v>1504</v>
      </c>
      <c r="G23" s="1" t="s">
        <v>811</v>
      </c>
      <c r="H23">
        <v>91</v>
      </c>
      <c r="I23">
        <v>7</v>
      </c>
      <c r="J23" s="1" t="s">
        <v>1705</v>
      </c>
      <c r="K23" s="1" t="s">
        <v>14</v>
      </c>
      <c r="L23">
        <v>358</v>
      </c>
      <c r="M23" s="4">
        <v>0.24861111111111112</v>
      </c>
      <c r="N23" s="10">
        <v>21.14</v>
      </c>
      <c r="O23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23" s="10">
        <f>Clients_chun_clean[[#This Row],[Facture_Mensuelle]]*Clients_chun_clean[[#This Row],[Remise]]</f>
        <v>9.5129999999999999</v>
      </c>
      <c r="Q23">
        <v>5</v>
      </c>
    </row>
    <row r="24" spans="1:17" x14ac:dyDescent="0.25">
      <c r="A24" s="1" t="s">
        <v>8</v>
      </c>
      <c r="B24" s="1" t="s">
        <v>49</v>
      </c>
      <c r="C24" s="1" t="s">
        <v>26</v>
      </c>
      <c r="D24" s="1" t="str">
        <f>VLOOKUP(Clients_chun_clean[[#This Row],[Province_Client]],Master_Logs_reseau_registre!B24:F1095,2,0)</f>
        <v>ANT-0566</v>
      </c>
      <c r="E24" s="1" t="s">
        <v>1508</v>
      </c>
      <c r="F24" s="1" t="s">
        <v>1509</v>
      </c>
      <c r="G24" s="1" t="s">
        <v>813</v>
      </c>
      <c r="H24">
        <v>7</v>
      </c>
      <c r="I24">
        <v>0</v>
      </c>
      <c r="J24" s="1" t="s">
        <v>1704</v>
      </c>
      <c r="K24" s="1" t="s">
        <v>11</v>
      </c>
      <c r="L24">
        <v>206</v>
      </c>
      <c r="M24" s="4">
        <v>0.14305555555555555</v>
      </c>
      <c r="N24" s="10">
        <v>78.09</v>
      </c>
      <c r="O24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24" s="10">
        <f>Clients_chun_clean[[#This Row],[Facture_Mensuelle]]*Clients_chun_clean[[#This Row],[Remise]]</f>
        <v>35.140500000000003</v>
      </c>
      <c r="Q24">
        <v>3</v>
      </c>
    </row>
    <row r="25" spans="1:17" x14ac:dyDescent="0.25">
      <c r="A25" s="1" t="s">
        <v>8</v>
      </c>
      <c r="B25" s="1" t="s">
        <v>50</v>
      </c>
      <c r="C25" s="1" t="s">
        <v>51</v>
      </c>
      <c r="D25" s="1" t="str">
        <f>VLOOKUP(Clients_chun_clean[[#This Row],[Province_Client]],Master_Logs_reseau_registre!B25:F1096,2,0)</f>
        <v>ANT-0952</v>
      </c>
      <c r="E25" s="1" t="s">
        <v>1506</v>
      </c>
      <c r="F25" s="1" t="s">
        <v>1504</v>
      </c>
      <c r="G25" s="1" t="s">
        <v>811</v>
      </c>
      <c r="H25">
        <v>119</v>
      </c>
      <c r="I25">
        <v>9</v>
      </c>
      <c r="J25" s="1" t="s">
        <v>1704</v>
      </c>
      <c r="K25" s="1" t="s">
        <v>22</v>
      </c>
      <c r="L25">
        <v>228</v>
      </c>
      <c r="M25" s="4">
        <v>0.15833333333333333</v>
      </c>
      <c r="N25" s="10">
        <v>94.72</v>
      </c>
      <c r="O25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25" s="10">
        <f>Clients_chun_clean[[#This Row],[Facture_Mensuelle]]*Clients_chun_clean[[#This Row],[Remise]]</f>
        <v>0</v>
      </c>
      <c r="Q25">
        <v>3</v>
      </c>
    </row>
    <row r="26" spans="1:17" x14ac:dyDescent="0.25">
      <c r="A26" s="1" t="s">
        <v>8</v>
      </c>
      <c r="B26" s="1" t="s">
        <v>52</v>
      </c>
      <c r="C26" s="1" t="s">
        <v>24</v>
      </c>
      <c r="D26" s="1" t="str">
        <f>VLOOKUP(Clients_chun_clean[[#This Row],[Province_Client]],Master_Logs_reseau_registre!B26:F1097,2,0)</f>
        <v>ANT-0284</v>
      </c>
      <c r="E26" s="1" t="s">
        <v>1506</v>
      </c>
      <c r="F26" s="1" t="s">
        <v>1504</v>
      </c>
      <c r="G26" s="1" t="s">
        <v>811</v>
      </c>
      <c r="H26">
        <v>57</v>
      </c>
      <c r="I26">
        <v>4</v>
      </c>
      <c r="J26" s="1" t="s">
        <v>1704</v>
      </c>
      <c r="K26" s="1" t="s">
        <v>22</v>
      </c>
      <c r="L26">
        <v>329</v>
      </c>
      <c r="M26" s="4">
        <v>0.22847222222222222</v>
      </c>
      <c r="N26" s="10">
        <v>50.39</v>
      </c>
      <c r="O26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26" s="10">
        <f>Clients_chun_clean[[#This Row],[Facture_Mensuelle]]*Clients_chun_clean[[#This Row],[Remise]]</f>
        <v>22.6755</v>
      </c>
      <c r="Q26">
        <v>5</v>
      </c>
    </row>
    <row r="27" spans="1:17" x14ac:dyDescent="0.25">
      <c r="A27" s="1" t="s">
        <v>8</v>
      </c>
      <c r="B27" s="1" t="s">
        <v>53</v>
      </c>
      <c r="C27" s="1" t="s">
        <v>10</v>
      </c>
      <c r="D27" s="1" t="str">
        <f>VLOOKUP(Clients_chun_clean[[#This Row],[Province_Client]],Master_Logs_reseau_registre!B27:F1098,2,0)</f>
        <v>ANT-0037</v>
      </c>
      <c r="E27" s="1" t="s">
        <v>1508</v>
      </c>
      <c r="F27" s="1" t="s">
        <v>1509</v>
      </c>
      <c r="G27" s="1" t="s">
        <v>813</v>
      </c>
      <c r="H27">
        <v>103</v>
      </c>
      <c r="I27">
        <v>8</v>
      </c>
      <c r="J27" s="1" t="s">
        <v>1705</v>
      </c>
      <c r="K27" s="1" t="s">
        <v>14</v>
      </c>
      <c r="L27">
        <v>105</v>
      </c>
      <c r="M27" s="4">
        <v>7.2916666666666671E-2</v>
      </c>
      <c r="N27" s="10">
        <v>61.52</v>
      </c>
      <c r="O27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27" s="10">
        <f>Clients_chun_clean[[#This Row],[Facture_Mensuelle]]*Clients_chun_clean[[#This Row],[Remise]]</f>
        <v>6.152000000000001</v>
      </c>
      <c r="Q27">
        <v>3</v>
      </c>
    </row>
    <row r="28" spans="1:17" x14ac:dyDescent="0.25">
      <c r="A28" s="1" t="s">
        <v>8</v>
      </c>
      <c r="B28" s="1" t="s">
        <v>54</v>
      </c>
      <c r="C28" s="1" t="s">
        <v>26</v>
      </c>
      <c r="D28" s="1" t="str">
        <f>VLOOKUP(Clients_chun_clean[[#This Row],[Province_Client]],Master_Logs_reseau_registre!B28:F1099,2,0)</f>
        <v>ANT-0566</v>
      </c>
      <c r="E28" s="1" t="s">
        <v>1508</v>
      </c>
      <c r="F28" s="1" t="s">
        <v>1509</v>
      </c>
      <c r="G28" s="1" t="s">
        <v>813</v>
      </c>
      <c r="H28">
        <v>59</v>
      </c>
      <c r="I28">
        <v>4</v>
      </c>
      <c r="J28" s="1" t="s">
        <v>1704</v>
      </c>
      <c r="K28" s="1" t="s">
        <v>22</v>
      </c>
      <c r="L28">
        <v>454</v>
      </c>
      <c r="M28" s="4">
        <v>0.31527777777777777</v>
      </c>
      <c r="N28" s="10">
        <v>10.47</v>
      </c>
      <c r="O28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28" s="10">
        <f>Clients_chun_clean[[#This Row],[Facture_Mensuelle]]*Clients_chun_clean[[#This Row],[Remise]]</f>
        <v>4.7115</v>
      </c>
      <c r="Q28">
        <v>5</v>
      </c>
    </row>
    <row r="29" spans="1:17" x14ac:dyDescent="0.25">
      <c r="A29" s="1" t="s">
        <v>8</v>
      </c>
      <c r="B29" s="1" t="s">
        <v>55</v>
      </c>
      <c r="C29" s="1" t="s">
        <v>35</v>
      </c>
      <c r="D29" s="1" t="str">
        <f>VLOOKUP(Clients_chun_clean[[#This Row],[Province_Client]],Master_Logs_reseau_registre!B29:F1100,2,0)</f>
        <v>ANT-0760</v>
      </c>
      <c r="E29" s="1" t="s">
        <v>1506</v>
      </c>
      <c r="F29" s="1" t="s">
        <v>1509</v>
      </c>
      <c r="G29" s="1" t="s">
        <v>813</v>
      </c>
      <c r="H29">
        <v>108</v>
      </c>
      <c r="I29">
        <v>9</v>
      </c>
      <c r="J29" s="1" t="s">
        <v>1704</v>
      </c>
      <c r="K29" s="1" t="s">
        <v>22</v>
      </c>
      <c r="L29">
        <v>278</v>
      </c>
      <c r="M29" s="4">
        <v>0.19305555555555556</v>
      </c>
      <c r="N29" s="10">
        <v>40.51</v>
      </c>
      <c r="O29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29" s="10">
        <f>Clients_chun_clean[[#This Row],[Facture_Mensuelle]]*Clients_chun_clean[[#This Row],[Remise]]</f>
        <v>18.229499999999998</v>
      </c>
      <c r="Q29">
        <v>3</v>
      </c>
    </row>
    <row r="30" spans="1:17" x14ac:dyDescent="0.25">
      <c r="A30" s="1" t="s">
        <v>8</v>
      </c>
      <c r="B30" s="1" t="s">
        <v>56</v>
      </c>
      <c r="C30" s="1" t="s">
        <v>57</v>
      </c>
      <c r="D30" s="1" t="str">
        <f>VLOOKUP(Clients_chun_clean[[#This Row],[Province_Client]],Master_Logs_reseau_registre!B30:F1101,2,0)</f>
        <v>ANT-0731</v>
      </c>
      <c r="E30" s="1" t="s">
        <v>1503</v>
      </c>
      <c r="F30" s="1" t="s">
        <v>1504</v>
      </c>
      <c r="G30" s="1" t="s">
        <v>808</v>
      </c>
      <c r="H30">
        <v>97</v>
      </c>
      <c r="I30">
        <v>8</v>
      </c>
      <c r="J30" s="1" t="s">
        <v>1705</v>
      </c>
      <c r="K30" s="1" t="s">
        <v>14</v>
      </c>
      <c r="L30">
        <v>319</v>
      </c>
      <c r="M30" s="4">
        <v>0.22152777777777777</v>
      </c>
      <c r="N30" s="10">
        <v>31.25</v>
      </c>
      <c r="O30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30" s="10">
        <f>Clients_chun_clean[[#This Row],[Facture_Mensuelle]]*Clients_chun_clean[[#This Row],[Remise]]</f>
        <v>14.0625</v>
      </c>
      <c r="Q30">
        <v>1</v>
      </c>
    </row>
    <row r="31" spans="1:17" x14ac:dyDescent="0.25">
      <c r="A31" s="1" t="s">
        <v>8</v>
      </c>
      <c r="B31" s="1" t="s">
        <v>58</v>
      </c>
      <c r="C31" s="1" t="s">
        <v>33</v>
      </c>
      <c r="D31" s="1" t="str">
        <f>VLOOKUP(Clients_chun_clean[[#This Row],[Province_Client]],Master_Logs_reseau_registre!B31:F1102,2,0)</f>
        <v>ANT-0379</v>
      </c>
      <c r="E31" s="1" t="s">
        <v>1506</v>
      </c>
      <c r="F31" s="1" t="s">
        <v>1509</v>
      </c>
      <c r="G31" s="1" t="s">
        <v>808</v>
      </c>
      <c r="H31">
        <v>15</v>
      </c>
      <c r="I31">
        <v>1</v>
      </c>
      <c r="J31" s="1" t="s">
        <v>1705</v>
      </c>
      <c r="K31" s="1" t="s">
        <v>14</v>
      </c>
      <c r="L31">
        <v>403</v>
      </c>
      <c r="M31" s="4">
        <v>0.27986111111111112</v>
      </c>
      <c r="N31" s="10">
        <v>77.12</v>
      </c>
      <c r="O31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31" s="10">
        <f>Clients_chun_clean[[#This Row],[Facture_Mensuelle]]*Clients_chun_clean[[#This Row],[Remise]]</f>
        <v>34.704000000000001</v>
      </c>
      <c r="Q31">
        <v>1</v>
      </c>
    </row>
    <row r="32" spans="1:17" x14ac:dyDescent="0.25">
      <c r="A32" s="1" t="s">
        <v>8</v>
      </c>
      <c r="B32" s="1" t="s">
        <v>59</v>
      </c>
      <c r="C32" s="1" t="s">
        <v>60</v>
      </c>
      <c r="D32" s="1" t="str">
        <f>VLOOKUP(Clients_chun_clean[[#This Row],[Province_Client]],Master_Logs_reseau_registre!B32:F1103,2,0)</f>
        <v>ANT-0315</v>
      </c>
      <c r="E32" s="1" t="s">
        <v>1506</v>
      </c>
      <c r="F32" s="1" t="s">
        <v>1509</v>
      </c>
      <c r="G32" s="1" t="s">
        <v>808</v>
      </c>
      <c r="H32">
        <v>14</v>
      </c>
      <c r="I32">
        <v>1</v>
      </c>
      <c r="J32" s="1" t="s">
        <v>1705</v>
      </c>
      <c r="K32" s="1" t="s">
        <v>14</v>
      </c>
      <c r="L32">
        <v>316</v>
      </c>
      <c r="M32" s="4">
        <v>0.21944444444444444</v>
      </c>
      <c r="N32" s="10">
        <v>62.34</v>
      </c>
      <c r="O32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32" s="10">
        <f>Clients_chun_clean[[#This Row],[Facture_Mensuelle]]*Clients_chun_clean[[#This Row],[Remise]]</f>
        <v>28.053000000000001</v>
      </c>
      <c r="Q32">
        <v>4</v>
      </c>
    </row>
    <row r="33" spans="1:17" x14ac:dyDescent="0.25">
      <c r="A33" s="1" t="s">
        <v>8</v>
      </c>
      <c r="B33" s="1" t="s">
        <v>61</v>
      </c>
      <c r="C33" s="1" t="s">
        <v>62</v>
      </c>
      <c r="D33" s="1" t="str">
        <f>VLOOKUP(Clients_chun_clean[[#This Row],[Province_Client]],Master_Logs_reseau_registre!B33:F1104,2,0)</f>
        <v>ANT-0737</v>
      </c>
      <c r="E33" s="1" t="s">
        <v>1503</v>
      </c>
      <c r="F33" s="1" t="s">
        <v>1509</v>
      </c>
      <c r="G33" s="1" t="s">
        <v>808</v>
      </c>
      <c r="H33">
        <v>101</v>
      </c>
      <c r="I33">
        <v>8</v>
      </c>
      <c r="J33" s="1" t="s">
        <v>1705</v>
      </c>
      <c r="K33" s="1" t="s">
        <v>14</v>
      </c>
      <c r="L33">
        <v>333</v>
      </c>
      <c r="M33" s="4">
        <v>0.23125000000000001</v>
      </c>
      <c r="N33" s="10">
        <v>74.319999999999993</v>
      </c>
      <c r="O33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33" s="10">
        <f>Clients_chun_clean[[#This Row],[Facture_Mensuelle]]*Clients_chun_clean[[#This Row],[Remise]]</f>
        <v>33.443999999999996</v>
      </c>
      <c r="Q33">
        <v>1</v>
      </c>
    </row>
    <row r="34" spans="1:17" x14ac:dyDescent="0.25">
      <c r="A34" s="1" t="s">
        <v>8</v>
      </c>
      <c r="B34" s="1" t="s">
        <v>63</v>
      </c>
      <c r="C34" s="1" t="s">
        <v>64</v>
      </c>
      <c r="D34" s="1" t="str">
        <f>VLOOKUP(Clients_chun_clean[[#This Row],[Province_Client]],Master_Logs_reseau_registre!B34:F1105,2,0)</f>
        <v>ANT-0913</v>
      </c>
      <c r="E34" s="1" t="s">
        <v>1503</v>
      </c>
      <c r="F34" s="1" t="s">
        <v>1509</v>
      </c>
      <c r="G34" s="1" t="s">
        <v>808</v>
      </c>
      <c r="H34">
        <v>79</v>
      </c>
      <c r="I34">
        <v>6</v>
      </c>
      <c r="J34" s="1" t="s">
        <v>1704</v>
      </c>
      <c r="K34" s="1" t="s">
        <v>11</v>
      </c>
      <c r="L34">
        <v>226</v>
      </c>
      <c r="M34" s="4">
        <v>0.15694444444444444</v>
      </c>
      <c r="N34" s="10">
        <v>94.38</v>
      </c>
      <c r="O34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34" s="10">
        <f>Clients_chun_clean[[#This Row],[Facture_Mensuelle]]*Clients_chun_clean[[#This Row],[Remise]]</f>
        <v>0</v>
      </c>
      <c r="Q34">
        <v>3</v>
      </c>
    </row>
    <row r="35" spans="1:17" x14ac:dyDescent="0.25">
      <c r="A35" s="1" t="s">
        <v>8</v>
      </c>
      <c r="B35" s="1" t="s">
        <v>65</v>
      </c>
      <c r="C35" s="1" t="s">
        <v>21</v>
      </c>
      <c r="D35" s="1" t="str">
        <f>VLOOKUP(Clients_chun_clean[[#This Row],[Province_Client]],Master_Logs_reseau_registre!B35:F1106,2,0)</f>
        <v>ANT-0852</v>
      </c>
      <c r="E35" s="1" t="s">
        <v>1508</v>
      </c>
      <c r="F35" s="1" t="s">
        <v>1509</v>
      </c>
      <c r="G35" s="1" t="s">
        <v>808</v>
      </c>
      <c r="H35">
        <v>79</v>
      </c>
      <c r="I35">
        <v>6</v>
      </c>
      <c r="J35" s="1" t="s">
        <v>1704</v>
      </c>
      <c r="K35" s="1" t="s">
        <v>19</v>
      </c>
      <c r="L35">
        <v>357</v>
      </c>
      <c r="M35" s="4">
        <v>0.24791666666666667</v>
      </c>
      <c r="N35" s="10">
        <v>69.900000000000006</v>
      </c>
      <c r="O35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35" s="10">
        <f>Clients_chun_clean[[#This Row],[Facture_Mensuelle]]*Clients_chun_clean[[#This Row],[Remise]]</f>
        <v>31.455000000000002</v>
      </c>
      <c r="Q35">
        <v>5</v>
      </c>
    </row>
    <row r="36" spans="1:17" x14ac:dyDescent="0.25">
      <c r="A36" s="1" t="s">
        <v>8</v>
      </c>
      <c r="B36" s="1" t="s">
        <v>66</v>
      </c>
      <c r="C36" s="1" t="s">
        <v>67</v>
      </c>
      <c r="D36" s="1" t="str">
        <f>VLOOKUP(Clients_chun_clean[[#This Row],[Province_Client]],Master_Logs_reseau_registre!B36:F1107,2,0)</f>
        <v>ANT-0914</v>
      </c>
      <c r="E36" s="1" t="s">
        <v>1503</v>
      </c>
      <c r="F36" s="1" t="s">
        <v>1509</v>
      </c>
      <c r="G36" s="1" t="s">
        <v>808</v>
      </c>
      <c r="H36">
        <v>101</v>
      </c>
      <c r="I36">
        <v>8</v>
      </c>
      <c r="J36" s="1" t="s">
        <v>1705</v>
      </c>
      <c r="K36" s="1" t="s">
        <v>14</v>
      </c>
      <c r="L36">
        <v>176</v>
      </c>
      <c r="M36" s="4">
        <v>0.12222222222222222</v>
      </c>
      <c r="N36" s="10">
        <v>86</v>
      </c>
      <c r="O36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36" s="10">
        <f>Clients_chun_clean[[#This Row],[Facture_Mensuelle]]*Clients_chun_clean[[#This Row],[Remise]]</f>
        <v>8.6</v>
      </c>
      <c r="Q36">
        <v>3</v>
      </c>
    </row>
    <row r="37" spans="1:17" x14ac:dyDescent="0.25">
      <c r="A37" s="1" t="s">
        <v>8</v>
      </c>
      <c r="B37" s="1" t="s">
        <v>68</v>
      </c>
      <c r="C37" s="1" t="s">
        <v>21</v>
      </c>
      <c r="D37" s="1" t="str">
        <f>VLOOKUP(Clients_chun_clean[[#This Row],[Province_Client]],Master_Logs_reseau_registre!B37:F1108,2,0)</f>
        <v>ANT-0852</v>
      </c>
      <c r="E37" s="1" t="s">
        <v>1508</v>
      </c>
      <c r="F37" s="1" t="s">
        <v>1509</v>
      </c>
      <c r="G37" s="1" t="s">
        <v>808</v>
      </c>
      <c r="H37">
        <v>110</v>
      </c>
      <c r="I37">
        <v>9</v>
      </c>
      <c r="J37" s="1" t="s">
        <v>1704</v>
      </c>
      <c r="K37" s="1" t="s">
        <v>22</v>
      </c>
      <c r="L37">
        <v>454</v>
      </c>
      <c r="M37" s="4">
        <v>0.31527777777777777</v>
      </c>
      <c r="N37" s="10">
        <v>31.05</v>
      </c>
      <c r="O37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37" s="10">
        <f>Clients_chun_clean[[#This Row],[Facture_Mensuelle]]*Clients_chun_clean[[#This Row],[Remise]]</f>
        <v>13.9725</v>
      </c>
      <c r="Q37">
        <v>1</v>
      </c>
    </row>
    <row r="38" spans="1:17" x14ac:dyDescent="0.25">
      <c r="A38" s="1" t="s">
        <v>8</v>
      </c>
      <c r="B38" s="1" t="s">
        <v>69</v>
      </c>
      <c r="C38" s="1" t="s">
        <v>13</v>
      </c>
      <c r="D38" s="1" t="str">
        <f>VLOOKUP(Clients_chun_clean[[#This Row],[Province_Client]],Master_Logs_reseau_registre!B38:F1109,2,0)</f>
        <v>ANT-0271</v>
      </c>
      <c r="E38" s="1" t="s">
        <v>1503</v>
      </c>
      <c r="F38" s="1" t="s">
        <v>1509</v>
      </c>
      <c r="G38" s="1" t="s">
        <v>808</v>
      </c>
      <c r="H38">
        <v>14</v>
      </c>
      <c r="I38">
        <v>1</v>
      </c>
      <c r="J38" s="1" t="s">
        <v>1704</v>
      </c>
      <c r="K38" s="1" t="s">
        <v>19</v>
      </c>
      <c r="L38">
        <v>415</v>
      </c>
      <c r="M38" s="4">
        <v>0.28819444444444442</v>
      </c>
      <c r="N38" s="10">
        <v>36.93</v>
      </c>
      <c r="O38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38" s="10">
        <f>Clients_chun_clean[[#This Row],[Facture_Mensuelle]]*Clients_chun_clean[[#This Row],[Remise]]</f>
        <v>16.618500000000001</v>
      </c>
      <c r="Q38">
        <v>5</v>
      </c>
    </row>
    <row r="39" spans="1:17" x14ac:dyDescent="0.25">
      <c r="A39" s="1" t="s">
        <v>8</v>
      </c>
      <c r="B39" s="1" t="s">
        <v>70</v>
      </c>
      <c r="C39" s="1" t="s">
        <v>29</v>
      </c>
      <c r="D39" s="1" t="str">
        <f>VLOOKUP(Clients_chun_clean[[#This Row],[Province_Client]],Master_Logs_reseau_registre!B39:F1110,2,0)</f>
        <v>ANT-0332</v>
      </c>
      <c r="E39" s="1" t="s">
        <v>1506</v>
      </c>
      <c r="F39" s="1" t="s">
        <v>1507</v>
      </c>
      <c r="G39" s="1" t="s">
        <v>808</v>
      </c>
      <c r="H39">
        <v>106</v>
      </c>
      <c r="I39">
        <v>8</v>
      </c>
      <c r="J39" s="1" t="s">
        <v>1704</v>
      </c>
      <c r="K39" s="1" t="s">
        <v>19</v>
      </c>
      <c r="L39">
        <v>400</v>
      </c>
      <c r="M39" s="4">
        <v>0.27777777777777779</v>
      </c>
      <c r="N39" s="10">
        <v>70.02</v>
      </c>
      <c r="O39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39" s="10">
        <f>Clients_chun_clean[[#This Row],[Facture_Mensuelle]]*Clients_chun_clean[[#This Row],[Remise]]</f>
        <v>31.509</v>
      </c>
      <c r="Q39">
        <v>4</v>
      </c>
    </row>
    <row r="40" spans="1:17" x14ac:dyDescent="0.25">
      <c r="A40" s="1" t="s">
        <v>8</v>
      </c>
      <c r="B40" s="1" t="s">
        <v>71</v>
      </c>
      <c r="C40" s="1" t="s">
        <v>29</v>
      </c>
      <c r="D40" s="1" t="str">
        <f>VLOOKUP(Clients_chun_clean[[#This Row],[Province_Client]],Master_Logs_reseau_registre!B40:F1111,2,0)</f>
        <v>ANT-0332</v>
      </c>
      <c r="E40" s="1" t="s">
        <v>1506</v>
      </c>
      <c r="F40" s="1" t="s">
        <v>1504</v>
      </c>
      <c r="G40" s="1" t="s">
        <v>808</v>
      </c>
      <c r="H40">
        <v>72</v>
      </c>
      <c r="I40">
        <v>6</v>
      </c>
      <c r="J40" s="1" t="s">
        <v>1704</v>
      </c>
      <c r="K40" s="1" t="s">
        <v>19</v>
      </c>
      <c r="L40">
        <v>332</v>
      </c>
      <c r="M40" s="4">
        <v>0.23055555555555557</v>
      </c>
      <c r="N40" s="10">
        <v>83.36</v>
      </c>
      <c r="O40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40" s="10">
        <f>Clients_chun_clean[[#This Row],[Facture_Mensuelle]]*Clients_chun_clean[[#This Row],[Remise]]</f>
        <v>37.512</v>
      </c>
      <c r="Q40">
        <v>4</v>
      </c>
    </row>
    <row r="41" spans="1:17" x14ac:dyDescent="0.25">
      <c r="A41" s="1" t="s">
        <v>8</v>
      </c>
      <c r="B41" s="1" t="s">
        <v>72</v>
      </c>
      <c r="C41" s="1" t="s">
        <v>73</v>
      </c>
      <c r="D41" s="1" t="str">
        <f>VLOOKUP(Clients_chun_clean[[#This Row],[Province_Client]],Master_Logs_reseau_registre!B41:F1112,2,0)</f>
        <v>ANT-0096</v>
      </c>
      <c r="E41" s="1" t="s">
        <v>1508</v>
      </c>
      <c r="F41" s="1" t="s">
        <v>1509</v>
      </c>
      <c r="G41" s="1" t="s">
        <v>808</v>
      </c>
      <c r="H41">
        <v>6</v>
      </c>
      <c r="I41">
        <v>0</v>
      </c>
      <c r="J41" s="1" t="s">
        <v>1704</v>
      </c>
      <c r="K41" s="1" t="s">
        <v>11</v>
      </c>
      <c r="L41">
        <v>207</v>
      </c>
      <c r="M41" s="4">
        <v>0.14374999999999999</v>
      </c>
      <c r="N41" s="10">
        <v>61.55</v>
      </c>
      <c r="O41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41" s="10">
        <f>Clients_chun_clean[[#This Row],[Facture_Mensuelle]]*Clients_chun_clean[[#This Row],[Remise]]</f>
        <v>27.697499999999998</v>
      </c>
      <c r="Q41">
        <v>0</v>
      </c>
    </row>
    <row r="42" spans="1:17" x14ac:dyDescent="0.25">
      <c r="A42" s="1" t="s">
        <v>8</v>
      </c>
      <c r="B42" s="1" t="s">
        <v>74</v>
      </c>
      <c r="C42" s="1" t="s">
        <v>62</v>
      </c>
      <c r="D42" s="1" t="str">
        <f>VLOOKUP(Clients_chun_clean[[#This Row],[Province_Client]],Master_Logs_reseau_registre!B42:F1113,2,0)</f>
        <v>ANT-0737</v>
      </c>
      <c r="E42" s="1" t="s">
        <v>1503</v>
      </c>
      <c r="F42" s="1" t="s">
        <v>1509</v>
      </c>
      <c r="G42" s="1" t="s">
        <v>808</v>
      </c>
      <c r="H42">
        <v>65</v>
      </c>
      <c r="I42">
        <v>5</v>
      </c>
      <c r="J42" s="1" t="s">
        <v>1704</v>
      </c>
      <c r="K42" s="1" t="s">
        <v>11</v>
      </c>
      <c r="L42">
        <v>397</v>
      </c>
      <c r="M42" s="4">
        <v>0.27569444444444446</v>
      </c>
      <c r="N42" s="10">
        <v>22.6</v>
      </c>
      <c r="O42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42" s="10">
        <f>Clients_chun_clean[[#This Row],[Facture_Mensuelle]]*Clients_chun_clean[[#This Row],[Remise]]</f>
        <v>10.170000000000002</v>
      </c>
      <c r="Q42">
        <v>5</v>
      </c>
    </row>
    <row r="43" spans="1:17" x14ac:dyDescent="0.25">
      <c r="A43" s="1" t="s">
        <v>8</v>
      </c>
      <c r="B43" s="1" t="s">
        <v>75</v>
      </c>
      <c r="C43" s="1" t="s">
        <v>24</v>
      </c>
      <c r="D43" s="1" t="str">
        <f>VLOOKUP(Clients_chun_clean[[#This Row],[Province_Client]],Master_Logs_reseau_registre!B43:F1114,2,0)</f>
        <v>ANT-0284</v>
      </c>
      <c r="E43" s="1" t="s">
        <v>1506</v>
      </c>
      <c r="F43" s="1" t="s">
        <v>1507</v>
      </c>
      <c r="G43" s="1" t="s">
        <v>811</v>
      </c>
      <c r="H43">
        <v>14</v>
      </c>
      <c r="I43">
        <v>1</v>
      </c>
      <c r="J43" s="1" t="s">
        <v>1705</v>
      </c>
      <c r="K43" s="1" t="s">
        <v>14</v>
      </c>
      <c r="L43">
        <v>101</v>
      </c>
      <c r="M43" s="4">
        <v>7.013888888888889E-2</v>
      </c>
      <c r="N43" s="10">
        <v>43.99</v>
      </c>
      <c r="O43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43" s="10">
        <f>Clients_chun_clean[[#This Row],[Facture_Mensuelle]]*Clients_chun_clean[[#This Row],[Remise]]</f>
        <v>4.399</v>
      </c>
      <c r="Q43">
        <v>1</v>
      </c>
    </row>
    <row r="44" spans="1:17" x14ac:dyDescent="0.25">
      <c r="A44" s="1" t="s">
        <v>8</v>
      </c>
      <c r="B44" s="1" t="s">
        <v>76</v>
      </c>
      <c r="C44" s="1" t="s">
        <v>40</v>
      </c>
      <c r="D44" s="1" t="str">
        <f>VLOOKUP(Clients_chun_clean[[#This Row],[Province_Client]],Master_Logs_reseau_registre!B44:F1115,2,0)</f>
        <v>ANT-0134</v>
      </c>
      <c r="E44" s="1" t="s">
        <v>1506</v>
      </c>
      <c r="F44" s="1" t="s">
        <v>1504</v>
      </c>
      <c r="G44" s="1" t="s">
        <v>808</v>
      </c>
      <c r="H44">
        <v>22</v>
      </c>
      <c r="I44">
        <v>1</v>
      </c>
      <c r="J44" s="1" t="s">
        <v>1704</v>
      </c>
      <c r="K44" s="1" t="s">
        <v>22</v>
      </c>
      <c r="L44">
        <v>451</v>
      </c>
      <c r="M44" s="4">
        <v>0.31319444444444444</v>
      </c>
      <c r="N44" s="10">
        <v>76.38</v>
      </c>
      <c r="O44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44" s="10">
        <f>Clients_chun_clean[[#This Row],[Facture_Mensuelle]]*Clients_chun_clean[[#This Row],[Remise]]</f>
        <v>34.371000000000002</v>
      </c>
      <c r="Q44">
        <v>3</v>
      </c>
    </row>
    <row r="45" spans="1:17" x14ac:dyDescent="0.25">
      <c r="A45" s="1" t="s">
        <v>8</v>
      </c>
      <c r="B45" s="1" t="s">
        <v>77</v>
      </c>
      <c r="C45" s="1" t="s">
        <v>78</v>
      </c>
      <c r="D45" s="1" t="str">
        <f>VLOOKUP(Clients_chun_clean[[#This Row],[Province_Client]],Master_Logs_reseau_registre!B45:F1116,2,0)</f>
        <v>ANT-0302</v>
      </c>
      <c r="E45" s="1" t="s">
        <v>1506</v>
      </c>
      <c r="F45" s="1" t="s">
        <v>1504</v>
      </c>
      <c r="G45" s="1" t="s">
        <v>808</v>
      </c>
      <c r="H45">
        <v>81</v>
      </c>
      <c r="I45">
        <v>6</v>
      </c>
      <c r="J45" s="1" t="s">
        <v>1705</v>
      </c>
      <c r="K45" s="1" t="s">
        <v>14</v>
      </c>
      <c r="L45">
        <v>154</v>
      </c>
      <c r="M45" s="4">
        <v>0.10694444444444444</v>
      </c>
      <c r="N45" s="10">
        <v>19.47</v>
      </c>
      <c r="O45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45" s="10">
        <f>Clients_chun_clean[[#This Row],[Facture_Mensuelle]]*Clients_chun_clean[[#This Row],[Remise]]</f>
        <v>1.9470000000000001</v>
      </c>
      <c r="Q45">
        <v>3</v>
      </c>
    </row>
    <row r="46" spans="1:17" x14ac:dyDescent="0.25">
      <c r="A46" s="1" t="s">
        <v>8</v>
      </c>
      <c r="B46" s="1" t="s">
        <v>79</v>
      </c>
      <c r="C46" s="1" t="s">
        <v>10</v>
      </c>
      <c r="D46" s="1" t="str">
        <f>VLOOKUP(Clients_chun_clean[[#This Row],[Province_Client]],Master_Logs_reseau_registre!B46:F1117,2,0)</f>
        <v>ANT-0037</v>
      </c>
      <c r="E46" s="1" t="s">
        <v>1508</v>
      </c>
      <c r="F46" s="1" t="s">
        <v>1507</v>
      </c>
      <c r="G46" s="1" t="s">
        <v>813</v>
      </c>
      <c r="H46">
        <v>16</v>
      </c>
      <c r="I46">
        <v>1</v>
      </c>
      <c r="J46" s="1" t="s">
        <v>1704</v>
      </c>
      <c r="K46" s="1" t="s">
        <v>19</v>
      </c>
      <c r="L46">
        <v>43</v>
      </c>
      <c r="M46" s="4">
        <v>2.9861111111111113E-2</v>
      </c>
      <c r="N46" s="10">
        <v>56.48</v>
      </c>
      <c r="O46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46" s="10">
        <f>Clients_chun_clean[[#This Row],[Facture_Mensuelle]]*Clients_chun_clean[[#This Row],[Remise]]</f>
        <v>0</v>
      </c>
      <c r="Q46">
        <v>0</v>
      </c>
    </row>
    <row r="47" spans="1:17" x14ac:dyDescent="0.25">
      <c r="A47" s="1" t="s">
        <v>8</v>
      </c>
      <c r="B47" s="1" t="s">
        <v>80</v>
      </c>
      <c r="C47" s="1" t="s">
        <v>51</v>
      </c>
      <c r="D47" s="1" t="str">
        <f>VLOOKUP(Clients_chun_clean[[#This Row],[Province_Client]],Master_Logs_reseau_registre!B47:F1118,2,0)</f>
        <v>ANT-0850</v>
      </c>
      <c r="E47" s="1" t="s">
        <v>1508</v>
      </c>
      <c r="F47" s="1" t="s">
        <v>1507</v>
      </c>
      <c r="G47" s="1" t="s">
        <v>813</v>
      </c>
      <c r="H47">
        <v>112</v>
      </c>
      <c r="I47">
        <v>9</v>
      </c>
      <c r="J47" s="1" t="s">
        <v>1705</v>
      </c>
      <c r="K47" s="1" t="s">
        <v>14</v>
      </c>
      <c r="L47">
        <v>18</v>
      </c>
      <c r="M47" s="4">
        <v>1.2500000000000001E-2</v>
      </c>
      <c r="N47" s="10">
        <v>27.33</v>
      </c>
      <c r="O47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47" s="10">
        <f>Clients_chun_clean[[#This Row],[Facture_Mensuelle]]*Clients_chun_clean[[#This Row],[Remise]]</f>
        <v>2.7330000000000001</v>
      </c>
      <c r="Q47">
        <v>5</v>
      </c>
    </row>
    <row r="48" spans="1:17" x14ac:dyDescent="0.25">
      <c r="A48" s="1" t="s">
        <v>8</v>
      </c>
      <c r="B48" s="1" t="s">
        <v>81</v>
      </c>
      <c r="C48" s="1" t="s">
        <v>31</v>
      </c>
      <c r="D48" s="1" t="str">
        <f>VLOOKUP(Clients_chun_clean[[#This Row],[Province_Client]],Master_Logs_reseau_registre!B48:F1119,2,0)</f>
        <v>ANT-0166</v>
      </c>
      <c r="E48" s="1" t="s">
        <v>1503</v>
      </c>
      <c r="F48" s="1" t="s">
        <v>1509</v>
      </c>
      <c r="G48" s="1" t="s">
        <v>813</v>
      </c>
      <c r="H48">
        <v>27</v>
      </c>
      <c r="I48">
        <v>2</v>
      </c>
      <c r="J48" s="1" t="s">
        <v>1704</v>
      </c>
      <c r="K48" s="1" t="s">
        <v>19</v>
      </c>
      <c r="L48">
        <v>275</v>
      </c>
      <c r="M48" s="4">
        <v>0.19097222222222221</v>
      </c>
      <c r="N48" s="10">
        <v>80.069999999999993</v>
      </c>
      <c r="O48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48" s="10">
        <f>Clients_chun_clean[[#This Row],[Facture_Mensuelle]]*Clients_chun_clean[[#This Row],[Remise]]</f>
        <v>36.031500000000001</v>
      </c>
      <c r="Q48">
        <v>1</v>
      </c>
    </row>
    <row r="49" spans="1:17" x14ac:dyDescent="0.25">
      <c r="A49" s="1" t="s">
        <v>8</v>
      </c>
      <c r="B49" s="1" t="s">
        <v>82</v>
      </c>
      <c r="C49" s="1" t="s">
        <v>57</v>
      </c>
      <c r="D49" s="1" t="str">
        <f>VLOOKUP(Clients_chun_clean[[#This Row],[Province_Client]],Master_Logs_reseau_registre!B49:F1120,2,0)</f>
        <v>ANT-0731</v>
      </c>
      <c r="E49" s="1" t="s">
        <v>1503</v>
      </c>
      <c r="F49" s="1" t="s">
        <v>1509</v>
      </c>
      <c r="G49" s="1" t="s">
        <v>813</v>
      </c>
      <c r="H49">
        <v>117</v>
      </c>
      <c r="I49">
        <v>9</v>
      </c>
      <c r="J49" s="1" t="s">
        <v>1704</v>
      </c>
      <c r="K49" s="1" t="s">
        <v>22</v>
      </c>
      <c r="L49">
        <v>171</v>
      </c>
      <c r="M49" s="4">
        <v>0.11874999999999999</v>
      </c>
      <c r="N49" s="10">
        <v>50.89</v>
      </c>
      <c r="O49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49" s="10">
        <f>Clients_chun_clean[[#This Row],[Facture_Mensuelle]]*Clients_chun_clean[[#This Row],[Remise]]</f>
        <v>0</v>
      </c>
      <c r="Q49">
        <v>4</v>
      </c>
    </row>
    <row r="50" spans="1:17" x14ac:dyDescent="0.25">
      <c r="A50" s="1" t="s">
        <v>8</v>
      </c>
      <c r="B50" s="1" t="s">
        <v>83</v>
      </c>
      <c r="C50" s="1" t="s">
        <v>51</v>
      </c>
      <c r="D50" s="1" t="str">
        <f>VLOOKUP(Clients_chun_clean[[#This Row],[Province_Client]],Master_Logs_reseau_registre!B50:F1121,2,0)</f>
        <v>ANT-0850</v>
      </c>
      <c r="E50" s="1" t="s">
        <v>1508</v>
      </c>
      <c r="F50" s="1" t="s">
        <v>1507</v>
      </c>
      <c r="G50" s="1" t="s">
        <v>808</v>
      </c>
      <c r="H50">
        <v>47</v>
      </c>
      <c r="I50">
        <v>3</v>
      </c>
      <c r="J50" s="1" t="s">
        <v>1704</v>
      </c>
      <c r="K50" s="1" t="s">
        <v>19</v>
      </c>
      <c r="L50">
        <v>199</v>
      </c>
      <c r="M50" s="4">
        <v>0.13819444444444445</v>
      </c>
      <c r="N50" s="10">
        <v>23.19</v>
      </c>
      <c r="O50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50" s="10">
        <f>Clients_chun_clean[[#This Row],[Facture_Mensuelle]]*Clients_chun_clean[[#This Row],[Remise]]</f>
        <v>0</v>
      </c>
      <c r="Q50">
        <v>2</v>
      </c>
    </row>
    <row r="51" spans="1:17" x14ac:dyDescent="0.25">
      <c r="A51" s="1" t="s">
        <v>8</v>
      </c>
      <c r="B51" s="1" t="s">
        <v>84</v>
      </c>
      <c r="C51" s="1" t="s">
        <v>60</v>
      </c>
      <c r="D51" s="1" t="str">
        <f>VLOOKUP(Clients_chun_clean[[#This Row],[Province_Client]],Master_Logs_reseau_registre!B51:F1122,2,0)</f>
        <v>ANT-0451</v>
      </c>
      <c r="E51" s="1" t="s">
        <v>1508</v>
      </c>
      <c r="F51" s="1" t="s">
        <v>1507</v>
      </c>
      <c r="G51" s="1" t="s">
        <v>808</v>
      </c>
      <c r="H51">
        <v>21</v>
      </c>
      <c r="I51">
        <v>1</v>
      </c>
      <c r="J51" s="1" t="s">
        <v>1704</v>
      </c>
      <c r="K51" s="1" t="s">
        <v>11</v>
      </c>
      <c r="L51">
        <v>371</v>
      </c>
      <c r="M51" s="4">
        <v>0.25763888888888886</v>
      </c>
      <c r="N51" s="10">
        <v>48.31</v>
      </c>
      <c r="O51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51" s="10">
        <f>Clients_chun_clean[[#This Row],[Facture_Mensuelle]]*Clients_chun_clean[[#This Row],[Remise]]</f>
        <v>21.739500000000003</v>
      </c>
      <c r="Q51">
        <v>0</v>
      </c>
    </row>
    <row r="52" spans="1:17" x14ac:dyDescent="0.25">
      <c r="A52" s="1" t="s">
        <v>85</v>
      </c>
      <c r="B52" s="1" t="s">
        <v>86</v>
      </c>
      <c r="C52" s="1" t="s">
        <v>51</v>
      </c>
      <c r="D52" s="1" t="str">
        <f>VLOOKUP(Clients_chun_clean[[#This Row],[Province_Client]],Master_Logs_reseau_registre!B52:F1123,2,0)</f>
        <v>ANT-0850</v>
      </c>
      <c r="E52" s="1" t="s">
        <v>1508</v>
      </c>
      <c r="F52" s="1" t="s">
        <v>1507</v>
      </c>
      <c r="G52" s="1" t="s">
        <v>808</v>
      </c>
      <c r="H52">
        <v>82</v>
      </c>
      <c r="I52">
        <v>6</v>
      </c>
      <c r="J52" s="1" t="s">
        <v>1704</v>
      </c>
      <c r="K52" s="1" t="s">
        <v>19</v>
      </c>
      <c r="L52">
        <v>132</v>
      </c>
      <c r="M52" s="4">
        <v>9.166666666666666E-2</v>
      </c>
      <c r="N52" s="10">
        <v>50.14</v>
      </c>
      <c r="O52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52" s="10">
        <f>Clients_chun_clean[[#This Row],[Facture_Mensuelle]]*Clients_chun_clean[[#This Row],[Remise]]</f>
        <v>0</v>
      </c>
      <c r="Q52">
        <v>5</v>
      </c>
    </row>
    <row r="53" spans="1:17" x14ac:dyDescent="0.25">
      <c r="A53" s="1" t="s">
        <v>85</v>
      </c>
      <c r="B53" s="1" t="s">
        <v>87</v>
      </c>
      <c r="C53" s="1" t="s">
        <v>21</v>
      </c>
      <c r="D53" s="1" t="str">
        <f>VLOOKUP(Clients_chun_clean[[#This Row],[Province_Client]],Master_Logs_reseau_registre!B53:F1124,2,0)</f>
        <v>ANT-0441</v>
      </c>
      <c r="E53" s="1" t="s">
        <v>1508</v>
      </c>
      <c r="F53" s="1" t="s">
        <v>1507</v>
      </c>
      <c r="G53" s="1" t="s">
        <v>808</v>
      </c>
      <c r="H53">
        <v>59</v>
      </c>
      <c r="I53">
        <v>4</v>
      </c>
      <c r="J53" s="1" t="s">
        <v>1704</v>
      </c>
      <c r="K53" s="1" t="s">
        <v>22</v>
      </c>
      <c r="L53">
        <v>192</v>
      </c>
      <c r="M53" s="4">
        <v>0.13333333333333333</v>
      </c>
      <c r="N53" s="10">
        <v>86.17</v>
      </c>
      <c r="O53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53" s="10">
        <f>Clients_chun_clean[[#This Row],[Facture_Mensuelle]]*Clients_chun_clean[[#This Row],[Remise]]</f>
        <v>0</v>
      </c>
      <c r="Q53">
        <v>1</v>
      </c>
    </row>
    <row r="54" spans="1:17" x14ac:dyDescent="0.25">
      <c r="A54" s="1" t="s">
        <v>85</v>
      </c>
      <c r="B54" s="1" t="s">
        <v>88</v>
      </c>
      <c r="C54" s="1" t="s">
        <v>89</v>
      </c>
      <c r="D54" s="1" t="str">
        <f>VLOOKUP(Clients_chun_clean[[#This Row],[Province_Client]],Master_Logs_reseau_registre!B54:F1125,2,0)</f>
        <v>ANT-0153</v>
      </c>
      <c r="E54" s="1" t="s">
        <v>1503</v>
      </c>
      <c r="F54" s="1" t="s">
        <v>1504</v>
      </c>
      <c r="G54" s="1" t="s">
        <v>811</v>
      </c>
      <c r="H54">
        <v>98</v>
      </c>
      <c r="I54">
        <v>8</v>
      </c>
      <c r="J54" s="1" t="s">
        <v>1705</v>
      </c>
      <c r="K54" s="1" t="s">
        <v>14</v>
      </c>
      <c r="L54">
        <v>482</v>
      </c>
      <c r="M54" s="4">
        <v>0.3347222222222222</v>
      </c>
      <c r="N54" s="10">
        <v>55.04</v>
      </c>
      <c r="O54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54" s="10">
        <f>Clients_chun_clean[[#This Row],[Facture_Mensuelle]]*Clients_chun_clean[[#This Row],[Remise]]</f>
        <v>24.768000000000001</v>
      </c>
      <c r="Q54">
        <v>5</v>
      </c>
    </row>
    <row r="55" spans="1:17" x14ac:dyDescent="0.25">
      <c r="A55" s="1" t="s">
        <v>85</v>
      </c>
      <c r="B55" s="1" t="s">
        <v>90</v>
      </c>
      <c r="C55" s="1" t="s">
        <v>35</v>
      </c>
      <c r="D55" s="1" t="str">
        <f>VLOOKUP(Clients_chun_clean[[#This Row],[Province_Client]],Master_Logs_reseau_registre!B55:F1126,2,0)</f>
        <v>ANT-0760</v>
      </c>
      <c r="E55" s="1" t="s">
        <v>1506</v>
      </c>
      <c r="F55" s="1" t="s">
        <v>1504</v>
      </c>
      <c r="G55" s="1" t="s">
        <v>811</v>
      </c>
      <c r="H55">
        <v>58</v>
      </c>
      <c r="I55">
        <v>4</v>
      </c>
      <c r="J55" s="1" t="s">
        <v>1704</v>
      </c>
      <c r="K55" s="1" t="s">
        <v>19</v>
      </c>
      <c r="L55">
        <v>423</v>
      </c>
      <c r="M55" s="4">
        <v>0.29375000000000001</v>
      </c>
      <c r="N55" s="10">
        <v>80.459999999999994</v>
      </c>
      <c r="O55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55" s="10">
        <f>Clients_chun_clean[[#This Row],[Facture_Mensuelle]]*Clients_chun_clean[[#This Row],[Remise]]</f>
        <v>36.207000000000001</v>
      </c>
      <c r="Q55">
        <v>0</v>
      </c>
    </row>
    <row r="56" spans="1:17" x14ac:dyDescent="0.25">
      <c r="A56" s="1" t="s">
        <v>85</v>
      </c>
      <c r="B56" s="1" t="s">
        <v>91</v>
      </c>
      <c r="C56" s="1" t="s">
        <v>62</v>
      </c>
      <c r="D56" s="1" t="str">
        <f>VLOOKUP(Clients_chun_clean[[#This Row],[Province_Client]],Master_Logs_reseau_registre!B56:F1127,2,0)</f>
        <v>ANT-0737</v>
      </c>
      <c r="E56" s="1" t="s">
        <v>1503</v>
      </c>
      <c r="F56" s="1" t="s">
        <v>1504</v>
      </c>
      <c r="G56" s="1" t="s">
        <v>811</v>
      </c>
      <c r="H56">
        <v>86</v>
      </c>
      <c r="I56">
        <v>7</v>
      </c>
      <c r="J56" s="1" t="s">
        <v>1704</v>
      </c>
      <c r="K56" s="1" t="s">
        <v>19</v>
      </c>
      <c r="L56">
        <v>460</v>
      </c>
      <c r="M56" s="4">
        <v>0.31944444444444442</v>
      </c>
      <c r="N56" s="10">
        <v>22.81</v>
      </c>
      <c r="O56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56" s="10">
        <f>Clients_chun_clean[[#This Row],[Facture_Mensuelle]]*Clients_chun_clean[[#This Row],[Remise]]</f>
        <v>10.2645</v>
      </c>
      <c r="Q56">
        <v>4</v>
      </c>
    </row>
    <row r="57" spans="1:17" x14ac:dyDescent="0.25">
      <c r="A57" s="1" t="s">
        <v>85</v>
      </c>
      <c r="B57" s="1" t="s">
        <v>92</v>
      </c>
      <c r="C57" s="1" t="s">
        <v>73</v>
      </c>
      <c r="D57" s="1" t="str">
        <f>VLOOKUP(Clients_chun_clean[[#This Row],[Province_Client]],Master_Logs_reseau_registre!B57:F1128,2,0)</f>
        <v>ANT-0096</v>
      </c>
      <c r="E57" s="1" t="s">
        <v>1508</v>
      </c>
      <c r="F57" s="1" t="s">
        <v>1516</v>
      </c>
      <c r="G57" s="1" t="s">
        <v>811</v>
      </c>
      <c r="H57">
        <v>58</v>
      </c>
      <c r="I57">
        <v>4</v>
      </c>
      <c r="J57" s="1" t="s">
        <v>1704</v>
      </c>
      <c r="K57" s="1" t="s">
        <v>22</v>
      </c>
      <c r="L57">
        <v>61</v>
      </c>
      <c r="M57" s="4">
        <v>4.2361111111111113E-2</v>
      </c>
      <c r="N57" s="10">
        <v>58.64</v>
      </c>
      <c r="O57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57" s="10">
        <f>Clients_chun_clean[[#This Row],[Facture_Mensuelle]]*Clients_chun_clean[[#This Row],[Remise]]</f>
        <v>0</v>
      </c>
      <c r="Q57">
        <v>3</v>
      </c>
    </row>
    <row r="58" spans="1:17" x14ac:dyDescent="0.25">
      <c r="A58" s="1" t="s">
        <v>85</v>
      </c>
      <c r="B58" s="1" t="s">
        <v>93</v>
      </c>
      <c r="C58" s="1" t="s">
        <v>44</v>
      </c>
      <c r="D58" s="1" t="str">
        <f>VLOOKUP(Clients_chun_clean[[#This Row],[Province_Client]],Master_Logs_reseau_registre!B58:F1129,2,0)</f>
        <v>ANT-0011</v>
      </c>
      <c r="E58" s="1" t="s">
        <v>1506</v>
      </c>
      <c r="F58" s="1" t="s">
        <v>1504</v>
      </c>
      <c r="G58" s="1" t="s">
        <v>808</v>
      </c>
      <c r="H58">
        <v>20</v>
      </c>
      <c r="I58">
        <v>1</v>
      </c>
      <c r="J58" s="1" t="s">
        <v>1704</v>
      </c>
      <c r="K58" s="1" t="s">
        <v>19</v>
      </c>
      <c r="L58">
        <v>26</v>
      </c>
      <c r="M58" s="4">
        <v>1.8055555555555554E-2</v>
      </c>
      <c r="N58" s="10">
        <v>25.14</v>
      </c>
      <c r="O58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58" s="10">
        <f>Clients_chun_clean[[#This Row],[Facture_Mensuelle]]*Clients_chun_clean[[#This Row],[Remise]]</f>
        <v>0</v>
      </c>
      <c r="Q58">
        <v>0</v>
      </c>
    </row>
    <row r="59" spans="1:17" x14ac:dyDescent="0.25">
      <c r="A59" s="1" t="s">
        <v>85</v>
      </c>
      <c r="B59" s="1" t="s">
        <v>94</v>
      </c>
      <c r="C59" s="1" t="s">
        <v>51</v>
      </c>
      <c r="D59" s="1" t="str">
        <f>VLOOKUP(Clients_chun_clean[[#This Row],[Province_Client]],Master_Logs_reseau_registre!B59:F1130,2,0)</f>
        <v>ANT-0850</v>
      </c>
      <c r="E59" s="1" t="s">
        <v>1508</v>
      </c>
      <c r="F59" s="1" t="s">
        <v>1516</v>
      </c>
      <c r="G59" s="1" t="s">
        <v>811</v>
      </c>
      <c r="H59">
        <v>111</v>
      </c>
      <c r="I59">
        <v>9</v>
      </c>
      <c r="J59" s="1" t="s">
        <v>1704</v>
      </c>
      <c r="K59" s="1" t="s">
        <v>11</v>
      </c>
      <c r="L59">
        <v>103</v>
      </c>
      <c r="M59" s="4">
        <v>7.1527777777777773E-2</v>
      </c>
      <c r="N59" s="10">
        <v>32.06</v>
      </c>
      <c r="O59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59" s="10">
        <f>Clients_chun_clean[[#This Row],[Facture_Mensuelle]]*Clients_chun_clean[[#This Row],[Remise]]</f>
        <v>0</v>
      </c>
      <c r="Q59">
        <v>0</v>
      </c>
    </row>
    <row r="60" spans="1:17" x14ac:dyDescent="0.25">
      <c r="A60" s="1" t="s">
        <v>85</v>
      </c>
      <c r="B60" s="1" t="s">
        <v>95</v>
      </c>
      <c r="C60" s="1" t="s">
        <v>21</v>
      </c>
      <c r="D60" s="1" t="str">
        <f>VLOOKUP(Clients_chun_clean[[#This Row],[Province_Client]],Master_Logs_reseau_registre!B60:F1131,2,0)</f>
        <v>ANT-0441</v>
      </c>
      <c r="E60" s="1" t="s">
        <v>1508</v>
      </c>
      <c r="F60" s="1" t="s">
        <v>1516</v>
      </c>
      <c r="G60" s="1" t="s">
        <v>811</v>
      </c>
      <c r="H60">
        <v>94</v>
      </c>
      <c r="I60">
        <v>7</v>
      </c>
      <c r="J60" s="1" t="s">
        <v>1704</v>
      </c>
      <c r="K60" s="1" t="s">
        <v>22</v>
      </c>
      <c r="L60">
        <v>122</v>
      </c>
      <c r="M60" s="4">
        <v>8.4722222222222227E-2</v>
      </c>
      <c r="N60" s="10">
        <v>95.74</v>
      </c>
      <c r="O60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60" s="10">
        <f>Clients_chun_clean[[#This Row],[Facture_Mensuelle]]*Clients_chun_clean[[#This Row],[Remise]]</f>
        <v>0</v>
      </c>
      <c r="Q60">
        <v>5</v>
      </c>
    </row>
    <row r="61" spans="1:17" x14ac:dyDescent="0.25">
      <c r="A61" s="1" t="s">
        <v>85</v>
      </c>
      <c r="B61" s="1" t="s">
        <v>96</v>
      </c>
      <c r="C61" s="1" t="s">
        <v>35</v>
      </c>
      <c r="D61" s="1" t="str">
        <f>VLOOKUP(Clients_chun_clean[[#This Row],[Province_Client]],Master_Logs_reseau_registre!B61:F1132,2,0)</f>
        <v>ANT-0760</v>
      </c>
      <c r="E61" s="1" t="s">
        <v>1506</v>
      </c>
      <c r="F61" s="1" t="s">
        <v>1504</v>
      </c>
      <c r="G61" s="1" t="s">
        <v>808</v>
      </c>
      <c r="H61">
        <v>42</v>
      </c>
      <c r="I61">
        <v>3</v>
      </c>
      <c r="J61" s="1" t="s">
        <v>1704</v>
      </c>
      <c r="K61" s="1" t="s">
        <v>22</v>
      </c>
      <c r="L61">
        <v>385</v>
      </c>
      <c r="M61" s="4">
        <v>0.2673611111111111</v>
      </c>
      <c r="N61" s="10">
        <v>96.52</v>
      </c>
      <c r="O61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61" s="10">
        <f>Clients_chun_clean[[#This Row],[Facture_Mensuelle]]*Clients_chun_clean[[#This Row],[Remise]]</f>
        <v>43.433999999999997</v>
      </c>
      <c r="Q61">
        <v>1</v>
      </c>
    </row>
    <row r="62" spans="1:17" x14ac:dyDescent="0.25">
      <c r="A62" s="1" t="s">
        <v>85</v>
      </c>
      <c r="B62" s="1" t="s">
        <v>97</v>
      </c>
      <c r="C62" s="1" t="s">
        <v>21</v>
      </c>
      <c r="D62" s="1" t="str">
        <f>VLOOKUP(Clients_chun_clean[[#This Row],[Province_Client]],Master_Logs_reseau_registre!B62:F1133,2,0)</f>
        <v>ANT-0441</v>
      </c>
      <c r="E62" s="1" t="s">
        <v>1508</v>
      </c>
      <c r="F62" s="1" t="s">
        <v>1516</v>
      </c>
      <c r="G62" s="1" t="s">
        <v>811</v>
      </c>
      <c r="H62">
        <v>12</v>
      </c>
      <c r="I62">
        <v>1</v>
      </c>
      <c r="J62" s="1" t="s">
        <v>1705</v>
      </c>
      <c r="K62" s="1" t="s">
        <v>14</v>
      </c>
      <c r="L62">
        <v>305</v>
      </c>
      <c r="M62" s="4">
        <v>0.21180555555555555</v>
      </c>
      <c r="N62" s="10">
        <v>59.96</v>
      </c>
      <c r="O62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62" s="10">
        <f>Clients_chun_clean[[#This Row],[Facture_Mensuelle]]*Clients_chun_clean[[#This Row],[Remise]]</f>
        <v>26.981999999999999</v>
      </c>
      <c r="Q62">
        <v>3</v>
      </c>
    </row>
    <row r="63" spans="1:17" x14ac:dyDescent="0.25">
      <c r="A63" s="1" t="s">
        <v>85</v>
      </c>
      <c r="B63" s="1" t="s">
        <v>98</v>
      </c>
      <c r="C63" s="1" t="s">
        <v>35</v>
      </c>
      <c r="D63" s="1" t="str">
        <f>VLOOKUP(Clients_chun_clean[[#This Row],[Province_Client]],Master_Logs_reseau_registre!B63:F1134,2,0)</f>
        <v>ANT-0760</v>
      </c>
      <c r="E63" s="1" t="s">
        <v>1506</v>
      </c>
      <c r="F63" s="1" t="s">
        <v>1504</v>
      </c>
      <c r="G63" s="1" t="s">
        <v>808</v>
      </c>
      <c r="H63">
        <v>103</v>
      </c>
      <c r="I63">
        <v>8</v>
      </c>
      <c r="J63" s="1" t="s">
        <v>1704</v>
      </c>
      <c r="K63" s="1" t="s">
        <v>19</v>
      </c>
      <c r="L63">
        <v>300</v>
      </c>
      <c r="M63" s="4">
        <v>0.20833333333333334</v>
      </c>
      <c r="N63" s="10">
        <v>13.76</v>
      </c>
      <c r="O63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63" s="10">
        <f>Clients_chun_clean[[#This Row],[Facture_Mensuelle]]*Clients_chun_clean[[#This Row],[Remise]]</f>
        <v>6.1920000000000002</v>
      </c>
      <c r="Q63">
        <v>4</v>
      </c>
    </row>
    <row r="64" spans="1:17" x14ac:dyDescent="0.25">
      <c r="A64" s="1" t="s">
        <v>85</v>
      </c>
      <c r="B64" s="1" t="s">
        <v>99</v>
      </c>
      <c r="C64" s="1" t="s">
        <v>35</v>
      </c>
      <c r="D64" s="1" t="str">
        <f>VLOOKUP(Clients_chun_clean[[#This Row],[Province_Client]],Master_Logs_reseau_registre!B64:F1135,2,0)</f>
        <v>ANT-0760</v>
      </c>
      <c r="E64" s="1" t="s">
        <v>1506</v>
      </c>
      <c r="F64" s="1" t="s">
        <v>1504</v>
      </c>
      <c r="G64" s="1" t="s">
        <v>808</v>
      </c>
      <c r="H64">
        <v>80</v>
      </c>
      <c r="I64">
        <v>6</v>
      </c>
      <c r="J64" s="1" t="s">
        <v>1704</v>
      </c>
      <c r="K64" s="1" t="s">
        <v>11</v>
      </c>
      <c r="L64">
        <v>121</v>
      </c>
      <c r="M64" s="4">
        <v>8.4027777777777785E-2</v>
      </c>
      <c r="N64" s="10">
        <v>83.14</v>
      </c>
      <c r="O64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64" s="10">
        <f>Clients_chun_clean[[#This Row],[Facture_Mensuelle]]*Clients_chun_clean[[#This Row],[Remise]]</f>
        <v>0</v>
      </c>
      <c r="Q64">
        <v>5</v>
      </c>
    </row>
    <row r="65" spans="1:17" x14ac:dyDescent="0.25">
      <c r="A65" s="1" t="s">
        <v>85</v>
      </c>
      <c r="B65" s="1" t="s">
        <v>100</v>
      </c>
      <c r="C65" s="1" t="s">
        <v>26</v>
      </c>
      <c r="D65" s="1" t="str">
        <f>VLOOKUP(Clients_chun_clean[[#This Row],[Province_Client]],Master_Logs_reseau_registre!B65:F1136,2,0)</f>
        <v>ANT-0566</v>
      </c>
      <c r="E65" s="1" t="s">
        <v>1508</v>
      </c>
      <c r="F65" s="1" t="s">
        <v>1516</v>
      </c>
      <c r="G65" s="1" t="s">
        <v>811</v>
      </c>
      <c r="H65">
        <v>86</v>
      </c>
      <c r="I65">
        <v>7</v>
      </c>
      <c r="J65" s="1" t="s">
        <v>1705</v>
      </c>
      <c r="K65" s="1" t="s">
        <v>14</v>
      </c>
      <c r="L65">
        <v>252</v>
      </c>
      <c r="M65" s="4">
        <v>0.17499999999999999</v>
      </c>
      <c r="N65" s="10">
        <v>96.5</v>
      </c>
      <c r="O65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65" s="10">
        <f>Clients_chun_clean[[#This Row],[Facture_Mensuelle]]*Clients_chun_clean[[#This Row],[Remise]]</f>
        <v>43.425000000000004</v>
      </c>
      <c r="Q65">
        <v>5</v>
      </c>
    </row>
    <row r="66" spans="1:17" x14ac:dyDescent="0.25">
      <c r="A66" s="1" t="s">
        <v>85</v>
      </c>
      <c r="B66" s="1" t="s">
        <v>101</v>
      </c>
      <c r="C66" s="1" t="s">
        <v>64</v>
      </c>
      <c r="D66" s="1" t="str">
        <f>VLOOKUP(Clients_chun_clean[[#This Row],[Province_Client]],Master_Logs_reseau_registre!B66:F1137,2,0)</f>
        <v>ANT-0913</v>
      </c>
      <c r="E66" s="1" t="s">
        <v>1503</v>
      </c>
      <c r="F66" s="1" t="s">
        <v>1504</v>
      </c>
      <c r="G66" s="1" t="s">
        <v>808</v>
      </c>
      <c r="H66">
        <v>80</v>
      </c>
      <c r="I66">
        <v>6</v>
      </c>
      <c r="J66" s="1" t="s">
        <v>1704</v>
      </c>
      <c r="K66" s="1" t="s">
        <v>19</v>
      </c>
      <c r="L66">
        <v>260</v>
      </c>
      <c r="M66" s="4">
        <v>0.18055555555555555</v>
      </c>
      <c r="N66" s="10">
        <v>65.87</v>
      </c>
      <c r="O66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66" s="10">
        <f>Clients_chun_clean[[#This Row],[Facture_Mensuelle]]*Clients_chun_clean[[#This Row],[Remise]]</f>
        <v>29.641500000000004</v>
      </c>
      <c r="Q66">
        <v>3</v>
      </c>
    </row>
    <row r="67" spans="1:17" x14ac:dyDescent="0.25">
      <c r="A67" s="1" t="s">
        <v>85</v>
      </c>
      <c r="B67" s="1" t="s">
        <v>102</v>
      </c>
      <c r="C67" s="1" t="s">
        <v>24</v>
      </c>
      <c r="D67" s="1" t="str">
        <f>VLOOKUP(Clients_chun_clean[[#This Row],[Province_Client]],Master_Logs_reseau_registre!B67:F1138,2,0)</f>
        <v>ANT-0790</v>
      </c>
      <c r="E67" s="1" t="s">
        <v>1503</v>
      </c>
      <c r="F67" s="1" t="s">
        <v>1504</v>
      </c>
      <c r="G67" s="1" t="s">
        <v>808</v>
      </c>
      <c r="H67">
        <v>53</v>
      </c>
      <c r="I67">
        <v>4</v>
      </c>
      <c r="J67" s="1" t="s">
        <v>1705</v>
      </c>
      <c r="K67" s="1" t="s">
        <v>14</v>
      </c>
      <c r="L67">
        <v>385</v>
      </c>
      <c r="M67" s="4">
        <v>0.2673611111111111</v>
      </c>
      <c r="N67" s="10">
        <v>68.78</v>
      </c>
      <c r="O67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67" s="10">
        <f>Clients_chun_clean[[#This Row],[Facture_Mensuelle]]*Clients_chun_clean[[#This Row],[Remise]]</f>
        <v>30.951000000000001</v>
      </c>
      <c r="Q67">
        <v>3</v>
      </c>
    </row>
    <row r="68" spans="1:17" x14ac:dyDescent="0.25">
      <c r="A68" s="1" t="s">
        <v>85</v>
      </c>
      <c r="B68" s="1" t="s">
        <v>103</v>
      </c>
      <c r="C68" s="1" t="s">
        <v>44</v>
      </c>
      <c r="D68" s="1" t="str">
        <f>VLOOKUP(Clients_chun_clean[[#This Row],[Province_Client]],Master_Logs_reseau_registre!B68:F1139,2,0)</f>
        <v>ANT-0011</v>
      </c>
      <c r="E68" s="1" t="s">
        <v>1506</v>
      </c>
      <c r="F68" s="1" t="s">
        <v>1507</v>
      </c>
      <c r="G68" s="1" t="s">
        <v>808</v>
      </c>
      <c r="H68">
        <v>50</v>
      </c>
      <c r="I68">
        <v>4</v>
      </c>
      <c r="J68" s="1" t="s">
        <v>1704</v>
      </c>
      <c r="K68" s="1" t="s">
        <v>19</v>
      </c>
      <c r="L68">
        <v>258</v>
      </c>
      <c r="M68" s="4">
        <v>0.17916666666666667</v>
      </c>
      <c r="N68" s="10">
        <v>25.06</v>
      </c>
      <c r="O68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68" s="10">
        <f>Clients_chun_clean[[#This Row],[Facture_Mensuelle]]*Clients_chun_clean[[#This Row],[Remise]]</f>
        <v>11.276999999999999</v>
      </c>
      <c r="Q68">
        <v>4</v>
      </c>
    </row>
    <row r="69" spans="1:17" x14ac:dyDescent="0.25">
      <c r="A69" s="1" t="s">
        <v>85</v>
      </c>
      <c r="B69" s="1" t="s">
        <v>104</v>
      </c>
      <c r="C69" s="1" t="s">
        <v>44</v>
      </c>
      <c r="D69" s="1" t="str">
        <f>VLOOKUP(Clients_chun_clean[[#This Row],[Province_Client]],Master_Logs_reseau_registre!B69:F1140,2,0)</f>
        <v>ANT-0011</v>
      </c>
      <c r="E69" s="1" t="s">
        <v>1506</v>
      </c>
      <c r="F69" s="1" t="s">
        <v>1507</v>
      </c>
      <c r="G69" s="1" t="s">
        <v>808</v>
      </c>
      <c r="H69">
        <v>30</v>
      </c>
      <c r="I69">
        <v>2</v>
      </c>
      <c r="J69" s="1" t="s">
        <v>1704</v>
      </c>
      <c r="K69" s="1" t="s">
        <v>11</v>
      </c>
      <c r="L69">
        <v>197</v>
      </c>
      <c r="M69" s="4">
        <v>0.13680555555555557</v>
      </c>
      <c r="N69" s="10">
        <v>15.42</v>
      </c>
      <c r="O69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69" s="10">
        <f>Clients_chun_clean[[#This Row],[Facture_Mensuelle]]*Clients_chun_clean[[#This Row],[Remise]]</f>
        <v>6.9390000000000001</v>
      </c>
      <c r="Q69">
        <v>0</v>
      </c>
    </row>
    <row r="70" spans="1:17" x14ac:dyDescent="0.25">
      <c r="A70" s="1" t="s">
        <v>85</v>
      </c>
      <c r="B70" s="1" t="s">
        <v>105</v>
      </c>
      <c r="C70" s="1" t="s">
        <v>24</v>
      </c>
      <c r="D70" s="1" t="str">
        <f>VLOOKUP(Clients_chun_clean[[#This Row],[Province_Client]],Master_Logs_reseau_registre!B70:F1141,2,0)</f>
        <v>ANT-0010</v>
      </c>
      <c r="E70" s="1" t="s">
        <v>1508</v>
      </c>
      <c r="F70" s="1" t="s">
        <v>1516</v>
      </c>
      <c r="G70" s="1" t="s">
        <v>811</v>
      </c>
      <c r="H70">
        <v>116</v>
      </c>
      <c r="I70">
        <v>9</v>
      </c>
      <c r="J70" s="1" t="s">
        <v>1705</v>
      </c>
      <c r="K70" s="1" t="s">
        <v>14</v>
      </c>
      <c r="L70">
        <v>486</v>
      </c>
      <c r="M70" s="4">
        <v>0.33750000000000002</v>
      </c>
      <c r="N70" s="10">
        <v>92.96</v>
      </c>
      <c r="O70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70" s="10">
        <f>Clients_chun_clean[[#This Row],[Facture_Mensuelle]]*Clients_chun_clean[[#This Row],[Remise]]</f>
        <v>41.832000000000001</v>
      </c>
      <c r="Q70">
        <v>5</v>
      </c>
    </row>
    <row r="71" spans="1:17" x14ac:dyDescent="0.25">
      <c r="A71" s="1" t="s">
        <v>85</v>
      </c>
      <c r="B71" s="1" t="s">
        <v>106</v>
      </c>
      <c r="C71" s="1" t="s">
        <v>89</v>
      </c>
      <c r="D71" s="1" t="str">
        <f>VLOOKUP(Clients_chun_clean[[#This Row],[Province_Client]],Master_Logs_reseau_registre!B71:F1142,2,0)</f>
        <v>ANT-0153</v>
      </c>
      <c r="E71" s="1" t="s">
        <v>1503</v>
      </c>
      <c r="F71" s="1" t="s">
        <v>1509</v>
      </c>
      <c r="G71" s="1" t="s">
        <v>811</v>
      </c>
      <c r="H71">
        <v>51</v>
      </c>
      <c r="I71">
        <v>4</v>
      </c>
      <c r="J71" s="1" t="s">
        <v>1704</v>
      </c>
      <c r="K71" s="1" t="s">
        <v>22</v>
      </c>
      <c r="L71">
        <v>58</v>
      </c>
      <c r="M71" s="4">
        <v>4.027777777777778E-2</v>
      </c>
      <c r="N71" s="10">
        <v>34.6</v>
      </c>
      <c r="O71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71" s="10">
        <f>Clients_chun_clean[[#This Row],[Facture_Mensuelle]]*Clients_chun_clean[[#This Row],[Remise]]</f>
        <v>0</v>
      </c>
      <c r="Q71">
        <v>5</v>
      </c>
    </row>
    <row r="72" spans="1:17" x14ac:dyDescent="0.25">
      <c r="A72" s="1" t="s">
        <v>85</v>
      </c>
      <c r="B72" s="1" t="s">
        <v>107</v>
      </c>
      <c r="C72" s="1" t="s">
        <v>10</v>
      </c>
      <c r="D72" s="1" t="str">
        <f>VLOOKUP(Clients_chun_clean[[#This Row],[Province_Client]],Master_Logs_reseau_registre!B72:F1143,2,0)</f>
        <v>ANT-0037</v>
      </c>
      <c r="E72" s="1" t="s">
        <v>1508</v>
      </c>
      <c r="F72" s="1" t="s">
        <v>1516</v>
      </c>
      <c r="G72" s="1" t="s">
        <v>811</v>
      </c>
      <c r="H72">
        <v>44</v>
      </c>
      <c r="I72">
        <v>3</v>
      </c>
      <c r="J72" s="1" t="s">
        <v>1705</v>
      </c>
      <c r="K72" s="1" t="s">
        <v>14</v>
      </c>
      <c r="L72">
        <v>137</v>
      </c>
      <c r="M72" s="4">
        <v>9.5138888888888884E-2</v>
      </c>
      <c r="N72" s="10">
        <v>32.58</v>
      </c>
      <c r="O72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72" s="10">
        <f>Clients_chun_clean[[#This Row],[Facture_Mensuelle]]*Clients_chun_clean[[#This Row],[Remise]]</f>
        <v>3.258</v>
      </c>
      <c r="Q72">
        <v>0</v>
      </c>
    </row>
    <row r="73" spans="1:17" x14ac:dyDescent="0.25">
      <c r="A73" s="1" t="s">
        <v>85</v>
      </c>
      <c r="B73" s="1" t="s">
        <v>108</v>
      </c>
      <c r="C73" s="1" t="s">
        <v>62</v>
      </c>
      <c r="D73" s="1" t="str">
        <f>VLOOKUP(Clients_chun_clean[[#This Row],[Province_Client]],Master_Logs_reseau_registre!B73:F1144,2,0)</f>
        <v>ANT-0737</v>
      </c>
      <c r="E73" s="1" t="s">
        <v>1503</v>
      </c>
      <c r="F73" s="1" t="s">
        <v>1504</v>
      </c>
      <c r="G73" s="1" t="s">
        <v>813</v>
      </c>
      <c r="H73">
        <v>70</v>
      </c>
      <c r="I73">
        <v>5</v>
      </c>
      <c r="J73" s="1" t="s">
        <v>1704</v>
      </c>
      <c r="K73" s="1" t="s">
        <v>19</v>
      </c>
      <c r="L73">
        <v>31</v>
      </c>
      <c r="M73" s="4">
        <v>2.1527777777777778E-2</v>
      </c>
      <c r="N73" s="10">
        <v>71.2</v>
      </c>
      <c r="O73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73" s="10">
        <f>Clients_chun_clean[[#This Row],[Facture_Mensuelle]]*Clients_chun_clean[[#This Row],[Remise]]</f>
        <v>0</v>
      </c>
      <c r="Q73">
        <v>4</v>
      </c>
    </row>
    <row r="74" spans="1:17" x14ac:dyDescent="0.25">
      <c r="A74" s="1" t="s">
        <v>85</v>
      </c>
      <c r="B74" s="1" t="s">
        <v>109</v>
      </c>
      <c r="C74" s="1" t="s">
        <v>35</v>
      </c>
      <c r="D74" s="1" t="str">
        <f>VLOOKUP(Clients_chun_clean[[#This Row],[Province_Client]],Master_Logs_reseau_registre!B74:F1145,2,0)</f>
        <v>ANT-0760</v>
      </c>
      <c r="E74" s="1" t="s">
        <v>1506</v>
      </c>
      <c r="F74" s="1" t="s">
        <v>1516</v>
      </c>
      <c r="G74" s="1" t="s">
        <v>811</v>
      </c>
      <c r="H74">
        <v>6</v>
      </c>
      <c r="I74">
        <v>0</v>
      </c>
      <c r="J74" s="1" t="s">
        <v>1704</v>
      </c>
      <c r="K74" s="1" t="s">
        <v>11</v>
      </c>
      <c r="L74">
        <v>162</v>
      </c>
      <c r="M74" s="4">
        <v>0.1125</v>
      </c>
      <c r="N74" s="10">
        <v>99.93</v>
      </c>
      <c r="O74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74" s="10">
        <f>Clients_chun_clean[[#This Row],[Facture_Mensuelle]]*Clients_chun_clean[[#This Row],[Remise]]</f>
        <v>44.968500000000006</v>
      </c>
      <c r="Q74">
        <v>0</v>
      </c>
    </row>
    <row r="75" spans="1:17" x14ac:dyDescent="0.25">
      <c r="A75" s="1" t="s">
        <v>85</v>
      </c>
      <c r="B75" s="1" t="s">
        <v>110</v>
      </c>
      <c r="C75" s="1" t="s">
        <v>35</v>
      </c>
      <c r="D75" s="1" t="str">
        <f>VLOOKUP(Clients_chun_clean[[#This Row],[Province_Client]],Master_Logs_reseau_registre!B75:F1146,2,0)</f>
        <v>ANT-0517</v>
      </c>
      <c r="E75" s="1" t="s">
        <v>1503</v>
      </c>
      <c r="F75" s="1" t="s">
        <v>1504</v>
      </c>
      <c r="G75" s="1" t="s">
        <v>808</v>
      </c>
      <c r="H75">
        <v>86</v>
      </c>
      <c r="I75">
        <v>7</v>
      </c>
      <c r="J75" s="1" t="s">
        <v>1705</v>
      </c>
      <c r="K75" s="1" t="s">
        <v>14</v>
      </c>
      <c r="L75">
        <v>237</v>
      </c>
      <c r="M75" s="4">
        <v>0.16458333333333333</v>
      </c>
      <c r="N75" s="10">
        <v>85.82</v>
      </c>
      <c r="O75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75" s="10">
        <f>Clients_chun_clean[[#This Row],[Facture_Mensuelle]]*Clients_chun_clean[[#This Row],[Remise]]</f>
        <v>8.581999999999999</v>
      </c>
      <c r="Q75">
        <v>5</v>
      </c>
    </row>
    <row r="76" spans="1:17" x14ac:dyDescent="0.25">
      <c r="A76" s="1" t="s">
        <v>85</v>
      </c>
      <c r="B76" s="1" t="s">
        <v>111</v>
      </c>
      <c r="C76" s="1" t="s">
        <v>33</v>
      </c>
      <c r="D76" s="1" t="str">
        <f>VLOOKUP(Clients_chun_clean[[#This Row],[Province_Client]],Master_Logs_reseau_registre!B76:F1147,2,0)</f>
        <v>ANT-0379</v>
      </c>
      <c r="E76" s="1" t="s">
        <v>1506</v>
      </c>
      <c r="F76" s="1" t="s">
        <v>1507</v>
      </c>
      <c r="G76" s="1" t="s">
        <v>813</v>
      </c>
      <c r="H76">
        <v>114</v>
      </c>
      <c r="I76">
        <v>9</v>
      </c>
      <c r="J76" s="1" t="s">
        <v>1704</v>
      </c>
      <c r="K76" s="1" t="s">
        <v>11</v>
      </c>
      <c r="L76">
        <v>283</v>
      </c>
      <c r="M76" s="4">
        <v>0.19652777777777777</v>
      </c>
      <c r="N76" s="10">
        <v>29.15</v>
      </c>
      <c r="O76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76" s="10">
        <f>Clients_chun_clean[[#This Row],[Facture_Mensuelle]]*Clients_chun_clean[[#This Row],[Remise]]</f>
        <v>13.1175</v>
      </c>
      <c r="Q76">
        <v>3</v>
      </c>
    </row>
    <row r="77" spans="1:17" x14ac:dyDescent="0.25">
      <c r="A77" s="1" t="s">
        <v>85</v>
      </c>
      <c r="B77" s="1" t="s">
        <v>112</v>
      </c>
      <c r="C77" s="1" t="s">
        <v>29</v>
      </c>
      <c r="D77" s="1" t="str">
        <f>VLOOKUP(Clients_chun_clean[[#This Row],[Province_Client]],Master_Logs_reseau_registre!B77:F1148,2,0)</f>
        <v>ANT-0332</v>
      </c>
      <c r="E77" s="1" t="s">
        <v>1506</v>
      </c>
      <c r="F77" s="1" t="s">
        <v>1507</v>
      </c>
      <c r="G77" s="1" t="s">
        <v>813</v>
      </c>
      <c r="H77">
        <v>57</v>
      </c>
      <c r="I77">
        <v>4</v>
      </c>
      <c r="J77" s="1" t="s">
        <v>1704</v>
      </c>
      <c r="K77" s="1" t="s">
        <v>19</v>
      </c>
      <c r="L77">
        <v>208</v>
      </c>
      <c r="M77" s="4">
        <v>0.14444444444444443</v>
      </c>
      <c r="N77" s="10">
        <v>85.66</v>
      </c>
      <c r="O77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77" s="10">
        <f>Clients_chun_clean[[#This Row],[Facture_Mensuelle]]*Clients_chun_clean[[#This Row],[Remise]]</f>
        <v>0</v>
      </c>
      <c r="Q77">
        <v>5</v>
      </c>
    </row>
    <row r="78" spans="1:17" x14ac:dyDescent="0.25">
      <c r="A78" s="1" t="s">
        <v>85</v>
      </c>
      <c r="B78" s="1" t="s">
        <v>113</v>
      </c>
      <c r="C78" s="1" t="s">
        <v>18</v>
      </c>
      <c r="D78" s="1" t="str">
        <f>VLOOKUP(Clients_chun_clean[[#This Row],[Province_Client]],Master_Logs_reseau_registre!B78:F1149,2,0)</f>
        <v>ANT-0371</v>
      </c>
      <c r="E78" s="1" t="s">
        <v>1506</v>
      </c>
      <c r="F78" s="1" t="s">
        <v>1507</v>
      </c>
      <c r="G78" s="1" t="s">
        <v>813</v>
      </c>
      <c r="H78">
        <v>95</v>
      </c>
      <c r="I78">
        <v>7</v>
      </c>
      <c r="J78" s="1" t="s">
        <v>1704</v>
      </c>
      <c r="K78" s="1" t="s">
        <v>19</v>
      </c>
      <c r="L78">
        <v>33</v>
      </c>
      <c r="M78" s="4">
        <v>2.2916666666666665E-2</v>
      </c>
      <c r="N78" s="10">
        <v>35.32</v>
      </c>
      <c r="O78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78" s="10">
        <f>Clients_chun_clean[[#This Row],[Facture_Mensuelle]]*Clients_chun_clean[[#This Row],[Remise]]</f>
        <v>0</v>
      </c>
      <c r="Q78">
        <v>0</v>
      </c>
    </row>
    <row r="79" spans="1:17" x14ac:dyDescent="0.25">
      <c r="A79" s="1" t="s">
        <v>85</v>
      </c>
      <c r="B79" s="1" t="s">
        <v>114</v>
      </c>
      <c r="C79" s="1" t="s">
        <v>26</v>
      </c>
      <c r="D79" s="1" t="str">
        <f>VLOOKUP(Clients_chun_clean[[#This Row],[Province_Client]],Master_Logs_reseau_registre!B79:F1150,2,0)</f>
        <v>ANT-0566</v>
      </c>
      <c r="E79" s="1" t="s">
        <v>1508</v>
      </c>
      <c r="F79" s="1" t="s">
        <v>1504</v>
      </c>
      <c r="G79" s="1" t="s">
        <v>808</v>
      </c>
      <c r="H79">
        <v>36</v>
      </c>
      <c r="I79">
        <v>3</v>
      </c>
      <c r="J79" s="1" t="s">
        <v>1704</v>
      </c>
      <c r="K79" s="1" t="s">
        <v>19</v>
      </c>
      <c r="L79">
        <v>247</v>
      </c>
      <c r="M79" s="4">
        <v>0.17152777777777778</v>
      </c>
      <c r="N79" s="10">
        <v>24.53</v>
      </c>
      <c r="O79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79" s="10">
        <f>Clients_chun_clean[[#This Row],[Facture_Mensuelle]]*Clients_chun_clean[[#This Row],[Remise]]</f>
        <v>11.038500000000001</v>
      </c>
      <c r="Q79">
        <v>2</v>
      </c>
    </row>
    <row r="80" spans="1:17" x14ac:dyDescent="0.25">
      <c r="A80" s="1" t="s">
        <v>85</v>
      </c>
      <c r="B80" s="1" t="s">
        <v>115</v>
      </c>
      <c r="C80" s="1" t="s">
        <v>64</v>
      </c>
      <c r="D80" s="1" t="str">
        <f>VLOOKUP(Clients_chun_clean[[#This Row],[Province_Client]],Master_Logs_reseau_registre!B80:F1151,2,0)</f>
        <v>ANT-0913</v>
      </c>
      <c r="E80" s="1" t="s">
        <v>1503</v>
      </c>
      <c r="F80" s="1" t="s">
        <v>1504</v>
      </c>
      <c r="G80" s="1" t="s">
        <v>808</v>
      </c>
      <c r="H80">
        <v>83</v>
      </c>
      <c r="I80">
        <v>6</v>
      </c>
      <c r="J80" s="1" t="s">
        <v>1704</v>
      </c>
      <c r="K80" s="1" t="s">
        <v>22</v>
      </c>
      <c r="L80">
        <v>14</v>
      </c>
      <c r="M80" s="4">
        <v>9.7222222222222224E-3</v>
      </c>
      <c r="N80" s="10">
        <v>58.07</v>
      </c>
      <c r="O80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80" s="10">
        <f>Clients_chun_clean[[#This Row],[Facture_Mensuelle]]*Clients_chun_clean[[#This Row],[Remise]]</f>
        <v>0</v>
      </c>
      <c r="Q80">
        <v>3</v>
      </c>
    </row>
    <row r="81" spans="1:17" x14ac:dyDescent="0.25">
      <c r="A81" s="1" t="s">
        <v>85</v>
      </c>
      <c r="B81" s="1" t="s">
        <v>116</v>
      </c>
      <c r="C81" s="1" t="s">
        <v>51</v>
      </c>
      <c r="D81" s="1" t="str">
        <f>VLOOKUP(Clients_chun_clean[[#This Row],[Province_Client]],Master_Logs_reseau_registre!B81:F1152,2,0)</f>
        <v>ANT-0770</v>
      </c>
      <c r="E81" s="1" t="s">
        <v>1506</v>
      </c>
      <c r="F81" s="1" t="s">
        <v>1507</v>
      </c>
      <c r="G81" s="1" t="s">
        <v>813</v>
      </c>
      <c r="H81">
        <v>12</v>
      </c>
      <c r="I81">
        <v>1</v>
      </c>
      <c r="J81" s="1" t="s">
        <v>1704</v>
      </c>
      <c r="K81" s="1" t="s">
        <v>11</v>
      </c>
      <c r="L81">
        <v>208</v>
      </c>
      <c r="M81" s="4">
        <v>0.14444444444444443</v>
      </c>
      <c r="N81" s="10">
        <v>16.29</v>
      </c>
      <c r="O81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81" s="10">
        <f>Clients_chun_clean[[#This Row],[Facture_Mensuelle]]*Clients_chun_clean[[#This Row],[Remise]]</f>
        <v>7.3304999999999998</v>
      </c>
      <c r="Q81">
        <v>4</v>
      </c>
    </row>
    <row r="82" spans="1:17" x14ac:dyDescent="0.25">
      <c r="A82" s="1" t="s">
        <v>85</v>
      </c>
      <c r="B82" s="1" t="s">
        <v>117</v>
      </c>
      <c r="C82" s="1" t="s">
        <v>60</v>
      </c>
      <c r="D82" s="1" t="str">
        <f>VLOOKUP(Clients_chun_clean[[#This Row],[Province_Client]],Master_Logs_reseau_registre!B82:F1153,2,0)</f>
        <v>ANT-0451</v>
      </c>
      <c r="E82" s="1" t="s">
        <v>1508</v>
      </c>
      <c r="F82" s="1" t="s">
        <v>1509</v>
      </c>
      <c r="G82" s="1" t="s">
        <v>808</v>
      </c>
      <c r="H82">
        <v>111</v>
      </c>
      <c r="I82">
        <v>9</v>
      </c>
      <c r="J82" s="1" t="s">
        <v>1704</v>
      </c>
      <c r="K82" s="1" t="s">
        <v>22</v>
      </c>
      <c r="L82">
        <v>324</v>
      </c>
      <c r="M82" s="4">
        <v>0.22500000000000001</v>
      </c>
      <c r="N82" s="10">
        <v>18.07</v>
      </c>
      <c r="O82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82" s="10">
        <f>Clients_chun_clean[[#This Row],[Facture_Mensuelle]]*Clients_chun_clean[[#This Row],[Remise]]</f>
        <v>8.1315000000000008</v>
      </c>
      <c r="Q82">
        <v>2</v>
      </c>
    </row>
    <row r="83" spans="1:17" x14ac:dyDescent="0.25">
      <c r="A83" s="1" t="s">
        <v>85</v>
      </c>
      <c r="B83" s="1" t="s">
        <v>118</v>
      </c>
      <c r="C83" s="1" t="s">
        <v>21</v>
      </c>
      <c r="D83" s="1" t="str">
        <f>VLOOKUP(Clients_chun_clean[[#This Row],[Province_Client]],Master_Logs_reseau_registre!B83:F1154,2,0)</f>
        <v>ANT-0441</v>
      </c>
      <c r="E83" s="1" t="s">
        <v>1508</v>
      </c>
      <c r="F83" s="1" t="s">
        <v>1509</v>
      </c>
      <c r="G83" s="1" t="s">
        <v>808</v>
      </c>
      <c r="H83">
        <v>22</v>
      </c>
      <c r="I83">
        <v>1</v>
      </c>
      <c r="J83" s="1" t="s">
        <v>1704</v>
      </c>
      <c r="K83" s="1" t="s">
        <v>22</v>
      </c>
      <c r="L83">
        <v>119</v>
      </c>
      <c r="M83" s="4">
        <v>8.2638888888888887E-2</v>
      </c>
      <c r="N83" s="10">
        <v>72.86</v>
      </c>
      <c r="O83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83" s="10">
        <f>Clients_chun_clean[[#This Row],[Facture_Mensuelle]]*Clients_chun_clean[[#This Row],[Remise]]</f>
        <v>0</v>
      </c>
      <c r="Q83">
        <v>3</v>
      </c>
    </row>
    <row r="84" spans="1:17" x14ac:dyDescent="0.25">
      <c r="A84" s="1" t="s">
        <v>85</v>
      </c>
      <c r="B84" s="1" t="s">
        <v>119</v>
      </c>
      <c r="C84" s="1" t="s">
        <v>40</v>
      </c>
      <c r="D84" s="1" t="str">
        <f>VLOOKUP(Clients_chun_clean[[#This Row],[Province_Client]],Master_Logs_reseau_registre!B84:F1155,2,0)</f>
        <v>ANT-0708</v>
      </c>
      <c r="E84" s="1" t="s">
        <v>1508</v>
      </c>
      <c r="F84" s="1" t="s">
        <v>1509</v>
      </c>
      <c r="G84" s="1" t="s">
        <v>808</v>
      </c>
      <c r="H84">
        <v>91</v>
      </c>
      <c r="I84">
        <v>7</v>
      </c>
      <c r="J84" s="1" t="s">
        <v>1704</v>
      </c>
      <c r="K84" s="1" t="s">
        <v>11</v>
      </c>
      <c r="L84">
        <v>467</v>
      </c>
      <c r="M84" s="4">
        <v>0.32430555555555557</v>
      </c>
      <c r="N84" s="10">
        <v>84.74</v>
      </c>
      <c r="O84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84" s="10">
        <f>Clients_chun_clean[[#This Row],[Facture_Mensuelle]]*Clients_chun_clean[[#This Row],[Remise]]</f>
        <v>38.132999999999996</v>
      </c>
      <c r="Q84">
        <v>1</v>
      </c>
    </row>
    <row r="85" spans="1:17" x14ac:dyDescent="0.25">
      <c r="A85" s="1" t="s">
        <v>85</v>
      </c>
      <c r="B85" s="1" t="s">
        <v>120</v>
      </c>
      <c r="C85" s="1" t="s">
        <v>62</v>
      </c>
      <c r="D85" s="1" t="str">
        <f>VLOOKUP(Clients_chun_clean[[#This Row],[Province_Client]],Master_Logs_reseau_registre!B85:F1156,2,0)</f>
        <v>ANT-0737</v>
      </c>
      <c r="E85" s="1" t="s">
        <v>1503</v>
      </c>
      <c r="F85" s="1" t="s">
        <v>1516</v>
      </c>
      <c r="G85" s="1" t="s">
        <v>813</v>
      </c>
      <c r="H85">
        <v>4</v>
      </c>
      <c r="I85">
        <v>0</v>
      </c>
      <c r="J85" s="1" t="s">
        <v>1704</v>
      </c>
      <c r="K85" s="1" t="s">
        <v>19</v>
      </c>
      <c r="L85">
        <v>453</v>
      </c>
      <c r="M85" s="4">
        <v>0.31458333333333333</v>
      </c>
      <c r="N85" s="10">
        <v>75.260000000000005</v>
      </c>
      <c r="O85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85" s="10">
        <f>Clients_chun_clean[[#This Row],[Facture_Mensuelle]]*Clients_chun_clean[[#This Row],[Remise]]</f>
        <v>33.867000000000004</v>
      </c>
      <c r="Q85">
        <v>5</v>
      </c>
    </row>
    <row r="86" spans="1:17" x14ac:dyDescent="0.25">
      <c r="A86" s="1" t="s">
        <v>85</v>
      </c>
      <c r="B86" s="1" t="s">
        <v>121</v>
      </c>
      <c r="C86" s="1" t="s">
        <v>10</v>
      </c>
      <c r="D86" s="1" t="str">
        <f>VLOOKUP(Clients_chun_clean[[#This Row],[Province_Client]],Master_Logs_reseau_registre!B86:F1157,2,0)</f>
        <v>ANT-0037</v>
      </c>
      <c r="E86" s="1" t="s">
        <v>1508</v>
      </c>
      <c r="F86" s="1" t="s">
        <v>1516</v>
      </c>
      <c r="G86" s="1" t="s">
        <v>813</v>
      </c>
      <c r="H86">
        <v>74</v>
      </c>
      <c r="I86">
        <v>6</v>
      </c>
      <c r="J86" s="1" t="s">
        <v>1704</v>
      </c>
      <c r="K86" s="1" t="s">
        <v>22</v>
      </c>
      <c r="L86">
        <v>9</v>
      </c>
      <c r="M86" s="4">
        <v>6.2500000000000003E-3</v>
      </c>
      <c r="N86" s="10">
        <v>99.89</v>
      </c>
      <c r="O86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86" s="10">
        <f>Clients_chun_clean[[#This Row],[Facture_Mensuelle]]*Clients_chun_clean[[#This Row],[Remise]]</f>
        <v>0</v>
      </c>
      <c r="Q86">
        <v>0</v>
      </c>
    </row>
    <row r="87" spans="1:17" x14ac:dyDescent="0.25">
      <c r="A87" s="1" t="s">
        <v>85</v>
      </c>
      <c r="B87" s="1" t="s">
        <v>122</v>
      </c>
      <c r="C87" s="1" t="s">
        <v>26</v>
      </c>
      <c r="D87" s="1" t="str">
        <f>VLOOKUP(Clients_chun_clean[[#This Row],[Province_Client]],Master_Logs_reseau_registre!B87:F1158,2,0)</f>
        <v>ANT-0566</v>
      </c>
      <c r="E87" s="1" t="s">
        <v>1508</v>
      </c>
      <c r="F87" s="1" t="s">
        <v>1516</v>
      </c>
      <c r="G87" s="1" t="s">
        <v>813</v>
      </c>
      <c r="H87">
        <v>81</v>
      </c>
      <c r="I87">
        <v>6</v>
      </c>
      <c r="J87" s="1" t="s">
        <v>1704</v>
      </c>
      <c r="K87" s="1" t="s">
        <v>11</v>
      </c>
      <c r="L87">
        <v>137</v>
      </c>
      <c r="M87" s="4">
        <v>9.5138888888888884E-2</v>
      </c>
      <c r="N87" s="10">
        <v>89.05</v>
      </c>
      <c r="O87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87" s="10">
        <f>Clients_chun_clean[[#This Row],[Facture_Mensuelle]]*Clients_chun_clean[[#This Row],[Remise]]</f>
        <v>0</v>
      </c>
      <c r="Q87">
        <v>0</v>
      </c>
    </row>
    <row r="88" spans="1:17" x14ac:dyDescent="0.25">
      <c r="A88" s="1" t="s">
        <v>85</v>
      </c>
      <c r="B88" s="1" t="s">
        <v>123</v>
      </c>
      <c r="C88" s="1" t="s">
        <v>89</v>
      </c>
      <c r="D88" s="1" t="str">
        <f>VLOOKUP(Clients_chun_clean[[#This Row],[Province_Client]],Master_Logs_reseau_registre!B88:F1159,2,0)</f>
        <v>ANT-0597</v>
      </c>
      <c r="E88" s="1" t="s">
        <v>1503</v>
      </c>
      <c r="F88" s="1" t="s">
        <v>1504</v>
      </c>
      <c r="G88" s="1" t="s">
        <v>808</v>
      </c>
      <c r="H88">
        <v>102</v>
      </c>
      <c r="I88">
        <v>8</v>
      </c>
      <c r="J88" s="1" t="s">
        <v>1705</v>
      </c>
      <c r="K88" s="1" t="s">
        <v>14</v>
      </c>
      <c r="L88">
        <v>283</v>
      </c>
      <c r="M88" s="4">
        <v>0.19652777777777777</v>
      </c>
      <c r="N88" s="10">
        <v>28.98</v>
      </c>
      <c r="O88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88" s="10">
        <f>Clients_chun_clean[[#This Row],[Facture_Mensuelle]]*Clients_chun_clean[[#This Row],[Remise]]</f>
        <v>13.041</v>
      </c>
      <c r="Q88">
        <v>3</v>
      </c>
    </row>
    <row r="89" spans="1:17" x14ac:dyDescent="0.25">
      <c r="A89" s="1" t="s">
        <v>85</v>
      </c>
      <c r="B89" s="1" t="s">
        <v>124</v>
      </c>
      <c r="C89" s="1" t="s">
        <v>35</v>
      </c>
      <c r="D89" s="1" t="str">
        <f>VLOOKUP(Clients_chun_clean[[#This Row],[Province_Client]],Master_Logs_reseau_registre!B89:F1160,2,0)</f>
        <v>ANT-0517</v>
      </c>
      <c r="E89" s="1" t="s">
        <v>1503</v>
      </c>
      <c r="F89" s="1" t="s">
        <v>1504</v>
      </c>
      <c r="G89" s="1" t="s">
        <v>808</v>
      </c>
      <c r="H89">
        <v>99</v>
      </c>
      <c r="I89">
        <v>8</v>
      </c>
      <c r="J89" s="1" t="s">
        <v>1704</v>
      </c>
      <c r="K89" s="1" t="s">
        <v>22</v>
      </c>
      <c r="L89">
        <v>493</v>
      </c>
      <c r="M89" s="4">
        <v>0.34236111111111112</v>
      </c>
      <c r="N89" s="10">
        <v>55.43</v>
      </c>
      <c r="O89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89" s="10">
        <f>Clients_chun_clean[[#This Row],[Facture_Mensuelle]]*Clients_chun_clean[[#This Row],[Remise]]</f>
        <v>24.9435</v>
      </c>
      <c r="Q89">
        <v>2</v>
      </c>
    </row>
    <row r="90" spans="1:17" x14ac:dyDescent="0.25">
      <c r="A90" s="1" t="s">
        <v>85</v>
      </c>
      <c r="B90" s="1" t="s">
        <v>125</v>
      </c>
      <c r="C90" s="1" t="s">
        <v>89</v>
      </c>
      <c r="D90" s="1" t="str">
        <f>VLOOKUP(Clients_chun_clean[[#This Row],[Province_Client]],Master_Logs_reseau_registre!B90:F1161,2,0)</f>
        <v>ANT-0597</v>
      </c>
      <c r="E90" s="1" t="s">
        <v>1503</v>
      </c>
      <c r="F90" s="1" t="s">
        <v>1504</v>
      </c>
      <c r="G90" s="1" t="s">
        <v>808</v>
      </c>
      <c r="H90">
        <v>91</v>
      </c>
      <c r="I90">
        <v>7</v>
      </c>
      <c r="J90" s="1" t="s">
        <v>1704</v>
      </c>
      <c r="K90" s="1" t="s">
        <v>19</v>
      </c>
      <c r="L90">
        <v>300</v>
      </c>
      <c r="M90" s="4">
        <v>0.20833333333333334</v>
      </c>
      <c r="N90" s="10">
        <v>82.19</v>
      </c>
      <c r="O90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90" s="10">
        <f>Clients_chun_clean[[#This Row],[Facture_Mensuelle]]*Clients_chun_clean[[#This Row],[Remise]]</f>
        <v>36.985500000000002</v>
      </c>
      <c r="Q90">
        <v>1</v>
      </c>
    </row>
    <row r="91" spans="1:17" x14ac:dyDescent="0.25">
      <c r="A91" s="1" t="s">
        <v>85</v>
      </c>
      <c r="B91" s="1" t="s">
        <v>126</v>
      </c>
      <c r="C91" s="1" t="s">
        <v>127</v>
      </c>
      <c r="D91" s="1" t="str">
        <f>VLOOKUP(Clients_chun_clean[[#This Row],[Province_Client]],Master_Logs_reseau_registre!B91:F1162,2,0)</f>
        <v>ANT-0797</v>
      </c>
      <c r="E91" s="1" t="s">
        <v>1506</v>
      </c>
      <c r="F91" s="1" t="s">
        <v>1504</v>
      </c>
      <c r="G91" s="1" t="s">
        <v>808</v>
      </c>
      <c r="H91">
        <v>40</v>
      </c>
      <c r="I91">
        <v>3</v>
      </c>
      <c r="J91" s="1" t="s">
        <v>1704</v>
      </c>
      <c r="K91" s="1" t="s">
        <v>11</v>
      </c>
      <c r="L91">
        <v>345</v>
      </c>
      <c r="M91" s="4">
        <v>0.23958333333333334</v>
      </c>
      <c r="N91" s="10">
        <v>89.55</v>
      </c>
      <c r="O91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91" s="10">
        <f>Clients_chun_clean[[#This Row],[Facture_Mensuelle]]*Clients_chun_clean[[#This Row],[Remise]]</f>
        <v>40.297499999999999</v>
      </c>
      <c r="Q91">
        <v>3</v>
      </c>
    </row>
    <row r="92" spans="1:17" x14ac:dyDescent="0.25">
      <c r="A92" s="1" t="s">
        <v>85</v>
      </c>
      <c r="B92" s="1" t="s">
        <v>128</v>
      </c>
      <c r="C92" s="1" t="s">
        <v>78</v>
      </c>
      <c r="D92" s="1" t="str">
        <f>VLOOKUP(Clients_chun_clean[[#This Row],[Province_Client]],Master_Logs_reseau_registre!B92:F1163,2,0)</f>
        <v>ANT-0302</v>
      </c>
      <c r="E92" s="1" t="s">
        <v>1506</v>
      </c>
      <c r="F92" s="1" t="s">
        <v>1507</v>
      </c>
      <c r="G92" s="1" t="s">
        <v>808</v>
      </c>
      <c r="H92">
        <v>72</v>
      </c>
      <c r="I92">
        <v>6</v>
      </c>
      <c r="J92" s="1" t="s">
        <v>1704</v>
      </c>
      <c r="K92" s="1" t="s">
        <v>22</v>
      </c>
      <c r="L92">
        <v>51</v>
      </c>
      <c r="M92" s="4">
        <v>3.5416666666666666E-2</v>
      </c>
      <c r="N92" s="10">
        <v>95.09</v>
      </c>
      <c r="O92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92" s="10">
        <f>Clients_chun_clean[[#This Row],[Facture_Mensuelle]]*Clients_chun_clean[[#This Row],[Remise]]</f>
        <v>0</v>
      </c>
      <c r="Q92">
        <v>0</v>
      </c>
    </row>
    <row r="93" spans="1:17" x14ac:dyDescent="0.25">
      <c r="A93" s="1" t="s">
        <v>85</v>
      </c>
      <c r="B93" s="1" t="s">
        <v>129</v>
      </c>
      <c r="C93" s="1" t="s">
        <v>24</v>
      </c>
      <c r="D93" s="1" t="str">
        <f>VLOOKUP(Clients_chun_clean[[#This Row],[Province_Client]],Master_Logs_reseau_registre!B93:F1164,2,0)</f>
        <v>ANT-0284</v>
      </c>
      <c r="E93" s="1" t="s">
        <v>1506</v>
      </c>
      <c r="F93" s="1" t="s">
        <v>1507</v>
      </c>
      <c r="G93" s="1" t="s">
        <v>808</v>
      </c>
      <c r="H93">
        <v>83</v>
      </c>
      <c r="I93">
        <v>6</v>
      </c>
      <c r="J93" s="1" t="s">
        <v>1704</v>
      </c>
      <c r="K93" s="1" t="s">
        <v>19</v>
      </c>
      <c r="L93">
        <v>126</v>
      </c>
      <c r="M93" s="4">
        <v>8.7499999999999994E-2</v>
      </c>
      <c r="N93" s="10">
        <v>67.17</v>
      </c>
      <c r="O93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93" s="10">
        <f>Clients_chun_clean[[#This Row],[Facture_Mensuelle]]*Clients_chun_clean[[#This Row],[Remise]]</f>
        <v>0</v>
      </c>
      <c r="Q93">
        <v>1</v>
      </c>
    </row>
    <row r="94" spans="1:17" x14ac:dyDescent="0.25">
      <c r="A94" s="1" t="s">
        <v>85</v>
      </c>
      <c r="B94" s="1" t="s">
        <v>130</v>
      </c>
      <c r="C94" s="1" t="s">
        <v>131</v>
      </c>
      <c r="D94" s="1" t="str">
        <f>VLOOKUP(Clients_chun_clean[[#This Row],[Province_Client]],Master_Logs_reseau_registre!B94:F1165,2,0)</f>
        <v>ANT-0454</v>
      </c>
      <c r="E94" s="1" t="s">
        <v>1508</v>
      </c>
      <c r="F94" s="1" t="s">
        <v>1516</v>
      </c>
      <c r="G94" s="1" t="s">
        <v>813</v>
      </c>
      <c r="H94">
        <v>16</v>
      </c>
      <c r="I94">
        <v>1</v>
      </c>
      <c r="J94" s="1" t="s">
        <v>1704</v>
      </c>
      <c r="K94" s="1" t="s">
        <v>19</v>
      </c>
      <c r="L94">
        <v>390</v>
      </c>
      <c r="M94" s="4">
        <v>0.27083333333333331</v>
      </c>
      <c r="N94" s="10">
        <v>98.17</v>
      </c>
      <c r="O94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94" s="10">
        <f>Clients_chun_clean[[#This Row],[Facture_Mensuelle]]*Clients_chun_clean[[#This Row],[Remise]]</f>
        <v>44.176500000000004</v>
      </c>
      <c r="Q94">
        <v>5</v>
      </c>
    </row>
    <row r="95" spans="1:17" x14ac:dyDescent="0.25">
      <c r="A95" s="1" t="s">
        <v>85</v>
      </c>
      <c r="B95" s="1" t="s">
        <v>132</v>
      </c>
      <c r="C95" s="1" t="s">
        <v>26</v>
      </c>
      <c r="D95" s="1" t="str">
        <f>VLOOKUP(Clients_chun_clean[[#This Row],[Province_Client]],Master_Logs_reseau_registre!B95:F1166,2,0)</f>
        <v>ANT-0339</v>
      </c>
      <c r="E95" s="1" t="s">
        <v>1503</v>
      </c>
      <c r="F95" s="1" t="s">
        <v>1516</v>
      </c>
      <c r="G95" s="1" t="s">
        <v>813</v>
      </c>
      <c r="H95">
        <v>83</v>
      </c>
      <c r="I95">
        <v>6</v>
      </c>
      <c r="J95" s="1" t="s">
        <v>1704</v>
      </c>
      <c r="K95" s="1" t="s">
        <v>11</v>
      </c>
      <c r="L95">
        <v>284</v>
      </c>
      <c r="M95" s="4">
        <v>0.19722222222222222</v>
      </c>
      <c r="N95" s="10">
        <v>73.7</v>
      </c>
      <c r="O95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95" s="10">
        <f>Clients_chun_clean[[#This Row],[Facture_Mensuelle]]*Clients_chun_clean[[#This Row],[Remise]]</f>
        <v>33.164999999999999</v>
      </c>
      <c r="Q95">
        <v>0</v>
      </c>
    </row>
    <row r="96" spans="1:17" x14ac:dyDescent="0.25">
      <c r="A96" s="1" t="s">
        <v>85</v>
      </c>
      <c r="B96" s="1" t="s">
        <v>133</v>
      </c>
      <c r="C96" s="1" t="s">
        <v>18</v>
      </c>
      <c r="D96" s="1" t="str">
        <f>VLOOKUP(Clients_chun_clean[[#This Row],[Province_Client]],Master_Logs_reseau_registre!B96:F1167,2,0)</f>
        <v>ANT-0371</v>
      </c>
      <c r="E96" s="1" t="s">
        <v>1506</v>
      </c>
      <c r="F96" s="1" t="s">
        <v>1507</v>
      </c>
      <c r="G96" s="1" t="s">
        <v>808</v>
      </c>
      <c r="H96">
        <v>72</v>
      </c>
      <c r="I96">
        <v>6</v>
      </c>
      <c r="J96" s="1" t="s">
        <v>1705</v>
      </c>
      <c r="K96" s="1" t="s">
        <v>14</v>
      </c>
      <c r="L96">
        <v>333</v>
      </c>
      <c r="M96" s="4">
        <v>0.23125000000000001</v>
      </c>
      <c r="N96" s="10">
        <v>34.57</v>
      </c>
      <c r="O96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96" s="10">
        <f>Clients_chun_clean[[#This Row],[Facture_Mensuelle]]*Clients_chun_clean[[#This Row],[Remise]]</f>
        <v>15.5565</v>
      </c>
      <c r="Q96">
        <v>2</v>
      </c>
    </row>
    <row r="97" spans="1:17" x14ac:dyDescent="0.25">
      <c r="A97" s="1" t="s">
        <v>85</v>
      </c>
      <c r="B97" s="1" t="s">
        <v>134</v>
      </c>
      <c r="C97" s="1" t="s">
        <v>31</v>
      </c>
      <c r="D97" s="1" t="str">
        <f>VLOOKUP(Clients_chun_clean[[#This Row],[Province_Client]],Master_Logs_reseau_registre!B97:F1168,2,0)</f>
        <v>ANT-0596</v>
      </c>
      <c r="E97" s="1" t="s">
        <v>1506</v>
      </c>
      <c r="F97" s="1" t="s">
        <v>1507</v>
      </c>
      <c r="G97" s="1" t="s">
        <v>808</v>
      </c>
      <c r="H97">
        <v>11</v>
      </c>
      <c r="I97">
        <v>0</v>
      </c>
      <c r="J97" s="1" t="s">
        <v>1704</v>
      </c>
      <c r="K97" s="1" t="s">
        <v>19</v>
      </c>
      <c r="L97">
        <v>402</v>
      </c>
      <c r="M97" s="4">
        <v>0.27916666666666667</v>
      </c>
      <c r="N97" s="10">
        <v>69.599999999999994</v>
      </c>
      <c r="O97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97" s="10">
        <f>Clients_chun_clean[[#This Row],[Facture_Mensuelle]]*Clients_chun_clean[[#This Row],[Remise]]</f>
        <v>31.319999999999997</v>
      </c>
      <c r="Q97">
        <v>5</v>
      </c>
    </row>
    <row r="98" spans="1:17" x14ac:dyDescent="0.25">
      <c r="A98" s="1" t="s">
        <v>85</v>
      </c>
      <c r="B98" s="1" t="s">
        <v>135</v>
      </c>
      <c r="C98" s="1" t="s">
        <v>44</v>
      </c>
      <c r="D98" s="1" t="str">
        <f>VLOOKUP(Clients_chun_clean[[#This Row],[Province_Client]],Master_Logs_reseau_registre!B98:F1169,2,0)</f>
        <v>ANT-0011</v>
      </c>
      <c r="E98" s="1" t="s">
        <v>1506</v>
      </c>
      <c r="F98" s="1" t="s">
        <v>1507</v>
      </c>
      <c r="G98" s="1" t="s">
        <v>808</v>
      </c>
      <c r="H98">
        <v>25</v>
      </c>
      <c r="I98">
        <v>2</v>
      </c>
      <c r="J98" s="1" t="s">
        <v>1704</v>
      </c>
      <c r="K98" s="1" t="s">
        <v>11</v>
      </c>
      <c r="L98">
        <v>64</v>
      </c>
      <c r="M98" s="4">
        <v>4.4444444444444446E-2</v>
      </c>
      <c r="N98" s="10">
        <v>38.950000000000003</v>
      </c>
      <c r="O98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98" s="10">
        <f>Clients_chun_clean[[#This Row],[Facture_Mensuelle]]*Clients_chun_clean[[#This Row],[Remise]]</f>
        <v>17.527500000000003</v>
      </c>
      <c r="Q98">
        <v>5</v>
      </c>
    </row>
    <row r="99" spans="1:17" x14ac:dyDescent="0.25">
      <c r="A99" s="1" t="s">
        <v>85</v>
      </c>
      <c r="B99" s="1" t="s">
        <v>136</v>
      </c>
      <c r="C99" s="1" t="s">
        <v>137</v>
      </c>
      <c r="D99" s="1" t="str">
        <f>VLOOKUP(Clients_chun_clean[[#This Row],[Province_Client]],Master_Logs_reseau_registre!B99:F1170,2,0)</f>
        <v>ANT-0573</v>
      </c>
      <c r="E99" s="1" t="s">
        <v>1506</v>
      </c>
      <c r="F99" s="1" t="s">
        <v>1507</v>
      </c>
      <c r="G99" s="1" t="s">
        <v>808</v>
      </c>
      <c r="H99">
        <v>80</v>
      </c>
      <c r="I99">
        <v>6</v>
      </c>
      <c r="J99" s="1" t="s">
        <v>1704</v>
      </c>
      <c r="K99" s="1" t="s">
        <v>22</v>
      </c>
      <c r="L99">
        <v>155</v>
      </c>
      <c r="M99" s="4">
        <v>0.1076388888888889</v>
      </c>
      <c r="N99" s="10">
        <v>28.96</v>
      </c>
      <c r="O99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99" s="10">
        <f>Clients_chun_clean[[#This Row],[Facture_Mensuelle]]*Clients_chun_clean[[#This Row],[Remise]]</f>
        <v>0</v>
      </c>
      <c r="Q99">
        <v>2</v>
      </c>
    </row>
    <row r="100" spans="1:17" x14ac:dyDescent="0.25">
      <c r="A100" s="1" t="s">
        <v>85</v>
      </c>
      <c r="B100" s="1" t="s">
        <v>138</v>
      </c>
      <c r="C100" s="1" t="s">
        <v>44</v>
      </c>
      <c r="D100" s="1" t="str">
        <f>VLOOKUP(Clients_chun_clean[[#This Row],[Province_Client]],Master_Logs_reseau_registre!B100:F1171,2,0)</f>
        <v>ANT-0011</v>
      </c>
      <c r="E100" s="1" t="s">
        <v>1506</v>
      </c>
      <c r="F100" s="1" t="s">
        <v>1516</v>
      </c>
      <c r="G100" s="1" t="s">
        <v>808</v>
      </c>
      <c r="H100">
        <v>70</v>
      </c>
      <c r="I100">
        <v>5</v>
      </c>
      <c r="J100" s="1" t="s">
        <v>1705</v>
      </c>
      <c r="K100" s="1" t="s">
        <v>14</v>
      </c>
      <c r="L100">
        <v>290</v>
      </c>
      <c r="M100" s="4">
        <v>0.2013888888888889</v>
      </c>
      <c r="N100" s="10">
        <v>96.31</v>
      </c>
      <c r="O100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100" s="10">
        <f>Clients_chun_clean[[#This Row],[Facture_Mensuelle]]*Clients_chun_clean[[#This Row],[Remise]]</f>
        <v>43.339500000000001</v>
      </c>
      <c r="Q100">
        <v>1</v>
      </c>
    </row>
    <row r="101" spans="1:17" x14ac:dyDescent="0.25">
      <c r="A101" s="1" t="s">
        <v>85</v>
      </c>
      <c r="B101" s="1" t="s">
        <v>139</v>
      </c>
      <c r="C101" s="1" t="s">
        <v>73</v>
      </c>
      <c r="D101" s="1" t="str">
        <f>VLOOKUP(Clients_chun_clean[[#This Row],[Province_Client]],Master_Logs_reseau_registre!B101:F1172,2,0)</f>
        <v>ANT-0096</v>
      </c>
      <c r="E101" s="1" t="s">
        <v>1508</v>
      </c>
      <c r="F101" s="1" t="s">
        <v>1507</v>
      </c>
      <c r="G101" s="1" t="s">
        <v>808</v>
      </c>
      <c r="H101">
        <v>74</v>
      </c>
      <c r="I101">
        <v>6</v>
      </c>
      <c r="J101" s="1" t="s">
        <v>1704</v>
      </c>
      <c r="K101" s="1" t="s">
        <v>11</v>
      </c>
      <c r="L101">
        <v>208</v>
      </c>
      <c r="M101" s="4">
        <v>0.14444444444444443</v>
      </c>
      <c r="N101" s="10">
        <v>39.56</v>
      </c>
      <c r="O101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101" s="10">
        <f>Clients_chun_clean[[#This Row],[Facture_Mensuelle]]*Clients_chun_clean[[#This Row],[Remise]]</f>
        <v>0</v>
      </c>
      <c r="Q101">
        <v>0</v>
      </c>
    </row>
    <row r="102" spans="1:17" x14ac:dyDescent="0.25">
      <c r="A102" s="1" t="s">
        <v>140</v>
      </c>
      <c r="B102" s="1" t="s">
        <v>141</v>
      </c>
      <c r="C102" s="1" t="s">
        <v>24</v>
      </c>
      <c r="D102" s="1" t="str">
        <f>VLOOKUP(Clients_chun_clean[[#This Row],[Province_Client]],Master_Logs_reseau_registre!B102:F1173,2,0)</f>
        <v>ANT-0284</v>
      </c>
      <c r="E102" s="1" t="s">
        <v>1506</v>
      </c>
      <c r="F102" s="1" t="s">
        <v>1516</v>
      </c>
      <c r="G102" s="1" t="s">
        <v>808</v>
      </c>
      <c r="H102">
        <v>87</v>
      </c>
      <c r="I102">
        <v>7</v>
      </c>
      <c r="J102" s="1" t="s">
        <v>1705</v>
      </c>
      <c r="K102" s="1" t="s">
        <v>14</v>
      </c>
      <c r="L102">
        <v>442</v>
      </c>
      <c r="M102" s="4">
        <v>0.30694444444444446</v>
      </c>
      <c r="N102" s="10">
        <v>22.39</v>
      </c>
      <c r="O102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102" s="10">
        <f>Clients_chun_clean[[#This Row],[Facture_Mensuelle]]*Clients_chun_clean[[#This Row],[Remise]]</f>
        <v>10.0755</v>
      </c>
      <c r="Q102">
        <v>3</v>
      </c>
    </row>
    <row r="103" spans="1:17" x14ac:dyDescent="0.25">
      <c r="A103" s="1" t="s">
        <v>140</v>
      </c>
      <c r="B103" s="1" t="s">
        <v>142</v>
      </c>
      <c r="C103" s="1" t="s">
        <v>37</v>
      </c>
      <c r="D103" s="1" t="str">
        <f>VLOOKUP(Clients_chun_clean[[#This Row],[Province_Client]],Master_Logs_reseau_registre!B103:F1174,2,0)</f>
        <v>ANT-0534</v>
      </c>
      <c r="E103" s="1" t="s">
        <v>1503</v>
      </c>
      <c r="F103" s="1" t="s">
        <v>1509</v>
      </c>
      <c r="G103" s="1" t="s">
        <v>808</v>
      </c>
      <c r="H103">
        <v>69</v>
      </c>
      <c r="I103">
        <v>5</v>
      </c>
      <c r="J103" s="1" t="s">
        <v>1704</v>
      </c>
      <c r="K103" s="1" t="s">
        <v>19</v>
      </c>
      <c r="L103">
        <v>306</v>
      </c>
      <c r="M103" s="4">
        <v>0.21249999999999999</v>
      </c>
      <c r="N103" s="10">
        <v>13.97</v>
      </c>
      <c r="O103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103" s="10">
        <f>Clients_chun_clean[[#This Row],[Facture_Mensuelle]]*Clients_chun_clean[[#This Row],[Remise]]</f>
        <v>6.2865000000000002</v>
      </c>
      <c r="Q103">
        <v>1</v>
      </c>
    </row>
    <row r="104" spans="1:17" x14ac:dyDescent="0.25">
      <c r="A104" s="1" t="s">
        <v>140</v>
      </c>
      <c r="B104" s="1" t="s">
        <v>143</v>
      </c>
      <c r="C104" s="1" t="s">
        <v>57</v>
      </c>
      <c r="D104" s="1" t="str">
        <f>VLOOKUP(Clients_chun_clean[[#This Row],[Province_Client]],Master_Logs_reseau_registre!B104:F1175,2,0)</f>
        <v>ANT-0731</v>
      </c>
      <c r="E104" s="1" t="s">
        <v>1503</v>
      </c>
      <c r="F104" s="1" t="s">
        <v>1509</v>
      </c>
      <c r="G104" s="1" t="s">
        <v>808</v>
      </c>
      <c r="H104">
        <v>79</v>
      </c>
      <c r="I104">
        <v>6</v>
      </c>
      <c r="J104" s="1" t="s">
        <v>1704</v>
      </c>
      <c r="K104" s="1" t="s">
        <v>22</v>
      </c>
      <c r="L104">
        <v>403</v>
      </c>
      <c r="M104" s="4">
        <v>0.27986111111111112</v>
      </c>
      <c r="N104" s="10">
        <v>21.49</v>
      </c>
      <c r="O104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104" s="10">
        <f>Clients_chun_clean[[#This Row],[Facture_Mensuelle]]*Clients_chun_clean[[#This Row],[Remise]]</f>
        <v>9.6704999999999988</v>
      </c>
      <c r="Q104">
        <v>0</v>
      </c>
    </row>
    <row r="105" spans="1:17" x14ac:dyDescent="0.25">
      <c r="A105" s="1" t="s">
        <v>140</v>
      </c>
      <c r="B105" s="1" t="s">
        <v>144</v>
      </c>
      <c r="C105" s="1" t="s">
        <v>57</v>
      </c>
      <c r="D105" s="1" t="str">
        <f>VLOOKUP(Clients_chun_clean[[#This Row],[Province_Client]],Master_Logs_reseau_registre!B105:F1176,2,0)</f>
        <v>ANT-0731</v>
      </c>
      <c r="E105" s="1" t="s">
        <v>1503</v>
      </c>
      <c r="F105" s="1" t="s">
        <v>1504</v>
      </c>
      <c r="G105" s="1" t="s">
        <v>813</v>
      </c>
      <c r="H105">
        <v>33</v>
      </c>
      <c r="I105">
        <v>2</v>
      </c>
      <c r="J105" s="1" t="s">
        <v>1704</v>
      </c>
      <c r="K105" s="1" t="s">
        <v>22</v>
      </c>
      <c r="L105">
        <v>337</v>
      </c>
      <c r="M105" s="4">
        <v>0.23402777777777778</v>
      </c>
      <c r="N105" s="10">
        <v>62.61</v>
      </c>
      <c r="O105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105" s="10">
        <f>Clients_chun_clean[[#This Row],[Facture_Mensuelle]]*Clients_chun_clean[[#This Row],[Remise]]</f>
        <v>28.174500000000002</v>
      </c>
      <c r="Q105">
        <v>2</v>
      </c>
    </row>
    <row r="106" spans="1:17" x14ac:dyDescent="0.25">
      <c r="A106" s="1" t="s">
        <v>140</v>
      </c>
      <c r="B106" s="1" t="s">
        <v>145</v>
      </c>
      <c r="C106" s="1" t="s">
        <v>26</v>
      </c>
      <c r="D106" s="1" t="str">
        <f>VLOOKUP(Clients_chun_clean[[#This Row],[Province_Client]],Master_Logs_reseau_registre!B106:F1177,2,0)</f>
        <v>ANT-0339</v>
      </c>
      <c r="E106" s="1" t="s">
        <v>1503</v>
      </c>
      <c r="F106" s="1" t="s">
        <v>1504</v>
      </c>
      <c r="G106" s="1" t="s">
        <v>813</v>
      </c>
      <c r="H106">
        <v>88</v>
      </c>
      <c r="I106">
        <v>7</v>
      </c>
      <c r="J106" s="1" t="s">
        <v>1704</v>
      </c>
      <c r="K106" s="1" t="s">
        <v>22</v>
      </c>
      <c r="L106">
        <v>319</v>
      </c>
      <c r="M106" s="4">
        <v>0.22152777777777777</v>
      </c>
      <c r="N106" s="10">
        <v>56.18</v>
      </c>
      <c r="O106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106" s="10">
        <f>Clients_chun_clean[[#This Row],[Facture_Mensuelle]]*Clients_chun_clean[[#This Row],[Remise]]</f>
        <v>25.280999999999999</v>
      </c>
      <c r="Q106">
        <v>0</v>
      </c>
    </row>
    <row r="107" spans="1:17" x14ac:dyDescent="0.25">
      <c r="A107" s="1" t="s">
        <v>140</v>
      </c>
      <c r="B107" s="1" t="s">
        <v>146</v>
      </c>
      <c r="C107" s="1" t="s">
        <v>21</v>
      </c>
      <c r="D107" s="1" t="str">
        <f>VLOOKUP(Clients_chun_clean[[#This Row],[Province_Client]],Master_Logs_reseau_registre!B107:F1178,2,0)</f>
        <v>ANT-0883</v>
      </c>
      <c r="E107" s="1" t="s">
        <v>1508</v>
      </c>
      <c r="F107" s="1" t="s">
        <v>1516</v>
      </c>
      <c r="G107" s="1" t="s">
        <v>808</v>
      </c>
      <c r="H107">
        <v>72</v>
      </c>
      <c r="I107">
        <v>6</v>
      </c>
      <c r="J107" s="1" t="s">
        <v>1704</v>
      </c>
      <c r="K107" s="1" t="s">
        <v>11</v>
      </c>
      <c r="L107">
        <v>5</v>
      </c>
      <c r="M107" s="4">
        <v>3.472222222222222E-3</v>
      </c>
      <c r="N107" s="10">
        <v>68.650000000000006</v>
      </c>
      <c r="O107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107" s="10">
        <f>Clients_chun_clean[[#This Row],[Facture_Mensuelle]]*Clients_chun_clean[[#This Row],[Remise]]</f>
        <v>0</v>
      </c>
      <c r="Q107">
        <v>0</v>
      </c>
    </row>
    <row r="108" spans="1:17" x14ac:dyDescent="0.25">
      <c r="A108" s="1" t="s">
        <v>140</v>
      </c>
      <c r="B108" s="1" t="s">
        <v>147</v>
      </c>
      <c r="C108" s="1" t="s">
        <v>62</v>
      </c>
      <c r="D108" s="1" t="str">
        <f>VLOOKUP(Clients_chun_clean[[#This Row],[Province_Client]],Master_Logs_reseau_registre!B108:F1179,2,0)</f>
        <v>ANT-0737</v>
      </c>
      <c r="E108" s="1" t="s">
        <v>1503</v>
      </c>
      <c r="F108" s="1" t="s">
        <v>1504</v>
      </c>
      <c r="G108" s="1" t="s">
        <v>813</v>
      </c>
      <c r="H108">
        <v>114</v>
      </c>
      <c r="I108">
        <v>9</v>
      </c>
      <c r="J108" s="1" t="s">
        <v>1704</v>
      </c>
      <c r="K108" s="1" t="s">
        <v>11</v>
      </c>
      <c r="L108">
        <v>232</v>
      </c>
      <c r="M108" s="4">
        <v>0.16111111111111112</v>
      </c>
      <c r="N108" s="10">
        <v>42.2</v>
      </c>
      <c r="O108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108" s="10">
        <f>Clients_chun_clean[[#This Row],[Facture_Mensuelle]]*Clients_chun_clean[[#This Row],[Remise]]</f>
        <v>0</v>
      </c>
      <c r="Q108">
        <v>2</v>
      </c>
    </row>
    <row r="109" spans="1:17" x14ac:dyDescent="0.25">
      <c r="A109" s="1" t="s">
        <v>140</v>
      </c>
      <c r="B109" s="1" t="s">
        <v>148</v>
      </c>
      <c r="C109" s="1" t="s">
        <v>67</v>
      </c>
      <c r="D109" s="1" t="str">
        <f>VLOOKUP(Clients_chun_clean[[#This Row],[Province_Client]],Master_Logs_reseau_registre!B109:F1180,2,0)</f>
        <v>ANT-0914</v>
      </c>
      <c r="E109" s="1" t="s">
        <v>1503</v>
      </c>
      <c r="F109" s="1" t="s">
        <v>1509</v>
      </c>
      <c r="G109" s="1" t="s">
        <v>811</v>
      </c>
      <c r="H109">
        <v>59</v>
      </c>
      <c r="I109">
        <v>4</v>
      </c>
      <c r="J109" s="1" t="s">
        <v>1704</v>
      </c>
      <c r="K109" s="1" t="s">
        <v>19</v>
      </c>
      <c r="L109">
        <v>196</v>
      </c>
      <c r="M109" s="4">
        <v>0.1361111111111111</v>
      </c>
      <c r="N109" s="10">
        <v>62.53</v>
      </c>
      <c r="O109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109" s="10">
        <f>Clients_chun_clean[[#This Row],[Facture_Mensuelle]]*Clients_chun_clean[[#This Row],[Remise]]</f>
        <v>0</v>
      </c>
      <c r="Q109">
        <v>0</v>
      </c>
    </row>
    <row r="110" spans="1:17" x14ac:dyDescent="0.25">
      <c r="A110" s="1" t="s">
        <v>140</v>
      </c>
      <c r="B110" s="1" t="s">
        <v>149</v>
      </c>
      <c r="C110" s="1" t="s">
        <v>26</v>
      </c>
      <c r="D110" s="1" t="str">
        <f>VLOOKUP(Clients_chun_clean[[#This Row],[Province_Client]],Master_Logs_reseau_registre!B110:F1181,2,0)</f>
        <v>ANT-0339</v>
      </c>
      <c r="E110" s="1" t="s">
        <v>1503</v>
      </c>
      <c r="F110" s="1" t="s">
        <v>1516</v>
      </c>
      <c r="G110" s="1" t="s">
        <v>808</v>
      </c>
      <c r="H110">
        <v>1</v>
      </c>
      <c r="I110">
        <v>0</v>
      </c>
      <c r="J110" s="1" t="s">
        <v>1704</v>
      </c>
      <c r="K110" s="1" t="s">
        <v>19</v>
      </c>
      <c r="L110">
        <v>237</v>
      </c>
      <c r="M110" s="4">
        <v>0.16458333333333333</v>
      </c>
      <c r="N110" s="10">
        <v>58.7</v>
      </c>
      <c r="O110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110" s="10">
        <f>Clients_chun_clean[[#This Row],[Facture_Mensuelle]]*Clients_chun_clean[[#This Row],[Remise]]</f>
        <v>0</v>
      </c>
      <c r="Q110">
        <v>4</v>
      </c>
    </row>
    <row r="111" spans="1:17" x14ac:dyDescent="0.25">
      <c r="A111" s="1" t="s">
        <v>140</v>
      </c>
      <c r="B111" s="1" t="s">
        <v>150</v>
      </c>
      <c r="C111" s="1" t="s">
        <v>37</v>
      </c>
      <c r="D111" s="1" t="str">
        <f>VLOOKUP(Clients_chun_clean[[#This Row],[Province_Client]],Master_Logs_reseau_registre!B111:F1182,2,0)</f>
        <v>ANT-0534</v>
      </c>
      <c r="E111" s="1" t="s">
        <v>1503</v>
      </c>
      <c r="F111" s="1" t="s">
        <v>1509</v>
      </c>
      <c r="G111" s="1" t="s">
        <v>813</v>
      </c>
      <c r="H111">
        <v>55</v>
      </c>
      <c r="I111">
        <v>4</v>
      </c>
      <c r="J111" s="1" t="s">
        <v>1704</v>
      </c>
      <c r="K111" s="1" t="s">
        <v>19</v>
      </c>
      <c r="L111">
        <v>407</v>
      </c>
      <c r="M111" s="4">
        <v>0.28263888888888888</v>
      </c>
      <c r="N111" s="10">
        <v>23.11</v>
      </c>
      <c r="O111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111" s="10">
        <f>Clients_chun_clean[[#This Row],[Facture_Mensuelle]]*Clients_chun_clean[[#This Row],[Remise]]</f>
        <v>10.3995</v>
      </c>
      <c r="Q111">
        <v>0</v>
      </c>
    </row>
    <row r="112" spans="1:17" x14ac:dyDescent="0.25">
      <c r="A112" s="1" t="s">
        <v>140</v>
      </c>
      <c r="B112" s="1" t="s">
        <v>151</v>
      </c>
      <c r="C112" s="1" t="s">
        <v>37</v>
      </c>
      <c r="D112" s="1" t="str">
        <f>VLOOKUP(Clients_chun_clean[[#This Row],[Province_Client]],Master_Logs_reseau_registre!B112:F1183,2,0)</f>
        <v>ANT-0534</v>
      </c>
      <c r="E112" s="1" t="s">
        <v>1503</v>
      </c>
      <c r="F112" s="1" t="s">
        <v>1509</v>
      </c>
      <c r="G112" s="1" t="s">
        <v>813</v>
      </c>
      <c r="H112">
        <v>83</v>
      </c>
      <c r="I112">
        <v>6</v>
      </c>
      <c r="J112" s="1" t="s">
        <v>1705</v>
      </c>
      <c r="K112" s="1" t="s">
        <v>14</v>
      </c>
      <c r="L112">
        <v>219</v>
      </c>
      <c r="M112" s="4">
        <v>0.15208333333333332</v>
      </c>
      <c r="N112" s="10">
        <v>52.26</v>
      </c>
      <c r="O112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112" s="10">
        <f>Clients_chun_clean[[#This Row],[Facture_Mensuelle]]*Clients_chun_clean[[#This Row],[Remise]]</f>
        <v>5.226</v>
      </c>
      <c r="Q112">
        <v>1</v>
      </c>
    </row>
    <row r="113" spans="1:17" x14ac:dyDescent="0.25">
      <c r="A113" s="1" t="s">
        <v>140</v>
      </c>
      <c r="B113" s="1" t="s">
        <v>152</v>
      </c>
      <c r="C113" s="1" t="s">
        <v>31</v>
      </c>
      <c r="D113" s="1" t="str">
        <f>VLOOKUP(Clients_chun_clean[[#This Row],[Province_Client]],Master_Logs_reseau_registre!B113:F1184,2,0)</f>
        <v>ANT-0596</v>
      </c>
      <c r="E113" s="1" t="s">
        <v>1506</v>
      </c>
      <c r="F113" s="1" t="s">
        <v>1516</v>
      </c>
      <c r="G113" s="1" t="s">
        <v>808</v>
      </c>
      <c r="H113">
        <v>87</v>
      </c>
      <c r="I113">
        <v>7</v>
      </c>
      <c r="J113" s="1" t="s">
        <v>1705</v>
      </c>
      <c r="K113" s="1" t="s">
        <v>14</v>
      </c>
      <c r="L113">
        <v>450</v>
      </c>
      <c r="M113" s="4">
        <v>0.3125</v>
      </c>
      <c r="N113" s="10">
        <v>64.3</v>
      </c>
      <c r="O113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113" s="10">
        <f>Clients_chun_clean[[#This Row],[Facture_Mensuelle]]*Clients_chun_clean[[#This Row],[Remise]]</f>
        <v>28.934999999999999</v>
      </c>
      <c r="Q113">
        <v>2</v>
      </c>
    </row>
    <row r="114" spans="1:17" x14ac:dyDescent="0.25">
      <c r="A114" s="1" t="s">
        <v>140</v>
      </c>
      <c r="B114" s="1" t="s">
        <v>153</v>
      </c>
      <c r="C114" s="1" t="s">
        <v>33</v>
      </c>
      <c r="D114" s="1" t="str">
        <f>VLOOKUP(Clients_chun_clean[[#This Row],[Province_Client]],Master_Logs_reseau_registre!B114:F1185,2,0)</f>
        <v>ANT-0902</v>
      </c>
      <c r="E114" s="1" t="s">
        <v>1508</v>
      </c>
      <c r="F114" s="1" t="s">
        <v>1509</v>
      </c>
      <c r="G114" s="1" t="s">
        <v>813</v>
      </c>
      <c r="H114">
        <v>84</v>
      </c>
      <c r="I114">
        <v>7</v>
      </c>
      <c r="J114" s="1" t="s">
        <v>1704</v>
      </c>
      <c r="K114" s="1" t="s">
        <v>19</v>
      </c>
      <c r="L114">
        <v>317</v>
      </c>
      <c r="M114" s="4">
        <v>0.22013888888888888</v>
      </c>
      <c r="N114" s="10">
        <v>36.200000000000003</v>
      </c>
      <c r="O114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114" s="10">
        <f>Clients_chun_clean[[#This Row],[Facture_Mensuelle]]*Clients_chun_clean[[#This Row],[Remise]]</f>
        <v>16.290000000000003</v>
      </c>
      <c r="Q114">
        <v>3</v>
      </c>
    </row>
    <row r="115" spans="1:17" x14ac:dyDescent="0.25">
      <c r="A115" s="1" t="s">
        <v>140</v>
      </c>
      <c r="B115" s="1" t="s">
        <v>154</v>
      </c>
      <c r="C115" s="1" t="s">
        <v>64</v>
      </c>
      <c r="D115" s="1" t="str">
        <f>VLOOKUP(Clients_chun_clean[[#This Row],[Province_Client]],Master_Logs_reseau_registre!B115:F1186,2,0)</f>
        <v>ANT-0283</v>
      </c>
      <c r="E115" s="1" t="s">
        <v>1506</v>
      </c>
      <c r="F115" s="1" t="s">
        <v>1504</v>
      </c>
      <c r="G115" s="1" t="s">
        <v>813</v>
      </c>
      <c r="H115">
        <v>7</v>
      </c>
      <c r="I115">
        <v>0</v>
      </c>
      <c r="J115" s="1" t="s">
        <v>1704</v>
      </c>
      <c r="K115" s="1" t="s">
        <v>11</v>
      </c>
      <c r="L115">
        <v>317</v>
      </c>
      <c r="M115" s="4">
        <v>0.22013888888888888</v>
      </c>
      <c r="N115" s="10">
        <v>97.32</v>
      </c>
      <c r="O115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115" s="10">
        <f>Clients_chun_clean[[#This Row],[Facture_Mensuelle]]*Clients_chun_clean[[#This Row],[Remise]]</f>
        <v>43.793999999999997</v>
      </c>
      <c r="Q115">
        <v>1</v>
      </c>
    </row>
    <row r="116" spans="1:17" x14ac:dyDescent="0.25">
      <c r="A116" s="1" t="s">
        <v>140</v>
      </c>
      <c r="B116" s="1" t="s">
        <v>155</v>
      </c>
      <c r="C116" s="1" t="s">
        <v>33</v>
      </c>
      <c r="D116" s="1" t="str">
        <f>VLOOKUP(Clients_chun_clean[[#This Row],[Province_Client]],Master_Logs_reseau_registre!B116:F1187,2,0)</f>
        <v>ANT-0902</v>
      </c>
      <c r="E116" s="1" t="s">
        <v>1508</v>
      </c>
      <c r="F116" s="1" t="s">
        <v>1504</v>
      </c>
      <c r="G116" s="1" t="s">
        <v>813</v>
      </c>
      <c r="H116">
        <v>110</v>
      </c>
      <c r="I116">
        <v>9</v>
      </c>
      <c r="J116" s="1" t="s">
        <v>1704</v>
      </c>
      <c r="K116" s="1" t="s">
        <v>11</v>
      </c>
      <c r="L116">
        <v>51</v>
      </c>
      <c r="M116" s="4">
        <v>3.5416666666666666E-2</v>
      </c>
      <c r="N116" s="10">
        <v>56.59</v>
      </c>
      <c r="O116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116" s="10">
        <f>Clients_chun_clean[[#This Row],[Facture_Mensuelle]]*Clients_chun_clean[[#This Row],[Remise]]</f>
        <v>0</v>
      </c>
      <c r="Q116">
        <v>5</v>
      </c>
    </row>
    <row r="117" spans="1:17" x14ac:dyDescent="0.25">
      <c r="A117" s="1" t="s">
        <v>140</v>
      </c>
      <c r="B117" s="1" t="s">
        <v>156</v>
      </c>
      <c r="C117" s="1" t="s">
        <v>16</v>
      </c>
      <c r="D117" s="1" t="str">
        <f>VLOOKUP(Clients_chun_clean[[#This Row],[Province_Client]],Master_Logs_reseau_registre!B117:F1188,2,0)</f>
        <v>ANT-0829</v>
      </c>
      <c r="E117" s="1" t="s">
        <v>1503</v>
      </c>
      <c r="F117" s="1" t="s">
        <v>1509</v>
      </c>
      <c r="G117" s="1" t="s">
        <v>808</v>
      </c>
      <c r="H117">
        <v>42</v>
      </c>
      <c r="I117">
        <v>3</v>
      </c>
      <c r="J117" s="1" t="s">
        <v>1704</v>
      </c>
      <c r="K117" s="1" t="s">
        <v>22</v>
      </c>
      <c r="L117">
        <v>173</v>
      </c>
      <c r="M117" s="4">
        <v>0.12013888888888889</v>
      </c>
      <c r="N117" s="10">
        <v>69.19</v>
      </c>
      <c r="O117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117" s="10">
        <f>Clients_chun_clean[[#This Row],[Facture_Mensuelle]]*Clients_chun_clean[[#This Row],[Remise]]</f>
        <v>0</v>
      </c>
      <c r="Q117">
        <v>4</v>
      </c>
    </row>
    <row r="118" spans="1:17" x14ac:dyDescent="0.25">
      <c r="A118" s="1" t="s">
        <v>140</v>
      </c>
      <c r="B118" s="1" t="s">
        <v>157</v>
      </c>
      <c r="C118" s="1" t="s">
        <v>131</v>
      </c>
      <c r="D118" s="1" t="str">
        <f>VLOOKUP(Clients_chun_clean[[#This Row],[Province_Client]],Master_Logs_reseau_registre!B118:F1189,2,0)</f>
        <v>ANT-0653</v>
      </c>
      <c r="E118" s="1" t="s">
        <v>1503</v>
      </c>
      <c r="F118" s="1" t="s">
        <v>1509</v>
      </c>
      <c r="G118" s="1" t="s">
        <v>808</v>
      </c>
      <c r="H118">
        <v>56</v>
      </c>
      <c r="I118">
        <v>4</v>
      </c>
      <c r="J118" s="1" t="s">
        <v>1704</v>
      </c>
      <c r="K118" s="1" t="s">
        <v>19</v>
      </c>
      <c r="L118">
        <v>333</v>
      </c>
      <c r="M118" s="4">
        <v>0.23125000000000001</v>
      </c>
      <c r="N118" s="10">
        <v>23.01</v>
      </c>
      <c r="O118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118" s="10">
        <f>Clients_chun_clean[[#This Row],[Facture_Mensuelle]]*Clients_chun_clean[[#This Row],[Remise]]</f>
        <v>10.354500000000002</v>
      </c>
      <c r="Q118">
        <v>2</v>
      </c>
    </row>
    <row r="119" spans="1:17" x14ac:dyDescent="0.25">
      <c r="A119" s="1" t="s">
        <v>140</v>
      </c>
      <c r="B119" s="1" t="s">
        <v>158</v>
      </c>
      <c r="C119" s="1" t="s">
        <v>51</v>
      </c>
      <c r="D119" s="1" t="str">
        <f>VLOOKUP(Clients_chun_clean[[#This Row],[Province_Client]],Master_Logs_reseau_registre!B119:F1190,2,0)</f>
        <v>ANT-0770</v>
      </c>
      <c r="E119" s="1" t="s">
        <v>1506</v>
      </c>
      <c r="F119" s="1" t="s">
        <v>1504</v>
      </c>
      <c r="G119" s="1" t="s">
        <v>813</v>
      </c>
      <c r="H119">
        <v>109</v>
      </c>
      <c r="I119">
        <v>9</v>
      </c>
      <c r="J119" s="1" t="s">
        <v>1705</v>
      </c>
      <c r="K119" s="1" t="s">
        <v>14</v>
      </c>
      <c r="L119">
        <v>480</v>
      </c>
      <c r="M119" s="4">
        <v>0.33333333333333331</v>
      </c>
      <c r="N119" s="10">
        <v>31.36</v>
      </c>
      <c r="O119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119" s="10">
        <f>Clients_chun_clean[[#This Row],[Facture_Mensuelle]]*Clients_chun_clean[[#This Row],[Remise]]</f>
        <v>14.112</v>
      </c>
      <c r="Q119">
        <v>0</v>
      </c>
    </row>
    <row r="120" spans="1:17" x14ac:dyDescent="0.25">
      <c r="A120" s="1" t="s">
        <v>140</v>
      </c>
      <c r="B120" s="1" t="s">
        <v>159</v>
      </c>
      <c r="C120" s="1" t="s">
        <v>67</v>
      </c>
      <c r="D120" s="1" t="str">
        <f>VLOOKUP(Clients_chun_clean[[#This Row],[Province_Client]],Master_Logs_reseau_registre!B120:F1191,2,0)</f>
        <v>ANT-0245</v>
      </c>
      <c r="E120" s="1" t="s">
        <v>1508</v>
      </c>
      <c r="F120" s="1" t="s">
        <v>1509</v>
      </c>
      <c r="G120" s="1" t="s">
        <v>808</v>
      </c>
      <c r="H120">
        <v>53</v>
      </c>
      <c r="I120">
        <v>4</v>
      </c>
      <c r="J120" s="1" t="s">
        <v>1704</v>
      </c>
      <c r="K120" s="1" t="s">
        <v>22</v>
      </c>
      <c r="L120">
        <v>345</v>
      </c>
      <c r="M120" s="4">
        <v>0.23958333333333334</v>
      </c>
      <c r="N120" s="10">
        <v>83.73</v>
      </c>
      <c r="O120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120" s="10">
        <f>Clients_chun_clean[[#This Row],[Facture_Mensuelle]]*Clients_chun_clean[[#This Row],[Remise]]</f>
        <v>37.6785</v>
      </c>
      <c r="Q120">
        <v>0</v>
      </c>
    </row>
    <row r="121" spans="1:17" x14ac:dyDescent="0.25">
      <c r="A121" s="1" t="s">
        <v>140</v>
      </c>
      <c r="B121" s="1" t="s">
        <v>160</v>
      </c>
      <c r="C121" s="1" t="s">
        <v>89</v>
      </c>
      <c r="D121" s="1" t="str">
        <f>VLOOKUP(Clients_chun_clean[[#This Row],[Province_Client]],Master_Logs_reseau_registre!B121:F1192,2,0)</f>
        <v>ANT-0719</v>
      </c>
      <c r="E121" s="1" t="s">
        <v>1503</v>
      </c>
      <c r="F121" s="1" t="s">
        <v>1509</v>
      </c>
      <c r="G121" s="1" t="s">
        <v>808</v>
      </c>
      <c r="H121">
        <v>36</v>
      </c>
      <c r="I121">
        <v>3</v>
      </c>
      <c r="J121" s="1" t="s">
        <v>1704</v>
      </c>
      <c r="K121" s="1" t="s">
        <v>11</v>
      </c>
      <c r="L121">
        <v>400</v>
      </c>
      <c r="M121" s="4">
        <v>0.27777777777777779</v>
      </c>
      <c r="N121" s="10">
        <v>60.35</v>
      </c>
      <c r="O121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121" s="10">
        <f>Clients_chun_clean[[#This Row],[Facture_Mensuelle]]*Clients_chun_clean[[#This Row],[Remise]]</f>
        <v>27.157500000000002</v>
      </c>
      <c r="Q121">
        <v>1</v>
      </c>
    </row>
    <row r="122" spans="1:17" x14ac:dyDescent="0.25">
      <c r="A122" s="1" t="s">
        <v>140</v>
      </c>
      <c r="B122" s="1" t="s">
        <v>161</v>
      </c>
      <c r="C122" s="1" t="s">
        <v>73</v>
      </c>
      <c r="D122" s="1" t="str">
        <f>VLOOKUP(Clients_chun_clean[[#This Row],[Province_Client]],Master_Logs_reseau_registre!B122:F1193,2,0)</f>
        <v>ANT-0096</v>
      </c>
      <c r="E122" s="1" t="s">
        <v>1508</v>
      </c>
      <c r="F122" s="1" t="s">
        <v>1509</v>
      </c>
      <c r="G122" s="1" t="s">
        <v>808</v>
      </c>
      <c r="H122">
        <v>16</v>
      </c>
      <c r="I122">
        <v>1</v>
      </c>
      <c r="J122" s="1" t="s">
        <v>1704</v>
      </c>
      <c r="K122" s="1" t="s">
        <v>19</v>
      </c>
      <c r="L122">
        <v>13</v>
      </c>
      <c r="M122" s="4">
        <v>9.0277777777777769E-3</v>
      </c>
      <c r="N122" s="10">
        <v>14.91</v>
      </c>
      <c r="O122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122" s="10">
        <f>Clients_chun_clean[[#This Row],[Facture_Mensuelle]]*Clients_chun_clean[[#This Row],[Remise]]</f>
        <v>0</v>
      </c>
      <c r="Q122">
        <v>1</v>
      </c>
    </row>
    <row r="123" spans="1:17" x14ac:dyDescent="0.25">
      <c r="A123" s="1" t="s">
        <v>140</v>
      </c>
      <c r="B123" s="1" t="s">
        <v>162</v>
      </c>
      <c r="C123" s="1" t="s">
        <v>26</v>
      </c>
      <c r="D123" s="1" t="str">
        <f>VLOOKUP(Clients_chun_clean[[#This Row],[Province_Client]],Master_Logs_reseau_registre!B123:F1194,2,0)</f>
        <v>ANT-0339</v>
      </c>
      <c r="E123" s="1" t="s">
        <v>1503</v>
      </c>
      <c r="F123" s="1" t="s">
        <v>1509</v>
      </c>
      <c r="G123" s="1" t="s">
        <v>808</v>
      </c>
      <c r="H123">
        <v>88</v>
      </c>
      <c r="I123">
        <v>7</v>
      </c>
      <c r="J123" s="1" t="s">
        <v>1704</v>
      </c>
      <c r="K123" s="1" t="s">
        <v>11</v>
      </c>
      <c r="L123">
        <v>232</v>
      </c>
      <c r="M123" s="4">
        <v>0.16111111111111112</v>
      </c>
      <c r="N123" s="10">
        <v>40.94</v>
      </c>
      <c r="O123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123" s="10">
        <f>Clients_chun_clean[[#This Row],[Facture_Mensuelle]]*Clients_chun_clean[[#This Row],[Remise]]</f>
        <v>0</v>
      </c>
      <c r="Q123">
        <v>2</v>
      </c>
    </row>
    <row r="124" spans="1:17" x14ac:dyDescent="0.25">
      <c r="A124" s="1" t="s">
        <v>140</v>
      </c>
      <c r="B124" s="1" t="s">
        <v>163</v>
      </c>
      <c r="C124" s="1" t="s">
        <v>29</v>
      </c>
      <c r="D124" s="1" t="str">
        <f>VLOOKUP(Clients_chun_clean[[#This Row],[Province_Client]],Master_Logs_reseau_registre!B124:F1195,2,0)</f>
        <v>ANT-0332</v>
      </c>
      <c r="E124" s="1" t="s">
        <v>1506</v>
      </c>
      <c r="F124" s="1" t="s">
        <v>1504</v>
      </c>
      <c r="G124" s="1" t="s">
        <v>811</v>
      </c>
      <c r="H124">
        <v>67</v>
      </c>
      <c r="I124">
        <v>5</v>
      </c>
      <c r="J124" s="1" t="s">
        <v>1704</v>
      </c>
      <c r="K124" s="1" t="s">
        <v>22</v>
      </c>
      <c r="L124">
        <v>264</v>
      </c>
      <c r="M124" s="4">
        <v>0.18333333333333332</v>
      </c>
      <c r="N124" s="10">
        <v>97.89</v>
      </c>
      <c r="O124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124" s="10">
        <f>Clients_chun_clean[[#This Row],[Facture_Mensuelle]]*Clients_chun_clean[[#This Row],[Remise]]</f>
        <v>44.0505</v>
      </c>
      <c r="Q124">
        <v>1</v>
      </c>
    </row>
    <row r="125" spans="1:17" x14ac:dyDescent="0.25">
      <c r="A125" s="1" t="s">
        <v>140</v>
      </c>
      <c r="B125" s="1" t="s">
        <v>164</v>
      </c>
      <c r="C125" s="1" t="s">
        <v>60</v>
      </c>
      <c r="D125" s="1" t="str">
        <f>VLOOKUP(Clients_chun_clean[[#This Row],[Province_Client]],Master_Logs_reseau_registre!B125:F1196,2,0)</f>
        <v>ANT-0451</v>
      </c>
      <c r="E125" s="1" t="s">
        <v>1508</v>
      </c>
      <c r="F125" s="1" t="s">
        <v>1509</v>
      </c>
      <c r="G125" s="1" t="s">
        <v>808</v>
      </c>
      <c r="H125">
        <v>60</v>
      </c>
      <c r="I125">
        <v>5</v>
      </c>
      <c r="J125" s="1" t="s">
        <v>1704</v>
      </c>
      <c r="K125" s="1" t="s">
        <v>19</v>
      </c>
      <c r="L125">
        <v>168</v>
      </c>
      <c r="M125" s="4">
        <v>0.11666666666666667</v>
      </c>
      <c r="N125" s="10">
        <v>67.650000000000006</v>
      </c>
      <c r="O125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125" s="10">
        <f>Clients_chun_clean[[#This Row],[Facture_Mensuelle]]*Clients_chun_clean[[#This Row],[Remise]]</f>
        <v>0</v>
      </c>
      <c r="Q125">
        <v>1</v>
      </c>
    </row>
    <row r="126" spans="1:17" x14ac:dyDescent="0.25">
      <c r="A126" s="1" t="s">
        <v>140</v>
      </c>
      <c r="B126" s="1" t="s">
        <v>165</v>
      </c>
      <c r="C126" s="1" t="s">
        <v>33</v>
      </c>
      <c r="D126" s="1" t="str">
        <f>VLOOKUP(Clients_chun_clean[[#This Row],[Province_Client]],Master_Logs_reseau_registre!B126:F1197,2,0)</f>
        <v>ANT-0902</v>
      </c>
      <c r="E126" s="1" t="s">
        <v>1508</v>
      </c>
      <c r="F126" s="1" t="s">
        <v>1509</v>
      </c>
      <c r="G126" s="1" t="s">
        <v>808</v>
      </c>
      <c r="H126">
        <v>64</v>
      </c>
      <c r="I126">
        <v>5</v>
      </c>
      <c r="J126" s="1" t="s">
        <v>1705</v>
      </c>
      <c r="K126" s="1" t="s">
        <v>14</v>
      </c>
      <c r="L126">
        <v>300</v>
      </c>
      <c r="M126" s="4">
        <v>0.20833333333333334</v>
      </c>
      <c r="N126" s="10">
        <v>28.11</v>
      </c>
      <c r="O126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126" s="10">
        <f>Clients_chun_clean[[#This Row],[Facture_Mensuelle]]*Clients_chun_clean[[#This Row],[Remise]]</f>
        <v>12.6495</v>
      </c>
      <c r="Q126">
        <v>2</v>
      </c>
    </row>
    <row r="127" spans="1:17" x14ac:dyDescent="0.25">
      <c r="A127" s="1" t="s">
        <v>140</v>
      </c>
      <c r="B127" s="1" t="s">
        <v>166</v>
      </c>
      <c r="C127" s="1" t="s">
        <v>13</v>
      </c>
      <c r="D127" s="1" t="str">
        <f>VLOOKUP(Clients_chun_clean[[#This Row],[Province_Client]],Master_Logs_reseau_registre!B127:F1198,2,0)</f>
        <v>ANT-0287</v>
      </c>
      <c r="E127" s="1" t="s">
        <v>1503</v>
      </c>
      <c r="F127" s="1" t="s">
        <v>1507</v>
      </c>
      <c r="G127" s="1" t="s">
        <v>813</v>
      </c>
      <c r="H127">
        <v>47</v>
      </c>
      <c r="I127">
        <v>3</v>
      </c>
      <c r="J127" s="1" t="s">
        <v>1704</v>
      </c>
      <c r="K127" s="1" t="s">
        <v>19</v>
      </c>
      <c r="L127">
        <v>98</v>
      </c>
      <c r="M127" s="4">
        <v>6.805555555555555E-2</v>
      </c>
      <c r="N127" s="10">
        <v>16.16</v>
      </c>
      <c r="O127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127" s="10">
        <f>Clients_chun_clean[[#This Row],[Facture_Mensuelle]]*Clients_chun_clean[[#This Row],[Remise]]</f>
        <v>0</v>
      </c>
      <c r="Q127">
        <v>5</v>
      </c>
    </row>
    <row r="128" spans="1:17" x14ac:dyDescent="0.25">
      <c r="A128" s="1" t="s">
        <v>140</v>
      </c>
      <c r="B128" s="1" t="s">
        <v>167</v>
      </c>
      <c r="C128" s="1" t="s">
        <v>18</v>
      </c>
      <c r="D128" s="1" t="str">
        <f>VLOOKUP(Clients_chun_clean[[#This Row],[Province_Client]],Master_Logs_reseau_registre!B128:F1199,2,0)</f>
        <v>ANT-0371</v>
      </c>
      <c r="E128" s="1" t="s">
        <v>1506</v>
      </c>
      <c r="F128" s="1" t="s">
        <v>1507</v>
      </c>
      <c r="G128" s="1" t="s">
        <v>813</v>
      </c>
      <c r="H128">
        <v>67</v>
      </c>
      <c r="I128">
        <v>5</v>
      </c>
      <c r="J128" s="1" t="s">
        <v>1705</v>
      </c>
      <c r="K128" s="1" t="s">
        <v>14</v>
      </c>
      <c r="L128">
        <v>55</v>
      </c>
      <c r="M128" s="4">
        <v>3.8194444444444448E-2</v>
      </c>
      <c r="N128" s="10">
        <v>27.04</v>
      </c>
      <c r="O128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128" s="10">
        <f>Clients_chun_clean[[#This Row],[Facture_Mensuelle]]*Clients_chun_clean[[#This Row],[Remise]]</f>
        <v>2.7040000000000002</v>
      </c>
      <c r="Q128">
        <v>1</v>
      </c>
    </row>
    <row r="129" spans="1:17" x14ac:dyDescent="0.25">
      <c r="A129" s="1" t="s">
        <v>140</v>
      </c>
      <c r="B129" s="1" t="s">
        <v>168</v>
      </c>
      <c r="C129" s="1" t="s">
        <v>89</v>
      </c>
      <c r="D129" s="1" t="str">
        <f>VLOOKUP(Clients_chun_clean[[#This Row],[Province_Client]],Master_Logs_reseau_registre!B129:F1200,2,0)</f>
        <v>ANT-0719</v>
      </c>
      <c r="E129" s="1" t="s">
        <v>1503</v>
      </c>
      <c r="F129" s="1" t="s">
        <v>1507</v>
      </c>
      <c r="G129" s="1" t="s">
        <v>813</v>
      </c>
      <c r="H129">
        <v>98</v>
      </c>
      <c r="I129">
        <v>8</v>
      </c>
      <c r="J129" s="1" t="s">
        <v>1704</v>
      </c>
      <c r="K129" s="1" t="s">
        <v>19</v>
      </c>
      <c r="L129">
        <v>52</v>
      </c>
      <c r="M129" s="4">
        <v>3.6111111111111108E-2</v>
      </c>
      <c r="N129" s="10">
        <v>52.82</v>
      </c>
      <c r="O129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129" s="10">
        <f>Clients_chun_clean[[#This Row],[Facture_Mensuelle]]*Clients_chun_clean[[#This Row],[Remise]]</f>
        <v>0</v>
      </c>
      <c r="Q129">
        <v>2</v>
      </c>
    </row>
    <row r="130" spans="1:17" x14ac:dyDescent="0.25">
      <c r="A130" s="1" t="s">
        <v>140</v>
      </c>
      <c r="B130" s="1" t="s">
        <v>169</v>
      </c>
      <c r="C130" s="1" t="s">
        <v>13</v>
      </c>
      <c r="D130" s="1" t="str">
        <f>VLOOKUP(Clients_chun_clean[[#This Row],[Province_Client]],Master_Logs_reseau_registre!B130:F1201,2,0)</f>
        <v>ANT-0287</v>
      </c>
      <c r="E130" s="1" t="s">
        <v>1503</v>
      </c>
      <c r="F130" s="1" t="s">
        <v>1507</v>
      </c>
      <c r="G130" s="1" t="s">
        <v>808</v>
      </c>
      <c r="H130">
        <v>6</v>
      </c>
      <c r="I130">
        <v>0</v>
      </c>
      <c r="J130" s="1" t="s">
        <v>1704</v>
      </c>
      <c r="K130" s="1" t="s">
        <v>19</v>
      </c>
      <c r="L130">
        <v>6</v>
      </c>
      <c r="M130" s="4">
        <v>4.1666666666666666E-3</v>
      </c>
      <c r="N130" s="10">
        <v>72.27</v>
      </c>
      <c r="O130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130" s="10">
        <f>Clients_chun_clean[[#This Row],[Facture_Mensuelle]]*Clients_chun_clean[[#This Row],[Remise]]</f>
        <v>0</v>
      </c>
      <c r="Q130">
        <v>4</v>
      </c>
    </row>
    <row r="131" spans="1:17" x14ac:dyDescent="0.25">
      <c r="A131" s="1" t="s">
        <v>140</v>
      </c>
      <c r="B131" s="1" t="s">
        <v>170</v>
      </c>
      <c r="C131" s="1" t="s">
        <v>13</v>
      </c>
      <c r="D131" s="1" t="str">
        <f>VLOOKUP(Clients_chun_clean[[#This Row],[Province_Client]],Master_Logs_reseau_registre!B131:F1202,2,0)</f>
        <v>ANT-0287</v>
      </c>
      <c r="E131" s="1" t="s">
        <v>1503</v>
      </c>
      <c r="F131" s="1" t="s">
        <v>1516</v>
      </c>
      <c r="G131" s="1" t="s">
        <v>811</v>
      </c>
      <c r="H131">
        <v>114</v>
      </c>
      <c r="I131">
        <v>9</v>
      </c>
      <c r="J131" s="1" t="s">
        <v>1704</v>
      </c>
      <c r="K131" s="1" t="s">
        <v>19</v>
      </c>
      <c r="L131">
        <v>304</v>
      </c>
      <c r="M131" s="4">
        <v>0.21111111111111111</v>
      </c>
      <c r="N131" s="10">
        <v>52.07</v>
      </c>
      <c r="O131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131" s="10">
        <f>Clients_chun_clean[[#This Row],[Facture_Mensuelle]]*Clients_chun_clean[[#This Row],[Remise]]</f>
        <v>23.4315</v>
      </c>
      <c r="Q131">
        <v>1</v>
      </c>
    </row>
    <row r="132" spans="1:17" x14ac:dyDescent="0.25">
      <c r="A132" s="1" t="s">
        <v>140</v>
      </c>
      <c r="B132" s="1" t="s">
        <v>171</v>
      </c>
      <c r="C132" s="1" t="s">
        <v>31</v>
      </c>
      <c r="D132" s="1" t="str">
        <f>VLOOKUP(Clients_chun_clean[[#This Row],[Province_Client]],Master_Logs_reseau_registre!B132:F1203,2,0)</f>
        <v>ANT-0596</v>
      </c>
      <c r="E132" s="1" t="s">
        <v>1506</v>
      </c>
      <c r="F132" s="1" t="s">
        <v>1507</v>
      </c>
      <c r="G132" s="1" t="s">
        <v>813</v>
      </c>
      <c r="H132">
        <v>93</v>
      </c>
      <c r="I132">
        <v>7</v>
      </c>
      <c r="J132" s="1" t="s">
        <v>1704</v>
      </c>
      <c r="K132" s="1" t="s">
        <v>19</v>
      </c>
      <c r="L132">
        <v>365</v>
      </c>
      <c r="M132" s="4">
        <v>0.25347222222222221</v>
      </c>
      <c r="N132" s="10">
        <v>72.319999999999993</v>
      </c>
      <c r="O132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132" s="10">
        <f>Clients_chun_clean[[#This Row],[Facture_Mensuelle]]*Clients_chun_clean[[#This Row],[Remise]]</f>
        <v>32.543999999999997</v>
      </c>
      <c r="Q132">
        <v>1</v>
      </c>
    </row>
    <row r="133" spans="1:17" x14ac:dyDescent="0.25">
      <c r="A133" s="1" t="s">
        <v>140</v>
      </c>
      <c r="B133" s="1" t="s">
        <v>172</v>
      </c>
      <c r="C133" s="1" t="s">
        <v>89</v>
      </c>
      <c r="D133" s="1" t="str">
        <f>VLOOKUP(Clients_chun_clean[[#This Row],[Province_Client]],Master_Logs_reseau_registre!B133:F1204,2,0)</f>
        <v>ANT-0719</v>
      </c>
      <c r="E133" s="1" t="s">
        <v>1503</v>
      </c>
      <c r="F133" s="1" t="s">
        <v>1516</v>
      </c>
      <c r="G133" s="1" t="s">
        <v>811</v>
      </c>
      <c r="H133">
        <v>29</v>
      </c>
      <c r="I133">
        <v>2</v>
      </c>
      <c r="J133" s="1" t="s">
        <v>1705</v>
      </c>
      <c r="K133" s="1" t="s">
        <v>14</v>
      </c>
      <c r="L133">
        <v>34</v>
      </c>
      <c r="M133" s="4">
        <v>2.361111111111111E-2</v>
      </c>
      <c r="N133" s="10">
        <v>86.68</v>
      </c>
      <c r="O133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133" s="10">
        <f>Clients_chun_clean[[#This Row],[Facture_Mensuelle]]*Clients_chun_clean[[#This Row],[Remise]]</f>
        <v>8.668000000000001</v>
      </c>
      <c r="Q133">
        <v>1</v>
      </c>
    </row>
    <row r="134" spans="1:17" x14ac:dyDescent="0.25">
      <c r="A134" s="1" t="s">
        <v>140</v>
      </c>
      <c r="B134" s="1" t="s">
        <v>173</v>
      </c>
      <c r="C134" s="1" t="s">
        <v>29</v>
      </c>
      <c r="D134" s="1" t="str">
        <f>VLOOKUP(Clients_chun_clean[[#This Row],[Province_Client]],Master_Logs_reseau_registre!B134:F1205,2,0)</f>
        <v>ANT-0332</v>
      </c>
      <c r="E134" s="1" t="s">
        <v>1506</v>
      </c>
      <c r="F134" s="1" t="s">
        <v>1507</v>
      </c>
      <c r="G134" s="1" t="s">
        <v>813</v>
      </c>
      <c r="H134">
        <v>7</v>
      </c>
      <c r="I134">
        <v>0</v>
      </c>
      <c r="J134" s="1" t="s">
        <v>1704</v>
      </c>
      <c r="K134" s="1" t="s">
        <v>11</v>
      </c>
      <c r="L134">
        <v>303</v>
      </c>
      <c r="M134" s="4">
        <v>0.21041666666666667</v>
      </c>
      <c r="N134" s="10">
        <v>60.95</v>
      </c>
      <c r="O134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134" s="10">
        <f>Clients_chun_clean[[#This Row],[Facture_Mensuelle]]*Clients_chun_clean[[#This Row],[Remise]]</f>
        <v>27.427500000000002</v>
      </c>
      <c r="Q134">
        <v>0</v>
      </c>
    </row>
    <row r="135" spans="1:17" x14ac:dyDescent="0.25">
      <c r="A135" s="1" t="s">
        <v>140</v>
      </c>
      <c r="B135" s="1" t="s">
        <v>174</v>
      </c>
      <c r="C135" s="1" t="s">
        <v>89</v>
      </c>
      <c r="D135" s="1" t="str">
        <f>VLOOKUP(Clients_chun_clean[[#This Row],[Province_Client]],Master_Logs_reseau_registre!B135:F1206,2,0)</f>
        <v>ANT-0719</v>
      </c>
      <c r="E135" s="1" t="s">
        <v>1503</v>
      </c>
      <c r="F135" s="1" t="s">
        <v>1516</v>
      </c>
      <c r="G135" s="1" t="s">
        <v>811</v>
      </c>
      <c r="H135">
        <v>118</v>
      </c>
      <c r="I135">
        <v>9</v>
      </c>
      <c r="J135" s="1" t="s">
        <v>1704</v>
      </c>
      <c r="K135" s="1" t="s">
        <v>22</v>
      </c>
      <c r="L135">
        <v>430</v>
      </c>
      <c r="M135" s="4">
        <v>0.2986111111111111</v>
      </c>
      <c r="N135" s="10">
        <v>36.97</v>
      </c>
      <c r="O135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135" s="10">
        <f>Clients_chun_clean[[#This Row],[Facture_Mensuelle]]*Clients_chun_clean[[#This Row],[Remise]]</f>
        <v>16.636500000000002</v>
      </c>
      <c r="Q135">
        <v>2</v>
      </c>
    </row>
    <row r="136" spans="1:17" x14ac:dyDescent="0.25">
      <c r="A136" s="1" t="s">
        <v>140</v>
      </c>
      <c r="B136" s="1" t="s">
        <v>175</v>
      </c>
      <c r="C136" s="1" t="s">
        <v>44</v>
      </c>
      <c r="D136" s="1" t="str">
        <f>VLOOKUP(Clients_chun_clean[[#This Row],[Province_Client]],Master_Logs_reseau_registre!B136:F1207,2,0)</f>
        <v>ANT-0011</v>
      </c>
      <c r="E136" s="1" t="s">
        <v>1506</v>
      </c>
      <c r="F136" s="1" t="s">
        <v>1507</v>
      </c>
      <c r="G136" s="1" t="s">
        <v>811</v>
      </c>
      <c r="H136">
        <v>54</v>
      </c>
      <c r="I136">
        <v>4</v>
      </c>
      <c r="J136" s="1" t="s">
        <v>1704</v>
      </c>
      <c r="K136" s="1" t="s">
        <v>19</v>
      </c>
      <c r="L136">
        <v>99</v>
      </c>
      <c r="M136" s="4">
        <v>6.8750000000000006E-2</v>
      </c>
      <c r="N136" s="10">
        <v>39.58</v>
      </c>
      <c r="O136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136" s="10">
        <f>Clients_chun_clean[[#This Row],[Facture_Mensuelle]]*Clients_chun_clean[[#This Row],[Remise]]</f>
        <v>0</v>
      </c>
      <c r="Q136">
        <v>0</v>
      </c>
    </row>
    <row r="137" spans="1:17" x14ac:dyDescent="0.25">
      <c r="A137" s="1" t="s">
        <v>140</v>
      </c>
      <c r="B137" s="1" t="s">
        <v>176</v>
      </c>
      <c r="C137" s="1" t="s">
        <v>18</v>
      </c>
      <c r="D137" s="1" t="str">
        <f>VLOOKUP(Clients_chun_clean[[#This Row],[Province_Client]],Master_Logs_reseau_registre!B137:F1208,2,0)</f>
        <v>ANT-0371</v>
      </c>
      <c r="E137" s="1" t="s">
        <v>1506</v>
      </c>
      <c r="F137" s="1" t="s">
        <v>1516</v>
      </c>
      <c r="G137" s="1" t="s">
        <v>811</v>
      </c>
      <c r="H137">
        <v>69</v>
      </c>
      <c r="I137">
        <v>5</v>
      </c>
      <c r="J137" s="1" t="s">
        <v>1705</v>
      </c>
      <c r="K137" s="1" t="s">
        <v>14</v>
      </c>
      <c r="L137">
        <v>463</v>
      </c>
      <c r="M137" s="4">
        <v>0.3215277777777778</v>
      </c>
      <c r="N137" s="10">
        <v>19.440000000000001</v>
      </c>
      <c r="O137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137" s="10">
        <f>Clients_chun_clean[[#This Row],[Facture_Mensuelle]]*Clients_chun_clean[[#This Row],[Remise]]</f>
        <v>8.7480000000000011</v>
      </c>
      <c r="Q137">
        <v>0</v>
      </c>
    </row>
    <row r="138" spans="1:17" x14ac:dyDescent="0.25">
      <c r="A138" s="1" t="s">
        <v>140</v>
      </c>
      <c r="B138" s="1" t="s">
        <v>177</v>
      </c>
      <c r="C138" s="1" t="s">
        <v>40</v>
      </c>
      <c r="D138" s="1" t="str">
        <f>VLOOKUP(Clients_chun_clean[[#This Row],[Province_Client]],Master_Logs_reseau_registre!B138:F1209,2,0)</f>
        <v>ANT-0708</v>
      </c>
      <c r="E138" s="1" t="s">
        <v>1508</v>
      </c>
      <c r="F138" s="1" t="s">
        <v>1504</v>
      </c>
      <c r="G138" s="1" t="s">
        <v>811</v>
      </c>
      <c r="H138">
        <v>58</v>
      </c>
      <c r="I138">
        <v>4</v>
      </c>
      <c r="J138" s="1" t="s">
        <v>1704</v>
      </c>
      <c r="K138" s="1" t="s">
        <v>19</v>
      </c>
      <c r="L138">
        <v>293</v>
      </c>
      <c r="M138" s="4">
        <v>0.20347222222222222</v>
      </c>
      <c r="N138" s="10">
        <v>88.85</v>
      </c>
      <c r="O138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138" s="10">
        <f>Clients_chun_clean[[#This Row],[Facture_Mensuelle]]*Clients_chun_clean[[#This Row],[Remise]]</f>
        <v>39.982500000000002</v>
      </c>
      <c r="Q138">
        <v>5</v>
      </c>
    </row>
    <row r="139" spans="1:17" x14ac:dyDescent="0.25">
      <c r="A139" s="1" t="s">
        <v>140</v>
      </c>
      <c r="B139" s="1" t="s">
        <v>178</v>
      </c>
      <c r="C139" s="1" t="s">
        <v>44</v>
      </c>
      <c r="D139" s="1" t="str">
        <f>VLOOKUP(Clients_chun_clean[[#This Row],[Province_Client]],Master_Logs_reseau_registre!B139:F1210,2,0)</f>
        <v>ANT-0011</v>
      </c>
      <c r="E139" s="1" t="s">
        <v>1506</v>
      </c>
      <c r="F139" s="1" t="s">
        <v>1516</v>
      </c>
      <c r="G139" s="1" t="s">
        <v>813</v>
      </c>
      <c r="H139">
        <v>41</v>
      </c>
      <c r="I139">
        <v>3</v>
      </c>
      <c r="J139" s="1" t="s">
        <v>1704</v>
      </c>
      <c r="K139" s="1" t="s">
        <v>11</v>
      </c>
      <c r="L139">
        <v>64</v>
      </c>
      <c r="M139" s="4">
        <v>4.4444444444444446E-2</v>
      </c>
      <c r="N139" s="10">
        <v>91.95</v>
      </c>
      <c r="O139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139" s="10">
        <f>Clients_chun_clean[[#This Row],[Facture_Mensuelle]]*Clients_chun_clean[[#This Row],[Remise]]</f>
        <v>41.377500000000005</v>
      </c>
      <c r="Q139">
        <v>1</v>
      </c>
    </row>
    <row r="140" spans="1:17" x14ac:dyDescent="0.25">
      <c r="A140" s="1" t="s">
        <v>140</v>
      </c>
      <c r="B140" s="1" t="s">
        <v>179</v>
      </c>
      <c r="C140" s="1" t="s">
        <v>67</v>
      </c>
      <c r="D140" s="1" t="str">
        <f>VLOOKUP(Clients_chun_clean[[#This Row],[Province_Client]],Master_Logs_reseau_registre!B140:F1211,2,0)</f>
        <v>ANT-0994</v>
      </c>
      <c r="E140" s="1" t="s">
        <v>1508</v>
      </c>
      <c r="F140" s="1" t="s">
        <v>1504</v>
      </c>
      <c r="G140" s="1" t="s">
        <v>811</v>
      </c>
      <c r="H140">
        <v>1</v>
      </c>
      <c r="I140">
        <v>0</v>
      </c>
      <c r="J140" s="1" t="s">
        <v>1705</v>
      </c>
      <c r="K140" s="1" t="s">
        <v>14</v>
      </c>
      <c r="L140">
        <v>326</v>
      </c>
      <c r="M140" s="4">
        <v>0.22638888888888889</v>
      </c>
      <c r="N140" s="10">
        <v>54.63</v>
      </c>
      <c r="O140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140" s="10">
        <f>Clients_chun_clean[[#This Row],[Facture_Mensuelle]]*Clients_chun_clean[[#This Row],[Remise]]</f>
        <v>24.583500000000001</v>
      </c>
      <c r="Q140">
        <v>3</v>
      </c>
    </row>
    <row r="141" spans="1:17" x14ac:dyDescent="0.25">
      <c r="A141" s="1" t="s">
        <v>140</v>
      </c>
      <c r="B141" s="1" t="s">
        <v>180</v>
      </c>
      <c r="C141" s="1" t="s">
        <v>89</v>
      </c>
      <c r="D141" s="1" t="str">
        <f>VLOOKUP(Clients_chun_clean[[#This Row],[Province_Client]],Master_Logs_reseau_registre!B141:F1212,2,0)</f>
        <v>ANT-0719</v>
      </c>
      <c r="E141" s="1" t="s">
        <v>1503</v>
      </c>
      <c r="F141" s="1" t="s">
        <v>1516</v>
      </c>
      <c r="G141" s="1" t="s">
        <v>813</v>
      </c>
      <c r="H141">
        <v>51</v>
      </c>
      <c r="I141">
        <v>4</v>
      </c>
      <c r="J141" s="1" t="s">
        <v>1704</v>
      </c>
      <c r="K141" s="1" t="s">
        <v>19</v>
      </c>
      <c r="L141">
        <v>260</v>
      </c>
      <c r="M141" s="4">
        <v>0.18055555555555555</v>
      </c>
      <c r="N141" s="10">
        <v>92.8</v>
      </c>
      <c r="O141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141" s="10">
        <f>Clients_chun_clean[[#This Row],[Facture_Mensuelle]]*Clients_chun_clean[[#This Row],[Remise]]</f>
        <v>41.76</v>
      </c>
      <c r="Q141">
        <v>5</v>
      </c>
    </row>
    <row r="142" spans="1:17" x14ac:dyDescent="0.25">
      <c r="A142" s="1" t="s">
        <v>140</v>
      </c>
      <c r="B142" s="1" t="s">
        <v>181</v>
      </c>
      <c r="C142" s="1" t="s">
        <v>57</v>
      </c>
      <c r="D142" s="1" t="str">
        <f>VLOOKUP(Clients_chun_clean[[#This Row],[Province_Client]],Master_Logs_reseau_registre!B142:F1213,2,0)</f>
        <v>ANT-0997</v>
      </c>
      <c r="E142" s="1" t="s">
        <v>1506</v>
      </c>
      <c r="F142" s="1" t="s">
        <v>1504</v>
      </c>
      <c r="G142" s="1" t="s">
        <v>813</v>
      </c>
      <c r="H142">
        <v>25</v>
      </c>
      <c r="I142">
        <v>2</v>
      </c>
      <c r="J142" s="1" t="s">
        <v>1704</v>
      </c>
      <c r="K142" s="1" t="s">
        <v>19</v>
      </c>
      <c r="L142">
        <v>131</v>
      </c>
      <c r="M142" s="4">
        <v>9.0972222222222218E-2</v>
      </c>
      <c r="N142" s="10">
        <v>67.489999999999995</v>
      </c>
      <c r="O142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142" s="10">
        <f>Clients_chun_clean[[#This Row],[Facture_Mensuelle]]*Clients_chun_clean[[#This Row],[Remise]]</f>
        <v>0</v>
      </c>
      <c r="Q142">
        <v>0</v>
      </c>
    </row>
    <row r="143" spans="1:17" x14ac:dyDescent="0.25">
      <c r="A143" s="1" t="s">
        <v>140</v>
      </c>
      <c r="B143" s="1" t="s">
        <v>182</v>
      </c>
      <c r="C143" s="1" t="s">
        <v>73</v>
      </c>
      <c r="D143" s="1" t="str">
        <f>VLOOKUP(Clients_chun_clean[[#This Row],[Province_Client]],Master_Logs_reseau_registre!B143:F1214,2,0)</f>
        <v>ANT-0096</v>
      </c>
      <c r="E143" s="1" t="s">
        <v>1508</v>
      </c>
      <c r="F143" s="1" t="s">
        <v>1504</v>
      </c>
      <c r="G143" s="1" t="s">
        <v>813</v>
      </c>
      <c r="H143">
        <v>43</v>
      </c>
      <c r="I143">
        <v>3</v>
      </c>
      <c r="J143" s="1" t="s">
        <v>1704</v>
      </c>
      <c r="K143" s="1" t="s">
        <v>19</v>
      </c>
      <c r="L143">
        <v>181</v>
      </c>
      <c r="M143" s="4">
        <v>0.12569444444444444</v>
      </c>
      <c r="N143" s="10">
        <v>72.39</v>
      </c>
      <c r="O143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143" s="10">
        <f>Clients_chun_clean[[#This Row],[Facture_Mensuelle]]*Clients_chun_clean[[#This Row],[Remise]]</f>
        <v>0</v>
      </c>
      <c r="Q143">
        <v>2</v>
      </c>
    </row>
    <row r="144" spans="1:17" x14ac:dyDescent="0.25">
      <c r="A144" s="1" t="s">
        <v>140</v>
      </c>
      <c r="B144" s="1" t="s">
        <v>183</v>
      </c>
      <c r="C144" s="1" t="s">
        <v>18</v>
      </c>
      <c r="D144" s="1" t="str">
        <f>VLOOKUP(Clients_chun_clean[[#This Row],[Province_Client]],Master_Logs_reseau_registre!B144:F1215,2,0)</f>
        <v>ANT-0371</v>
      </c>
      <c r="E144" s="1" t="s">
        <v>1506</v>
      </c>
      <c r="F144" s="1" t="s">
        <v>1504</v>
      </c>
      <c r="G144" s="1" t="s">
        <v>813</v>
      </c>
      <c r="H144">
        <v>11</v>
      </c>
      <c r="I144">
        <v>0</v>
      </c>
      <c r="J144" s="1" t="s">
        <v>1704</v>
      </c>
      <c r="K144" s="1" t="s">
        <v>19</v>
      </c>
      <c r="L144">
        <v>215</v>
      </c>
      <c r="M144" s="4">
        <v>0.14930555555555555</v>
      </c>
      <c r="N144" s="10">
        <v>51.99</v>
      </c>
      <c r="O144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144" s="10">
        <f>Clients_chun_clean[[#This Row],[Facture_Mensuelle]]*Clients_chun_clean[[#This Row],[Remise]]</f>
        <v>0</v>
      </c>
      <c r="Q144">
        <v>1</v>
      </c>
    </row>
    <row r="145" spans="1:17" x14ac:dyDescent="0.25">
      <c r="A145" s="1" t="s">
        <v>140</v>
      </c>
      <c r="B145" s="1" t="s">
        <v>184</v>
      </c>
      <c r="C145" s="1" t="s">
        <v>24</v>
      </c>
      <c r="D145" s="1" t="str">
        <f>VLOOKUP(Clients_chun_clean[[#This Row],[Province_Client]],Master_Logs_reseau_registre!B145:F1216,2,0)</f>
        <v>ANT-0569</v>
      </c>
      <c r="E145" s="1" t="s">
        <v>1503</v>
      </c>
      <c r="F145" s="1" t="s">
        <v>1507</v>
      </c>
      <c r="G145" s="1" t="s">
        <v>811</v>
      </c>
      <c r="H145">
        <v>113</v>
      </c>
      <c r="I145">
        <v>9</v>
      </c>
      <c r="J145" s="1" t="s">
        <v>1704</v>
      </c>
      <c r="K145" s="1" t="s">
        <v>11</v>
      </c>
      <c r="L145">
        <v>246</v>
      </c>
      <c r="M145" s="4">
        <v>0.17083333333333334</v>
      </c>
      <c r="N145" s="10">
        <v>29.18</v>
      </c>
      <c r="O145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145" s="10">
        <f>Clients_chun_clean[[#This Row],[Facture_Mensuelle]]*Clients_chun_clean[[#This Row],[Remise]]</f>
        <v>13.131</v>
      </c>
      <c r="Q145">
        <v>2</v>
      </c>
    </row>
    <row r="146" spans="1:17" x14ac:dyDescent="0.25">
      <c r="A146" s="1" t="s">
        <v>140</v>
      </c>
      <c r="B146" s="1" t="s">
        <v>185</v>
      </c>
      <c r="C146" s="1" t="s">
        <v>67</v>
      </c>
      <c r="D146" s="1" t="str">
        <f>VLOOKUP(Clients_chun_clean[[#This Row],[Province_Client]],Master_Logs_reseau_registre!B146:F1217,2,0)</f>
        <v>ANT-0994</v>
      </c>
      <c r="E146" s="1" t="s">
        <v>1508</v>
      </c>
      <c r="F146" s="1" t="s">
        <v>1516</v>
      </c>
      <c r="G146" s="1" t="s">
        <v>811</v>
      </c>
      <c r="H146">
        <v>74</v>
      </c>
      <c r="I146">
        <v>6</v>
      </c>
      <c r="J146" s="1" t="s">
        <v>1705</v>
      </c>
      <c r="K146" s="1" t="s">
        <v>14</v>
      </c>
      <c r="L146">
        <v>371</v>
      </c>
      <c r="M146" s="4">
        <v>0.25763888888888886</v>
      </c>
      <c r="N146" s="10">
        <v>53.27</v>
      </c>
      <c r="O146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146" s="10">
        <f>Clients_chun_clean[[#This Row],[Facture_Mensuelle]]*Clients_chun_clean[[#This Row],[Remise]]</f>
        <v>23.971500000000002</v>
      </c>
      <c r="Q146">
        <v>3</v>
      </c>
    </row>
    <row r="147" spans="1:17" x14ac:dyDescent="0.25">
      <c r="A147" s="1" t="s">
        <v>140</v>
      </c>
      <c r="B147" s="1" t="s">
        <v>186</v>
      </c>
      <c r="C147" s="1" t="s">
        <v>33</v>
      </c>
      <c r="D147" s="1" t="str">
        <f>VLOOKUP(Clients_chun_clean[[#This Row],[Province_Client]],Master_Logs_reseau_registre!B147:F1218,2,0)</f>
        <v>ANT-0488</v>
      </c>
      <c r="E147" s="1" t="s">
        <v>1506</v>
      </c>
      <c r="F147" s="1" t="s">
        <v>1504</v>
      </c>
      <c r="G147" s="1" t="s">
        <v>808</v>
      </c>
      <c r="H147">
        <v>104</v>
      </c>
      <c r="I147">
        <v>8</v>
      </c>
      <c r="J147" s="1" t="s">
        <v>1705</v>
      </c>
      <c r="K147" s="1" t="s">
        <v>14</v>
      </c>
      <c r="L147">
        <v>317</v>
      </c>
      <c r="M147" s="4">
        <v>0.22013888888888888</v>
      </c>
      <c r="N147" s="10">
        <v>79.150000000000006</v>
      </c>
      <c r="O147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147" s="10">
        <f>Clients_chun_clean[[#This Row],[Facture_Mensuelle]]*Clients_chun_clean[[#This Row],[Remise]]</f>
        <v>35.617500000000007</v>
      </c>
      <c r="Q147">
        <v>1</v>
      </c>
    </row>
    <row r="148" spans="1:17" x14ac:dyDescent="0.25">
      <c r="A148" s="1" t="s">
        <v>140</v>
      </c>
      <c r="B148" s="1" t="s">
        <v>187</v>
      </c>
      <c r="C148" s="1" t="s">
        <v>13</v>
      </c>
      <c r="D148" s="1" t="str">
        <f>VLOOKUP(Clients_chun_clean[[#This Row],[Province_Client]],Master_Logs_reseau_registre!B148:F1219,2,0)</f>
        <v>ANT-0417</v>
      </c>
      <c r="E148" s="1" t="s">
        <v>1503</v>
      </c>
      <c r="F148" s="1" t="s">
        <v>1507</v>
      </c>
      <c r="G148" s="1" t="s">
        <v>811</v>
      </c>
      <c r="H148">
        <v>4</v>
      </c>
      <c r="I148">
        <v>0</v>
      </c>
      <c r="J148" s="1" t="s">
        <v>1704</v>
      </c>
      <c r="K148" s="1" t="s">
        <v>19</v>
      </c>
      <c r="L148">
        <v>227</v>
      </c>
      <c r="M148" s="4">
        <v>0.15763888888888888</v>
      </c>
      <c r="N148" s="10">
        <v>83.32</v>
      </c>
      <c r="O148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148" s="10">
        <f>Clients_chun_clean[[#This Row],[Facture_Mensuelle]]*Clients_chun_clean[[#This Row],[Remise]]</f>
        <v>0</v>
      </c>
      <c r="Q148">
        <v>2</v>
      </c>
    </row>
    <row r="149" spans="1:17" x14ac:dyDescent="0.25">
      <c r="A149" s="1" t="s">
        <v>140</v>
      </c>
      <c r="B149" s="1" t="s">
        <v>188</v>
      </c>
      <c r="C149" s="1" t="s">
        <v>64</v>
      </c>
      <c r="D149" s="1" t="str">
        <f>VLOOKUP(Clients_chun_clean[[#This Row],[Province_Client]],Master_Logs_reseau_registre!B149:F1220,2,0)</f>
        <v>ANT-0353</v>
      </c>
      <c r="E149" s="1" t="s">
        <v>1503</v>
      </c>
      <c r="F149" s="1" t="s">
        <v>1507</v>
      </c>
      <c r="G149" s="1" t="s">
        <v>811</v>
      </c>
      <c r="H149">
        <v>95</v>
      </c>
      <c r="I149">
        <v>7</v>
      </c>
      <c r="J149" s="1" t="s">
        <v>1705</v>
      </c>
      <c r="K149" s="1" t="s">
        <v>14</v>
      </c>
      <c r="L149">
        <v>95</v>
      </c>
      <c r="M149" s="4">
        <v>6.5972222222222224E-2</v>
      </c>
      <c r="N149" s="10">
        <v>82.65</v>
      </c>
      <c r="O149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149" s="10">
        <f>Clients_chun_clean[[#This Row],[Facture_Mensuelle]]*Clients_chun_clean[[#This Row],[Remise]]</f>
        <v>8.2650000000000006</v>
      </c>
      <c r="Q149">
        <v>2</v>
      </c>
    </row>
    <row r="150" spans="1:17" x14ac:dyDescent="0.25">
      <c r="A150" s="1" t="s">
        <v>140</v>
      </c>
      <c r="B150" s="1" t="s">
        <v>189</v>
      </c>
      <c r="C150" s="1" t="s">
        <v>37</v>
      </c>
      <c r="D150" s="1" t="str">
        <f>VLOOKUP(Clients_chun_clean[[#This Row],[Province_Client]],Master_Logs_reseau_registre!B150:F1221,2,0)</f>
        <v>ANT-0738</v>
      </c>
      <c r="E150" s="1" t="s">
        <v>1506</v>
      </c>
      <c r="F150" s="1" t="s">
        <v>1504</v>
      </c>
      <c r="G150" s="1" t="s">
        <v>808</v>
      </c>
      <c r="H150">
        <v>29</v>
      </c>
      <c r="I150">
        <v>2</v>
      </c>
      <c r="J150" s="1" t="s">
        <v>1704</v>
      </c>
      <c r="K150" s="1" t="s">
        <v>22</v>
      </c>
      <c r="L150">
        <v>124</v>
      </c>
      <c r="M150" s="4">
        <v>8.611111111111111E-2</v>
      </c>
      <c r="N150" s="10">
        <v>43.83</v>
      </c>
      <c r="O150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150" s="10">
        <f>Clients_chun_clean[[#This Row],[Facture_Mensuelle]]*Clients_chun_clean[[#This Row],[Remise]]</f>
        <v>0</v>
      </c>
      <c r="Q150">
        <v>5</v>
      </c>
    </row>
    <row r="151" spans="1:17" x14ac:dyDescent="0.25">
      <c r="A151" s="1" t="s">
        <v>190</v>
      </c>
      <c r="B151" s="1" t="s">
        <v>191</v>
      </c>
      <c r="C151" s="1" t="s">
        <v>31</v>
      </c>
      <c r="D151" s="1" t="str">
        <f>VLOOKUP(Clients_chun_clean[[#This Row],[Province_Client]],Master_Logs_reseau_registre!B151:F1222,2,0)</f>
        <v>ANT-0596</v>
      </c>
      <c r="E151" s="1" t="s">
        <v>1506</v>
      </c>
      <c r="F151" s="1" t="s">
        <v>1507</v>
      </c>
      <c r="G151" s="1" t="s">
        <v>811</v>
      </c>
      <c r="H151">
        <v>97</v>
      </c>
      <c r="I151">
        <v>8</v>
      </c>
      <c r="J151" s="1" t="s">
        <v>1704</v>
      </c>
      <c r="K151" s="1" t="s">
        <v>19</v>
      </c>
      <c r="L151">
        <v>484</v>
      </c>
      <c r="M151" s="4">
        <v>0.33611111111111114</v>
      </c>
      <c r="N151" s="10">
        <v>61.98</v>
      </c>
      <c r="O151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151" s="10">
        <f>Clients_chun_clean[[#This Row],[Facture_Mensuelle]]*Clients_chun_clean[[#This Row],[Remise]]</f>
        <v>27.890999999999998</v>
      </c>
      <c r="Q151">
        <v>1</v>
      </c>
    </row>
    <row r="152" spans="1:17" x14ac:dyDescent="0.25">
      <c r="A152" s="1" t="s">
        <v>190</v>
      </c>
      <c r="B152" s="1" t="s">
        <v>192</v>
      </c>
      <c r="C152" s="1" t="s">
        <v>10</v>
      </c>
      <c r="D152" s="1" t="str">
        <f>VLOOKUP(Clients_chun_clean[[#This Row],[Province_Client]],Master_Logs_reseau_registre!B152:F1223,2,0)</f>
        <v>ANT-0821</v>
      </c>
      <c r="E152" s="1" t="s">
        <v>1503</v>
      </c>
      <c r="F152" s="1" t="s">
        <v>1507</v>
      </c>
      <c r="G152" s="1" t="s">
        <v>811</v>
      </c>
      <c r="H152">
        <v>113</v>
      </c>
      <c r="I152">
        <v>9</v>
      </c>
      <c r="J152" s="1" t="s">
        <v>1704</v>
      </c>
      <c r="K152" s="1" t="s">
        <v>11</v>
      </c>
      <c r="L152">
        <v>207</v>
      </c>
      <c r="M152" s="4">
        <v>0.14374999999999999</v>
      </c>
      <c r="N152" s="10">
        <v>21.55</v>
      </c>
      <c r="O152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152" s="10">
        <f>Clients_chun_clean[[#This Row],[Facture_Mensuelle]]*Clients_chun_clean[[#This Row],[Remise]]</f>
        <v>0</v>
      </c>
      <c r="Q152">
        <v>0</v>
      </c>
    </row>
    <row r="153" spans="1:17" x14ac:dyDescent="0.25">
      <c r="A153" s="1" t="s">
        <v>190</v>
      </c>
      <c r="B153" s="1" t="s">
        <v>193</v>
      </c>
      <c r="C153" s="1" t="s">
        <v>37</v>
      </c>
      <c r="D153" s="1" t="str">
        <f>VLOOKUP(Clients_chun_clean[[#This Row],[Province_Client]],Master_Logs_reseau_registre!B153:F1224,2,0)</f>
        <v>ANT-0209</v>
      </c>
      <c r="E153" s="1" t="s">
        <v>1503</v>
      </c>
      <c r="F153" s="1" t="s">
        <v>1507</v>
      </c>
      <c r="G153" s="1" t="s">
        <v>811</v>
      </c>
      <c r="H153">
        <v>83</v>
      </c>
      <c r="I153">
        <v>6</v>
      </c>
      <c r="J153" s="1" t="s">
        <v>1705</v>
      </c>
      <c r="K153" s="1" t="s">
        <v>14</v>
      </c>
      <c r="L153">
        <v>420</v>
      </c>
      <c r="M153" s="4">
        <v>0.29166666666666669</v>
      </c>
      <c r="N153" s="10">
        <v>94.9</v>
      </c>
      <c r="O153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153" s="10">
        <f>Clients_chun_clean[[#This Row],[Facture_Mensuelle]]*Clients_chun_clean[[#This Row],[Remise]]</f>
        <v>42.705000000000005</v>
      </c>
      <c r="Q153">
        <v>1</v>
      </c>
    </row>
    <row r="154" spans="1:17" x14ac:dyDescent="0.25">
      <c r="A154" s="1" t="s">
        <v>190</v>
      </c>
      <c r="B154" s="1" t="s">
        <v>194</v>
      </c>
      <c r="C154" s="1" t="s">
        <v>40</v>
      </c>
      <c r="D154" s="1" t="str">
        <f>VLOOKUP(Clients_chun_clean[[#This Row],[Province_Client]],Master_Logs_reseau_registre!B154:F1225,2,0)</f>
        <v>ANT-0708</v>
      </c>
      <c r="E154" s="1" t="s">
        <v>1508</v>
      </c>
      <c r="F154" s="1" t="s">
        <v>1509</v>
      </c>
      <c r="G154" s="1" t="s">
        <v>808</v>
      </c>
      <c r="H154">
        <v>97</v>
      </c>
      <c r="I154">
        <v>8</v>
      </c>
      <c r="J154" s="1" t="s">
        <v>1704</v>
      </c>
      <c r="K154" s="1" t="s">
        <v>11</v>
      </c>
      <c r="L154">
        <v>296</v>
      </c>
      <c r="M154" s="4">
        <v>0.20555555555555555</v>
      </c>
      <c r="N154" s="10">
        <v>10.87</v>
      </c>
      <c r="O154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154" s="10">
        <f>Clients_chun_clean[[#This Row],[Facture_Mensuelle]]*Clients_chun_clean[[#This Row],[Remise]]</f>
        <v>4.8914999999999997</v>
      </c>
      <c r="Q154">
        <v>4</v>
      </c>
    </row>
    <row r="155" spans="1:17" x14ac:dyDescent="0.25">
      <c r="A155" s="1" t="s">
        <v>190</v>
      </c>
      <c r="B155" s="1" t="s">
        <v>195</v>
      </c>
      <c r="C155" s="1" t="s">
        <v>51</v>
      </c>
      <c r="D155" s="1" t="str">
        <f>VLOOKUP(Clients_chun_clean[[#This Row],[Province_Client]],Master_Logs_reseau_registre!B155:F1226,2,0)</f>
        <v>ANT-0458</v>
      </c>
      <c r="E155" s="1" t="s">
        <v>1508</v>
      </c>
      <c r="F155" s="1" t="s">
        <v>1509</v>
      </c>
      <c r="G155" s="1" t="s">
        <v>808</v>
      </c>
      <c r="H155">
        <v>66</v>
      </c>
      <c r="I155">
        <v>5</v>
      </c>
      <c r="J155" s="1" t="s">
        <v>1704</v>
      </c>
      <c r="K155" s="1" t="s">
        <v>22</v>
      </c>
      <c r="L155">
        <v>387</v>
      </c>
      <c r="M155" s="4">
        <v>0.26874999999999999</v>
      </c>
      <c r="N155" s="10">
        <v>82.94</v>
      </c>
      <c r="O155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155" s="10">
        <f>Clients_chun_clean[[#This Row],[Facture_Mensuelle]]*Clients_chun_clean[[#This Row],[Remise]]</f>
        <v>37.323</v>
      </c>
      <c r="Q155">
        <v>3</v>
      </c>
    </row>
    <row r="156" spans="1:17" x14ac:dyDescent="0.25">
      <c r="A156" s="1" t="s">
        <v>190</v>
      </c>
      <c r="B156" s="1" t="s">
        <v>196</v>
      </c>
      <c r="C156" s="1" t="s">
        <v>44</v>
      </c>
      <c r="D156" s="1" t="str">
        <f>VLOOKUP(Clients_chun_clean[[#This Row],[Province_Client]],Master_Logs_reseau_registre!B156:F1227,2,0)</f>
        <v>ANT-0002</v>
      </c>
      <c r="E156" s="1" t="s">
        <v>1506</v>
      </c>
      <c r="F156" s="1" t="s">
        <v>1509</v>
      </c>
      <c r="G156" s="1" t="s">
        <v>813</v>
      </c>
      <c r="H156">
        <v>48</v>
      </c>
      <c r="I156">
        <v>4</v>
      </c>
      <c r="J156" s="1" t="s">
        <v>1704</v>
      </c>
      <c r="K156" s="1" t="s">
        <v>19</v>
      </c>
      <c r="L156">
        <v>335</v>
      </c>
      <c r="M156" s="4">
        <v>0.2326388888888889</v>
      </c>
      <c r="N156" s="10">
        <v>85.09</v>
      </c>
      <c r="O156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156" s="10">
        <f>Clients_chun_clean[[#This Row],[Facture_Mensuelle]]*Clients_chun_clean[[#This Row],[Remise]]</f>
        <v>38.290500000000002</v>
      </c>
      <c r="Q156">
        <v>3</v>
      </c>
    </row>
    <row r="157" spans="1:17" x14ac:dyDescent="0.25">
      <c r="A157" s="1" t="s">
        <v>190</v>
      </c>
      <c r="B157" s="1" t="s">
        <v>197</v>
      </c>
      <c r="C157" s="1" t="s">
        <v>44</v>
      </c>
      <c r="D157" s="1" t="str">
        <f>VLOOKUP(Clients_chun_clean[[#This Row],[Province_Client]],Master_Logs_reseau_registre!B157:F1228,2,0)</f>
        <v>ANT-0002</v>
      </c>
      <c r="E157" s="1" t="s">
        <v>1506</v>
      </c>
      <c r="F157" s="1" t="s">
        <v>1509</v>
      </c>
      <c r="G157" s="1" t="s">
        <v>813</v>
      </c>
      <c r="H157">
        <v>64</v>
      </c>
      <c r="I157">
        <v>5</v>
      </c>
      <c r="J157" s="1" t="s">
        <v>1705</v>
      </c>
      <c r="K157" s="1" t="s">
        <v>14</v>
      </c>
      <c r="L157">
        <v>6</v>
      </c>
      <c r="M157" s="4">
        <v>4.1666666666666666E-3</v>
      </c>
      <c r="N157" s="10">
        <v>40.58</v>
      </c>
      <c r="O157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157" s="10">
        <f>Clients_chun_clean[[#This Row],[Facture_Mensuelle]]*Clients_chun_clean[[#This Row],[Remise]]</f>
        <v>4.0579999999999998</v>
      </c>
      <c r="Q157">
        <v>5</v>
      </c>
    </row>
    <row r="158" spans="1:17" x14ac:dyDescent="0.25">
      <c r="A158" s="1" t="s">
        <v>190</v>
      </c>
      <c r="B158" s="1" t="s">
        <v>198</v>
      </c>
      <c r="C158" s="1" t="s">
        <v>24</v>
      </c>
      <c r="D158" s="1" t="str">
        <f>VLOOKUP(Clients_chun_clean[[#This Row],[Province_Client]],Master_Logs_reseau_registre!B158:F1229,2,0)</f>
        <v>ANT-0624</v>
      </c>
      <c r="E158" s="1" t="s">
        <v>1508</v>
      </c>
      <c r="F158" s="1" t="s">
        <v>1509</v>
      </c>
      <c r="G158" s="1" t="s">
        <v>813</v>
      </c>
      <c r="H158">
        <v>67</v>
      </c>
      <c r="I158">
        <v>5</v>
      </c>
      <c r="J158" s="1" t="s">
        <v>1704</v>
      </c>
      <c r="K158" s="1" t="s">
        <v>11</v>
      </c>
      <c r="L158">
        <v>241</v>
      </c>
      <c r="M158" s="4">
        <v>0.1673611111111111</v>
      </c>
      <c r="N158" s="10">
        <v>47.72</v>
      </c>
      <c r="O158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158" s="10">
        <f>Clients_chun_clean[[#This Row],[Facture_Mensuelle]]*Clients_chun_clean[[#This Row],[Remise]]</f>
        <v>21.474</v>
      </c>
      <c r="Q158">
        <v>0</v>
      </c>
    </row>
    <row r="159" spans="1:17" x14ac:dyDescent="0.25">
      <c r="A159" s="1" t="s">
        <v>190</v>
      </c>
      <c r="B159" s="1" t="s">
        <v>199</v>
      </c>
      <c r="C159" s="1" t="s">
        <v>33</v>
      </c>
      <c r="D159" s="1" t="str">
        <f>VLOOKUP(Clients_chun_clean[[#This Row],[Province_Client]],Master_Logs_reseau_registre!B159:F1230,2,0)</f>
        <v>ANT-0488</v>
      </c>
      <c r="E159" s="1" t="s">
        <v>1506</v>
      </c>
      <c r="F159" s="1" t="s">
        <v>1509</v>
      </c>
      <c r="G159" s="1" t="s">
        <v>813</v>
      </c>
      <c r="H159">
        <v>60</v>
      </c>
      <c r="I159">
        <v>5</v>
      </c>
      <c r="J159" s="1" t="s">
        <v>1705</v>
      </c>
      <c r="K159" s="1" t="s">
        <v>14</v>
      </c>
      <c r="L159">
        <v>334</v>
      </c>
      <c r="M159" s="4">
        <v>0.23194444444444445</v>
      </c>
      <c r="N159" s="10">
        <v>71.72</v>
      </c>
      <c r="O159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159" s="10">
        <f>Clients_chun_clean[[#This Row],[Facture_Mensuelle]]*Clients_chun_clean[[#This Row],[Remise]]</f>
        <v>32.274000000000001</v>
      </c>
      <c r="Q159">
        <v>3</v>
      </c>
    </row>
    <row r="160" spans="1:17" x14ac:dyDescent="0.25">
      <c r="A160" s="1" t="s">
        <v>190</v>
      </c>
      <c r="B160" s="1" t="s">
        <v>200</v>
      </c>
      <c r="C160" s="1" t="s">
        <v>33</v>
      </c>
      <c r="D160" s="1" t="str">
        <f>VLOOKUP(Clients_chun_clean[[#This Row],[Province_Client]],Master_Logs_reseau_registre!B160:F1231,2,0)</f>
        <v>ANT-0527</v>
      </c>
      <c r="E160" s="1" t="s">
        <v>1506</v>
      </c>
      <c r="F160" s="1" t="s">
        <v>1504</v>
      </c>
      <c r="G160" s="1" t="s">
        <v>811</v>
      </c>
      <c r="H160">
        <v>23</v>
      </c>
      <c r="I160">
        <v>1</v>
      </c>
      <c r="J160" s="1" t="s">
        <v>1705</v>
      </c>
      <c r="K160" s="1" t="s">
        <v>14</v>
      </c>
      <c r="L160">
        <v>262</v>
      </c>
      <c r="M160" s="4">
        <v>0.18194444444444444</v>
      </c>
      <c r="N160" s="10">
        <v>46.3</v>
      </c>
      <c r="O160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160" s="10">
        <f>Clients_chun_clean[[#This Row],[Facture_Mensuelle]]*Clients_chun_clean[[#This Row],[Remise]]</f>
        <v>20.835000000000001</v>
      </c>
      <c r="Q160">
        <v>1</v>
      </c>
    </row>
    <row r="161" spans="1:17" x14ac:dyDescent="0.25">
      <c r="A161" s="1" t="s">
        <v>190</v>
      </c>
      <c r="B161" s="1" t="s">
        <v>201</v>
      </c>
      <c r="C161" s="1" t="s">
        <v>60</v>
      </c>
      <c r="D161" s="1" t="str">
        <f>VLOOKUP(Clients_chun_clean[[#This Row],[Province_Client]],Master_Logs_reseau_registre!B161:F1232,2,0)</f>
        <v>ANT-0950</v>
      </c>
      <c r="E161" s="1" t="s">
        <v>1503</v>
      </c>
      <c r="F161" s="1" t="s">
        <v>1516</v>
      </c>
      <c r="G161" s="1" t="s">
        <v>813</v>
      </c>
      <c r="H161">
        <v>42</v>
      </c>
      <c r="I161">
        <v>3</v>
      </c>
      <c r="J161" s="1" t="s">
        <v>1705</v>
      </c>
      <c r="K161" s="1" t="s">
        <v>14</v>
      </c>
      <c r="L161">
        <v>389</v>
      </c>
      <c r="M161" s="4">
        <v>0.27013888888888887</v>
      </c>
      <c r="N161" s="10">
        <v>80.08</v>
      </c>
      <c r="O161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161" s="10">
        <f>Clients_chun_clean[[#This Row],[Facture_Mensuelle]]*Clients_chun_clean[[#This Row],[Remise]]</f>
        <v>36.036000000000001</v>
      </c>
      <c r="Q161">
        <v>1</v>
      </c>
    </row>
    <row r="162" spans="1:17" x14ac:dyDescent="0.25">
      <c r="A162" s="1" t="s">
        <v>190</v>
      </c>
      <c r="B162" s="1" t="s">
        <v>202</v>
      </c>
      <c r="C162" s="1" t="s">
        <v>131</v>
      </c>
      <c r="D162" s="1" t="str">
        <f>VLOOKUP(Clients_chun_clean[[#This Row],[Province_Client]],Master_Logs_reseau_registre!B162:F1233,2,0)</f>
        <v>ANT-0812</v>
      </c>
      <c r="E162" s="1" t="s">
        <v>1503</v>
      </c>
      <c r="F162" s="1" t="s">
        <v>1516</v>
      </c>
      <c r="G162" s="1" t="s">
        <v>813</v>
      </c>
      <c r="H162">
        <v>92</v>
      </c>
      <c r="I162">
        <v>7</v>
      </c>
      <c r="J162" s="1" t="s">
        <v>1705</v>
      </c>
      <c r="K162" s="1" t="s">
        <v>14</v>
      </c>
      <c r="L162">
        <v>487</v>
      </c>
      <c r="M162" s="4">
        <v>0.33819444444444446</v>
      </c>
      <c r="N162" s="10">
        <v>58.38</v>
      </c>
      <c r="O162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162" s="10">
        <f>Clients_chun_clean[[#This Row],[Facture_Mensuelle]]*Clients_chun_clean[[#This Row],[Remise]]</f>
        <v>26.271000000000001</v>
      </c>
      <c r="Q162">
        <v>1</v>
      </c>
    </row>
    <row r="163" spans="1:17" x14ac:dyDescent="0.25">
      <c r="A163" s="1" t="s">
        <v>190</v>
      </c>
      <c r="B163" s="1" t="s">
        <v>203</v>
      </c>
      <c r="C163" s="1" t="s">
        <v>37</v>
      </c>
      <c r="D163" s="1" t="str">
        <f>VLOOKUP(Clients_chun_clean[[#This Row],[Province_Client]],Master_Logs_reseau_registre!B163:F1234,2,0)</f>
        <v>ANT-0209</v>
      </c>
      <c r="E163" s="1" t="s">
        <v>1503</v>
      </c>
      <c r="F163" s="1" t="s">
        <v>1516</v>
      </c>
      <c r="G163" s="1" t="s">
        <v>813</v>
      </c>
      <c r="H163">
        <v>48</v>
      </c>
      <c r="I163">
        <v>4</v>
      </c>
      <c r="J163" s="1" t="s">
        <v>1705</v>
      </c>
      <c r="K163" s="1" t="s">
        <v>14</v>
      </c>
      <c r="L163">
        <v>76</v>
      </c>
      <c r="M163" s="4">
        <v>5.2777777777777778E-2</v>
      </c>
      <c r="N163" s="10">
        <v>39.35</v>
      </c>
      <c r="O163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163" s="10">
        <f>Clients_chun_clean[[#This Row],[Facture_Mensuelle]]*Clients_chun_clean[[#This Row],[Remise]]</f>
        <v>3.9350000000000005</v>
      </c>
      <c r="Q163">
        <v>2</v>
      </c>
    </row>
    <row r="164" spans="1:17" x14ac:dyDescent="0.25">
      <c r="A164" s="1" t="s">
        <v>190</v>
      </c>
      <c r="B164" s="1" t="s">
        <v>204</v>
      </c>
      <c r="C164" s="1" t="s">
        <v>21</v>
      </c>
      <c r="D164" s="1" t="str">
        <f>VLOOKUP(Clients_chun_clean[[#This Row],[Province_Client]],Master_Logs_reseau_registre!B164:F1235,2,0)</f>
        <v>ANT-0415</v>
      </c>
      <c r="E164" s="1" t="s">
        <v>1506</v>
      </c>
      <c r="F164" s="1" t="s">
        <v>1504</v>
      </c>
      <c r="G164" s="1" t="s">
        <v>813</v>
      </c>
      <c r="H164">
        <v>68</v>
      </c>
      <c r="I164">
        <v>5</v>
      </c>
      <c r="J164" s="1" t="s">
        <v>1704</v>
      </c>
      <c r="K164" s="1" t="s">
        <v>11</v>
      </c>
      <c r="L164">
        <v>443</v>
      </c>
      <c r="M164" s="4">
        <v>0.30763888888888891</v>
      </c>
      <c r="N164" s="10">
        <v>12.09</v>
      </c>
      <c r="O164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164" s="10">
        <f>Clients_chun_clean[[#This Row],[Facture_Mensuelle]]*Clients_chun_clean[[#This Row],[Remise]]</f>
        <v>5.4405000000000001</v>
      </c>
      <c r="Q164">
        <v>3</v>
      </c>
    </row>
    <row r="165" spans="1:17" x14ac:dyDescent="0.25">
      <c r="A165" s="1" t="s">
        <v>190</v>
      </c>
      <c r="B165" s="1" t="s">
        <v>205</v>
      </c>
      <c r="C165" s="1" t="s">
        <v>78</v>
      </c>
      <c r="D165" s="1" t="str">
        <f>VLOOKUP(Clients_chun_clean[[#This Row],[Province_Client]],Master_Logs_reseau_registre!B165:F1236,2,0)</f>
        <v>ANT-0302</v>
      </c>
      <c r="E165" s="1" t="s">
        <v>1506</v>
      </c>
      <c r="F165" s="1" t="s">
        <v>1504</v>
      </c>
      <c r="G165" s="1" t="s">
        <v>813</v>
      </c>
      <c r="H165">
        <v>89</v>
      </c>
      <c r="I165">
        <v>7</v>
      </c>
      <c r="J165" s="1" t="s">
        <v>1705</v>
      </c>
      <c r="K165" s="1" t="s">
        <v>14</v>
      </c>
      <c r="L165">
        <v>203</v>
      </c>
      <c r="M165" s="4">
        <v>0.14097222222222222</v>
      </c>
      <c r="N165" s="10">
        <v>80.680000000000007</v>
      </c>
      <c r="O165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165" s="10">
        <f>Clients_chun_clean[[#This Row],[Facture_Mensuelle]]*Clients_chun_clean[[#This Row],[Remise]]</f>
        <v>8.0680000000000014</v>
      </c>
      <c r="Q165">
        <v>5</v>
      </c>
    </row>
    <row r="166" spans="1:17" x14ac:dyDescent="0.25">
      <c r="A166" s="1" t="s">
        <v>190</v>
      </c>
      <c r="B166" s="1" t="s">
        <v>206</v>
      </c>
      <c r="C166" s="1" t="s">
        <v>31</v>
      </c>
      <c r="D166" s="1" t="str">
        <f>VLOOKUP(Clients_chun_clean[[#This Row],[Province_Client]],Master_Logs_reseau_registre!B166:F1237,2,0)</f>
        <v>ANT-0596</v>
      </c>
      <c r="E166" s="1" t="s">
        <v>1506</v>
      </c>
      <c r="F166" s="1" t="s">
        <v>1504</v>
      </c>
      <c r="G166" s="1" t="s">
        <v>813</v>
      </c>
      <c r="H166">
        <v>62</v>
      </c>
      <c r="I166">
        <v>5</v>
      </c>
      <c r="J166" s="1" t="s">
        <v>1704</v>
      </c>
      <c r="K166" s="1" t="s">
        <v>11</v>
      </c>
      <c r="L166">
        <v>116</v>
      </c>
      <c r="M166" s="4">
        <v>8.0555555555555561E-2</v>
      </c>
      <c r="N166" s="10">
        <v>92.99</v>
      </c>
      <c r="O166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166" s="10">
        <f>Clients_chun_clean[[#This Row],[Facture_Mensuelle]]*Clients_chun_clean[[#This Row],[Remise]]</f>
        <v>0</v>
      </c>
      <c r="Q166">
        <v>5</v>
      </c>
    </row>
    <row r="167" spans="1:17" x14ac:dyDescent="0.25">
      <c r="A167" s="1" t="s">
        <v>190</v>
      </c>
      <c r="B167" s="1" t="s">
        <v>207</v>
      </c>
      <c r="C167" s="1" t="s">
        <v>10</v>
      </c>
      <c r="D167" s="1" t="str">
        <f>VLOOKUP(Clients_chun_clean[[#This Row],[Province_Client]],Master_Logs_reseau_registre!B167:F1238,2,0)</f>
        <v>ANT-0821</v>
      </c>
      <c r="E167" s="1" t="s">
        <v>1503</v>
      </c>
      <c r="F167" s="1" t="s">
        <v>1504</v>
      </c>
      <c r="G167" s="1" t="s">
        <v>813</v>
      </c>
      <c r="H167">
        <v>92</v>
      </c>
      <c r="I167">
        <v>7</v>
      </c>
      <c r="J167" s="1" t="s">
        <v>1704</v>
      </c>
      <c r="K167" s="1" t="s">
        <v>11</v>
      </c>
      <c r="L167">
        <v>116</v>
      </c>
      <c r="M167" s="4">
        <v>8.0555555555555561E-2</v>
      </c>
      <c r="N167" s="10">
        <v>23.83</v>
      </c>
      <c r="O167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167" s="10">
        <f>Clients_chun_clean[[#This Row],[Facture_Mensuelle]]*Clients_chun_clean[[#This Row],[Remise]]</f>
        <v>0</v>
      </c>
      <c r="Q167">
        <v>3</v>
      </c>
    </row>
    <row r="168" spans="1:17" x14ac:dyDescent="0.25">
      <c r="A168" s="1" t="s">
        <v>190</v>
      </c>
      <c r="B168" s="1" t="s">
        <v>208</v>
      </c>
      <c r="C168" s="1" t="s">
        <v>16</v>
      </c>
      <c r="D168" s="1" t="str">
        <f>VLOOKUP(Clients_chun_clean[[#This Row],[Province_Client]],Master_Logs_reseau_registre!B168:F1239,2,0)</f>
        <v>ANT-0829</v>
      </c>
      <c r="E168" s="1" t="s">
        <v>1503</v>
      </c>
      <c r="F168" s="1" t="s">
        <v>1504</v>
      </c>
      <c r="G168" s="1" t="s">
        <v>813</v>
      </c>
      <c r="H168">
        <v>64</v>
      </c>
      <c r="I168">
        <v>5</v>
      </c>
      <c r="J168" s="1" t="s">
        <v>1705</v>
      </c>
      <c r="K168" s="1" t="s">
        <v>14</v>
      </c>
      <c r="L168">
        <v>370</v>
      </c>
      <c r="M168" s="4">
        <v>0.25694444444444442</v>
      </c>
      <c r="N168" s="10">
        <v>95.74</v>
      </c>
      <c r="O168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168" s="10">
        <f>Clients_chun_clean[[#This Row],[Facture_Mensuelle]]*Clients_chun_clean[[#This Row],[Remise]]</f>
        <v>43.082999999999998</v>
      </c>
      <c r="Q168">
        <v>1</v>
      </c>
    </row>
    <row r="169" spans="1:17" x14ac:dyDescent="0.25">
      <c r="A169" s="1" t="s">
        <v>190</v>
      </c>
      <c r="B169" s="1" t="s">
        <v>209</v>
      </c>
      <c r="C169" s="1" t="s">
        <v>57</v>
      </c>
      <c r="D169" s="1" t="str">
        <f>VLOOKUP(Clients_chun_clean[[#This Row],[Province_Client]],Master_Logs_reseau_registre!B169:F1240,2,0)</f>
        <v>ANT-0997</v>
      </c>
      <c r="E169" s="1" t="s">
        <v>1506</v>
      </c>
      <c r="F169" s="1" t="s">
        <v>1504</v>
      </c>
      <c r="G169" s="1" t="s">
        <v>813</v>
      </c>
      <c r="H169">
        <v>61</v>
      </c>
      <c r="I169">
        <v>5</v>
      </c>
      <c r="J169" s="1" t="s">
        <v>1704</v>
      </c>
      <c r="K169" s="1" t="s">
        <v>19</v>
      </c>
      <c r="L169">
        <v>383</v>
      </c>
      <c r="M169" s="4">
        <v>0.26597222222222222</v>
      </c>
      <c r="N169" s="10">
        <v>39.72</v>
      </c>
      <c r="O169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169" s="10">
        <f>Clients_chun_clean[[#This Row],[Facture_Mensuelle]]*Clients_chun_clean[[#This Row],[Remise]]</f>
        <v>17.873999999999999</v>
      </c>
      <c r="Q169">
        <v>4</v>
      </c>
    </row>
    <row r="170" spans="1:17" x14ac:dyDescent="0.25">
      <c r="A170" s="1" t="s">
        <v>190</v>
      </c>
      <c r="B170" s="1" t="s">
        <v>210</v>
      </c>
      <c r="C170" s="1" t="s">
        <v>62</v>
      </c>
      <c r="D170" s="1" t="str">
        <f>VLOOKUP(Clients_chun_clean[[#This Row],[Province_Client]],Master_Logs_reseau_registre!B170:F1241,2,0)</f>
        <v>ANT-0093</v>
      </c>
      <c r="E170" s="1" t="s">
        <v>1506</v>
      </c>
      <c r="F170" s="1" t="s">
        <v>1509</v>
      </c>
      <c r="G170" s="1" t="s">
        <v>811</v>
      </c>
      <c r="H170">
        <v>35</v>
      </c>
      <c r="I170">
        <v>2</v>
      </c>
      <c r="J170" s="1" t="s">
        <v>1704</v>
      </c>
      <c r="K170" s="1" t="s">
        <v>22</v>
      </c>
      <c r="L170">
        <v>107</v>
      </c>
      <c r="M170" s="4">
        <v>7.4305555555555555E-2</v>
      </c>
      <c r="N170" s="10">
        <v>66.69</v>
      </c>
      <c r="O170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170" s="10">
        <f>Clients_chun_clean[[#This Row],[Facture_Mensuelle]]*Clients_chun_clean[[#This Row],[Remise]]</f>
        <v>0</v>
      </c>
      <c r="Q170">
        <v>4</v>
      </c>
    </row>
    <row r="171" spans="1:17" x14ac:dyDescent="0.25">
      <c r="A171" s="1" t="s">
        <v>190</v>
      </c>
      <c r="B171" s="1" t="s">
        <v>211</v>
      </c>
      <c r="C171" s="1" t="s">
        <v>137</v>
      </c>
      <c r="D171" s="1" t="str">
        <f>VLOOKUP(Clients_chun_clean[[#This Row],[Province_Client]],Master_Logs_reseau_registre!B171:F1242,2,0)</f>
        <v>ANT-0845</v>
      </c>
      <c r="E171" s="1" t="s">
        <v>1508</v>
      </c>
      <c r="F171" s="1" t="s">
        <v>1507</v>
      </c>
      <c r="G171" s="1" t="s">
        <v>811</v>
      </c>
      <c r="H171">
        <v>75</v>
      </c>
      <c r="I171">
        <v>6</v>
      </c>
      <c r="J171" s="1" t="s">
        <v>1705</v>
      </c>
      <c r="K171" s="1" t="s">
        <v>14</v>
      </c>
      <c r="L171">
        <v>242</v>
      </c>
      <c r="M171" s="4">
        <v>0.16805555555555557</v>
      </c>
      <c r="N171" s="10">
        <v>64.27</v>
      </c>
      <c r="O171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171" s="10">
        <f>Clients_chun_clean[[#This Row],[Facture_Mensuelle]]*Clients_chun_clean[[#This Row],[Remise]]</f>
        <v>28.921499999999998</v>
      </c>
      <c r="Q171">
        <v>2</v>
      </c>
    </row>
    <row r="172" spans="1:17" x14ac:dyDescent="0.25">
      <c r="A172" s="1" t="s">
        <v>190</v>
      </c>
      <c r="B172" s="1" t="s">
        <v>212</v>
      </c>
      <c r="C172" s="1" t="s">
        <v>31</v>
      </c>
      <c r="D172" s="1" t="str">
        <f>VLOOKUP(Clients_chun_clean[[#This Row],[Province_Client]],Master_Logs_reseau_registre!B172:F1243,2,0)</f>
        <v>ANT-0596</v>
      </c>
      <c r="E172" s="1" t="s">
        <v>1506</v>
      </c>
      <c r="F172" s="1" t="s">
        <v>1509</v>
      </c>
      <c r="G172" s="1" t="s">
        <v>811</v>
      </c>
      <c r="H172">
        <v>52</v>
      </c>
      <c r="I172">
        <v>4</v>
      </c>
      <c r="J172" s="1" t="s">
        <v>1704</v>
      </c>
      <c r="K172" s="1" t="s">
        <v>22</v>
      </c>
      <c r="L172">
        <v>119</v>
      </c>
      <c r="M172" s="4">
        <v>8.2638888888888887E-2</v>
      </c>
      <c r="N172" s="10">
        <v>64.709999999999994</v>
      </c>
      <c r="O172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172" s="10">
        <f>Clients_chun_clean[[#This Row],[Facture_Mensuelle]]*Clients_chun_clean[[#This Row],[Remise]]</f>
        <v>0</v>
      </c>
      <c r="Q172">
        <v>4</v>
      </c>
    </row>
    <row r="173" spans="1:17" x14ac:dyDescent="0.25">
      <c r="A173" s="1" t="s">
        <v>190</v>
      </c>
      <c r="B173" s="1" t="s">
        <v>213</v>
      </c>
      <c r="C173" s="1" t="s">
        <v>89</v>
      </c>
      <c r="D173" s="1" t="str">
        <f>VLOOKUP(Clients_chun_clean[[#This Row],[Province_Client]],Master_Logs_reseau_registre!B173:F1244,2,0)</f>
        <v>ANT-0662</v>
      </c>
      <c r="E173" s="1" t="s">
        <v>1506</v>
      </c>
      <c r="F173" s="1" t="s">
        <v>1509</v>
      </c>
      <c r="G173" s="1" t="s">
        <v>811</v>
      </c>
      <c r="H173">
        <v>82</v>
      </c>
      <c r="I173">
        <v>6</v>
      </c>
      <c r="J173" s="1" t="s">
        <v>1704</v>
      </c>
      <c r="K173" s="1" t="s">
        <v>11</v>
      </c>
      <c r="L173">
        <v>264</v>
      </c>
      <c r="M173" s="4">
        <v>0.18333333333333332</v>
      </c>
      <c r="N173" s="10">
        <v>88.03</v>
      </c>
      <c r="O173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173" s="10">
        <f>Clients_chun_clean[[#This Row],[Facture_Mensuelle]]*Clients_chun_clean[[#This Row],[Remise]]</f>
        <v>39.613500000000002</v>
      </c>
      <c r="Q173">
        <v>1</v>
      </c>
    </row>
    <row r="174" spans="1:17" x14ac:dyDescent="0.25">
      <c r="A174" s="1" t="s">
        <v>190</v>
      </c>
      <c r="B174" s="1" t="s">
        <v>214</v>
      </c>
      <c r="C174" s="1" t="s">
        <v>33</v>
      </c>
      <c r="D174" s="1" t="str">
        <f>VLOOKUP(Clients_chun_clean[[#This Row],[Province_Client]],Master_Logs_reseau_registre!B174:F1245,2,0)</f>
        <v>ANT-0527</v>
      </c>
      <c r="E174" s="1" t="s">
        <v>1506</v>
      </c>
      <c r="F174" s="1" t="s">
        <v>1509</v>
      </c>
      <c r="G174" s="1" t="s">
        <v>811</v>
      </c>
      <c r="H174">
        <v>118</v>
      </c>
      <c r="I174">
        <v>9</v>
      </c>
      <c r="J174" s="1" t="s">
        <v>1704</v>
      </c>
      <c r="K174" s="1" t="s">
        <v>19</v>
      </c>
      <c r="L174">
        <v>300</v>
      </c>
      <c r="M174" s="4">
        <v>0.20833333333333334</v>
      </c>
      <c r="N174" s="10">
        <v>98.22</v>
      </c>
      <c r="O174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174" s="10">
        <f>Clients_chun_clean[[#This Row],[Facture_Mensuelle]]*Clients_chun_clean[[#This Row],[Remise]]</f>
        <v>44.198999999999998</v>
      </c>
      <c r="Q174">
        <v>4</v>
      </c>
    </row>
    <row r="175" spans="1:17" x14ac:dyDescent="0.25">
      <c r="A175" s="1" t="s">
        <v>190</v>
      </c>
      <c r="B175" s="1" t="s">
        <v>215</v>
      </c>
      <c r="C175" s="1" t="s">
        <v>60</v>
      </c>
      <c r="D175" s="1" t="str">
        <f>VLOOKUP(Clients_chun_clean[[#This Row],[Province_Client]],Master_Logs_reseau_registre!B175:F1246,2,0)</f>
        <v>ANT-0950</v>
      </c>
      <c r="E175" s="1" t="s">
        <v>1503</v>
      </c>
      <c r="F175" s="1" t="s">
        <v>1509</v>
      </c>
      <c r="G175" s="1" t="s">
        <v>811</v>
      </c>
      <c r="H175">
        <v>102</v>
      </c>
      <c r="I175">
        <v>8</v>
      </c>
      <c r="J175" s="1" t="s">
        <v>1704</v>
      </c>
      <c r="K175" s="1" t="s">
        <v>11</v>
      </c>
      <c r="L175">
        <v>402</v>
      </c>
      <c r="M175" s="4">
        <v>0.27916666666666667</v>
      </c>
      <c r="N175" s="10">
        <v>28.38</v>
      </c>
      <c r="O175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175" s="10">
        <f>Clients_chun_clean[[#This Row],[Facture_Mensuelle]]*Clients_chun_clean[[#This Row],[Remise]]</f>
        <v>12.770999999999999</v>
      </c>
      <c r="Q175">
        <v>5</v>
      </c>
    </row>
    <row r="176" spans="1:17" x14ac:dyDescent="0.25">
      <c r="A176" s="1" t="s">
        <v>190</v>
      </c>
      <c r="B176" s="1" t="s">
        <v>216</v>
      </c>
      <c r="C176" s="1" t="s">
        <v>35</v>
      </c>
      <c r="D176" s="1" t="str">
        <f>VLOOKUP(Clients_chun_clean[[#This Row],[Province_Client]],Master_Logs_reseau_registre!B176:F1247,2,0)</f>
        <v>ANT-0995</v>
      </c>
      <c r="E176" s="1" t="s">
        <v>1508</v>
      </c>
      <c r="F176" s="1" t="s">
        <v>1509</v>
      </c>
      <c r="G176" s="1" t="s">
        <v>811</v>
      </c>
      <c r="H176">
        <v>75</v>
      </c>
      <c r="I176">
        <v>6</v>
      </c>
      <c r="J176" s="1" t="s">
        <v>1704</v>
      </c>
      <c r="K176" s="1" t="s">
        <v>19</v>
      </c>
      <c r="L176">
        <v>282</v>
      </c>
      <c r="M176" s="4">
        <v>0.19583333333333333</v>
      </c>
      <c r="N176" s="10">
        <v>45.16</v>
      </c>
      <c r="O176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176" s="10">
        <f>Clients_chun_clean[[#This Row],[Facture_Mensuelle]]*Clients_chun_clean[[#This Row],[Remise]]</f>
        <v>20.321999999999999</v>
      </c>
      <c r="Q176">
        <v>5</v>
      </c>
    </row>
    <row r="177" spans="1:17" x14ac:dyDescent="0.25">
      <c r="A177" s="1" t="s">
        <v>190</v>
      </c>
      <c r="B177" s="1" t="s">
        <v>217</v>
      </c>
      <c r="C177" s="1" t="s">
        <v>24</v>
      </c>
      <c r="D177" s="1" t="str">
        <f>VLOOKUP(Clients_chun_clean[[#This Row],[Province_Client]],Master_Logs_reseau_registre!B177:F1248,2,0)</f>
        <v>ANT-0624</v>
      </c>
      <c r="E177" s="1" t="s">
        <v>1508</v>
      </c>
      <c r="F177" s="1" t="s">
        <v>1509</v>
      </c>
      <c r="G177" s="1" t="s">
        <v>811</v>
      </c>
      <c r="H177">
        <v>84</v>
      </c>
      <c r="I177">
        <v>7</v>
      </c>
      <c r="J177" s="1" t="s">
        <v>1704</v>
      </c>
      <c r="K177" s="1" t="s">
        <v>11</v>
      </c>
      <c r="L177">
        <v>387</v>
      </c>
      <c r="M177" s="4">
        <v>0.26874999999999999</v>
      </c>
      <c r="N177" s="10">
        <v>58.1</v>
      </c>
      <c r="O177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177" s="10">
        <f>Clients_chun_clean[[#This Row],[Facture_Mensuelle]]*Clients_chun_clean[[#This Row],[Remise]]</f>
        <v>26.145</v>
      </c>
      <c r="Q177">
        <v>3</v>
      </c>
    </row>
    <row r="178" spans="1:17" x14ac:dyDescent="0.25">
      <c r="A178" s="1" t="s">
        <v>190</v>
      </c>
      <c r="B178" s="1" t="s">
        <v>218</v>
      </c>
      <c r="C178" s="1" t="s">
        <v>44</v>
      </c>
      <c r="D178" s="1" t="str">
        <f>VLOOKUP(Clients_chun_clean[[#This Row],[Province_Client]],Master_Logs_reseau_registre!B178:F1249,2,0)</f>
        <v>ANT-0002</v>
      </c>
      <c r="E178" s="1" t="s">
        <v>1506</v>
      </c>
      <c r="F178" s="1" t="s">
        <v>1507</v>
      </c>
      <c r="G178" s="1" t="s">
        <v>808</v>
      </c>
      <c r="H178">
        <v>5</v>
      </c>
      <c r="I178">
        <v>0</v>
      </c>
      <c r="J178" s="1" t="s">
        <v>1704</v>
      </c>
      <c r="K178" s="1" t="s">
        <v>19</v>
      </c>
      <c r="L178">
        <v>239</v>
      </c>
      <c r="M178" s="4">
        <v>0.16597222222222222</v>
      </c>
      <c r="N178" s="10">
        <v>26.95</v>
      </c>
      <c r="O178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178" s="10">
        <f>Clients_chun_clean[[#This Row],[Facture_Mensuelle]]*Clients_chun_clean[[#This Row],[Remise]]</f>
        <v>0</v>
      </c>
      <c r="Q178">
        <v>2</v>
      </c>
    </row>
    <row r="179" spans="1:17" x14ac:dyDescent="0.25">
      <c r="A179" s="1" t="s">
        <v>190</v>
      </c>
      <c r="B179" s="1" t="s">
        <v>219</v>
      </c>
      <c r="C179" s="1" t="s">
        <v>78</v>
      </c>
      <c r="D179" s="1" t="str">
        <f>VLOOKUP(Clients_chun_clean[[#This Row],[Province_Client]],Master_Logs_reseau_registre!B179:F1250,2,0)</f>
        <v>ANT-0531</v>
      </c>
      <c r="E179" s="1" t="s">
        <v>1506</v>
      </c>
      <c r="F179" s="1" t="s">
        <v>1507</v>
      </c>
      <c r="G179" s="1" t="s">
        <v>808</v>
      </c>
      <c r="H179">
        <v>27</v>
      </c>
      <c r="I179">
        <v>2</v>
      </c>
      <c r="J179" s="1" t="s">
        <v>1704</v>
      </c>
      <c r="K179" s="1" t="s">
        <v>11</v>
      </c>
      <c r="L179">
        <v>369</v>
      </c>
      <c r="M179" s="4">
        <v>0.25624999999999998</v>
      </c>
      <c r="N179" s="10">
        <v>19.78</v>
      </c>
      <c r="O179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179" s="10">
        <f>Clients_chun_clean[[#This Row],[Facture_Mensuelle]]*Clients_chun_clean[[#This Row],[Remise]]</f>
        <v>8.9010000000000016</v>
      </c>
      <c r="Q179">
        <v>1</v>
      </c>
    </row>
    <row r="180" spans="1:17" x14ac:dyDescent="0.25">
      <c r="A180" s="1" t="s">
        <v>190</v>
      </c>
      <c r="B180" s="1" t="s">
        <v>220</v>
      </c>
      <c r="C180" s="1" t="s">
        <v>57</v>
      </c>
      <c r="D180" s="1" t="str">
        <f>VLOOKUP(Clients_chun_clean[[#This Row],[Province_Client]],Master_Logs_reseau_registre!B180:F1251,2,0)</f>
        <v>ANT-0997</v>
      </c>
      <c r="E180" s="1" t="s">
        <v>1506</v>
      </c>
      <c r="F180" s="1" t="s">
        <v>1507</v>
      </c>
      <c r="G180" s="1" t="s">
        <v>808</v>
      </c>
      <c r="H180">
        <v>29</v>
      </c>
      <c r="I180">
        <v>2</v>
      </c>
      <c r="J180" s="1" t="s">
        <v>1704</v>
      </c>
      <c r="K180" s="1" t="s">
        <v>22</v>
      </c>
      <c r="L180">
        <v>416</v>
      </c>
      <c r="M180" s="4">
        <v>0.28888888888888886</v>
      </c>
      <c r="N180" s="10">
        <v>61.26</v>
      </c>
      <c r="O180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180" s="10">
        <f>Clients_chun_clean[[#This Row],[Facture_Mensuelle]]*Clients_chun_clean[[#This Row],[Remise]]</f>
        <v>27.567</v>
      </c>
      <c r="Q180">
        <v>0</v>
      </c>
    </row>
    <row r="181" spans="1:17" x14ac:dyDescent="0.25">
      <c r="A181" s="1" t="s">
        <v>190</v>
      </c>
      <c r="B181" s="1" t="s">
        <v>221</v>
      </c>
      <c r="C181" s="1" t="s">
        <v>62</v>
      </c>
      <c r="D181" s="1" t="str">
        <f>VLOOKUP(Clients_chun_clean[[#This Row],[Province_Client]],Master_Logs_reseau_registre!B181:F1252,2,0)</f>
        <v>ANT-0093</v>
      </c>
      <c r="E181" s="1" t="s">
        <v>1506</v>
      </c>
      <c r="F181" s="1" t="s">
        <v>1507</v>
      </c>
      <c r="G181" s="1" t="s">
        <v>808</v>
      </c>
      <c r="H181">
        <v>115</v>
      </c>
      <c r="I181">
        <v>9</v>
      </c>
      <c r="J181" s="1" t="s">
        <v>1704</v>
      </c>
      <c r="K181" s="1" t="s">
        <v>19</v>
      </c>
      <c r="L181">
        <v>236</v>
      </c>
      <c r="M181" s="4">
        <v>0.16388888888888889</v>
      </c>
      <c r="N181" s="10">
        <v>50.64</v>
      </c>
      <c r="O181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181" s="10">
        <f>Clients_chun_clean[[#This Row],[Facture_Mensuelle]]*Clients_chun_clean[[#This Row],[Remise]]</f>
        <v>0</v>
      </c>
      <c r="Q181">
        <v>1</v>
      </c>
    </row>
    <row r="182" spans="1:17" x14ac:dyDescent="0.25">
      <c r="A182" s="1" t="s">
        <v>190</v>
      </c>
      <c r="B182" s="1" t="s">
        <v>222</v>
      </c>
      <c r="C182" s="1" t="s">
        <v>16</v>
      </c>
      <c r="D182" s="1" t="str">
        <f>VLOOKUP(Clients_chun_clean[[#This Row],[Province_Client]],Master_Logs_reseau_registre!B182:F1253,2,0)</f>
        <v>ANT-0829</v>
      </c>
      <c r="E182" s="1" t="s">
        <v>1503</v>
      </c>
      <c r="F182" s="1" t="s">
        <v>1507</v>
      </c>
      <c r="G182" s="1" t="s">
        <v>808</v>
      </c>
      <c r="H182">
        <v>26</v>
      </c>
      <c r="I182">
        <v>2</v>
      </c>
      <c r="J182" s="1" t="s">
        <v>1704</v>
      </c>
      <c r="K182" s="1" t="s">
        <v>19</v>
      </c>
      <c r="L182">
        <v>174</v>
      </c>
      <c r="M182" s="4">
        <v>0.12083333333333333</v>
      </c>
      <c r="N182" s="10">
        <v>90.53</v>
      </c>
      <c r="O182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182" s="10">
        <f>Clients_chun_clean[[#This Row],[Facture_Mensuelle]]*Clients_chun_clean[[#This Row],[Remise]]</f>
        <v>0</v>
      </c>
      <c r="Q182">
        <v>3</v>
      </c>
    </row>
    <row r="183" spans="1:17" x14ac:dyDescent="0.25">
      <c r="A183" s="1" t="s">
        <v>190</v>
      </c>
      <c r="B183" s="1" t="s">
        <v>223</v>
      </c>
      <c r="C183" s="1" t="s">
        <v>24</v>
      </c>
      <c r="D183" s="1" t="str">
        <f>VLOOKUP(Clients_chun_clean[[#This Row],[Province_Client]],Master_Logs_reseau_registre!B183:F1254,2,0)</f>
        <v>ANT-0624</v>
      </c>
      <c r="E183" s="1" t="s">
        <v>1508</v>
      </c>
      <c r="F183" s="1" t="s">
        <v>1509</v>
      </c>
      <c r="G183" s="1" t="s">
        <v>811</v>
      </c>
      <c r="H183">
        <v>58</v>
      </c>
      <c r="I183">
        <v>4</v>
      </c>
      <c r="J183" s="1" t="s">
        <v>1704</v>
      </c>
      <c r="K183" s="1" t="s">
        <v>19</v>
      </c>
      <c r="L183">
        <v>405</v>
      </c>
      <c r="M183" s="4">
        <v>0.28125</v>
      </c>
      <c r="N183" s="10">
        <v>18.39</v>
      </c>
      <c r="O183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183" s="10">
        <f>Clients_chun_clean[[#This Row],[Facture_Mensuelle]]*Clients_chun_clean[[#This Row],[Remise]]</f>
        <v>8.275500000000001</v>
      </c>
      <c r="Q183">
        <v>0</v>
      </c>
    </row>
    <row r="184" spans="1:17" x14ac:dyDescent="0.25">
      <c r="A184" s="1" t="s">
        <v>190</v>
      </c>
      <c r="B184" s="1" t="s">
        <v>224</v>
      </c>
      <c r="C184" s="1" t="s">
        <v>67</v>
      </c>
      <c r="D184" s="1" t="str">
        <f>VLOOKUP(Clients_chun_clean[[#This Row],[Province_Client]],Master_Logs_reseau_registre!B184:F1255,2,0)</f>
        <v>ANT-0994</v>
      </c>
      <c r="E184" s="1" t="s">
        <v>1508</v>
      </c>
      <c r="F184" s="1" t="s">
        <v>1509</v>
      </c>
      <c r="G184" s="1" t="s">
        <v>811</v>
      </c>
      <c r="H184">
        <v>111</v>
      </c>
      <c r="I184">
        <v>9</v>
      </c>
      <c r="J184" s="1" t="s">
        <v>1704</v>
      </c>
      <c r="K184" s="1" t="s">
        <v>11</v>
      </c>
      <c r="L184">
        <v>43</v>
      </c>
      <c r="M184" s="4">
        <v>2.9861111111111113E-2</v>
      </c>
      <c r="N184" s="10">
        <v>19.39</v>
      </c>
      <c r="O184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184" s="10">
        <f>Clients_chun_clean[[#This Row],[Facture_Mensuelle]]*Clients_chun_clean[[#This Row],[Remise]]</f>
        <v>0</v>
      </c>
      <c r="Q184">
        <v>3</v>
      </c>
    </row>
    <row r="185" spans="1:17" x14ac:dyDescent="0.25">
      <c r="A185" s="1" t="s">
        <v>190</v>
      </c>
      <c r="B185" s="1" t="s">
        <v>225</v>
      </c>
      <c r="C185" s="1" t="s">
        <v>44</v>
      </c>
      <c r="D185" s="1" t="str">
        <f>VLOOKUP(Clients_chun_clean[[#This Row],[Province_Client]],Master_Logs_reseau_registre!B185:F1256,2,0)</f>
        <v>ANT-0002</v>
      </c>
      <c r="E185" s="1" t="s">
        <v>1506</v>
      </c>
      <c r="F185" s="1" t="s">
        <v>1507</v>
      </c>
      <c r="G185" s="1" t="s">
        <v>811</v>
      </c>
      <c r="H185">
        <v>31</v>
      </c>
      <c r="I185">
        <v>2</v>
      </c>
      <c r="J185" s="1" t="s">
        <v>1704</v>
      </c>
      <c r="K185" s="1" t="s">
        <v>19</v>
      </c>
      <c r="L185">
        <v>160</v>
      </c>
      <c r="M185" s="4">
        <v>0.1111111111111111</v>
      </c>
      <c r="N185" s="10">
        <v>59.76</v>
      </c>
      <c r="O185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185" s="10">
        <f>Clients_chun_clean[[#This Row],[Facture_Mensuelle]]*Clients_chun_clean[[#This Row],[Remise]]</f>
        <v>0</v>
      </c>
      <c r="Q185">
        <v>4</v>
      </c>
    </row>
    <row r="186" spans="1:17" x14ac:dyDescent="0.25">
      <c r="A186" s="1" t="s">
        <v>190</v>
      </c>
      <c r="B186" s="1" t="s">
        <v>226</v>
      </c>
      <c r="C186" s="1" t="s">
        <v>73</v>
      </c>
      <c r="D186" s="1" t="str">
        <f>VLOOKUP(Clients_chun_clean[[#This Row],[Province_Client]],Master_Logs_reseau_registre!B186:F1257,2,0)</f>
        <v>ANT-0180</v>
      </c>
      <c r="E186" s="1" t="s">
        <v>1503</v>
      </c>
      <c r="F186" s="1" t="s">
        <v>1507</v>
      </c>
      <c r="G186" s="1" t="s">
        <v>811</v>
      </c>
      <c r="H186">
        <v>51</v>
      </c>
      <c r="I186">
        <v>4</v>
      </c>
      <c r="J186" s="1" t="s">
        <v>1704</v>
      </c>
      <c r="K186" s="1" t="s">
        <v>22</v>
      </c>
      <c r="L186">
        <v>433</v>
      </c>
      <c r="M186" s="4">
        <v>0.30069444444444443</v>
      </c>
      <c r="N186" s="10">
        <v>12.89</v>
      </c>
      <c r="O186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186" s="10">
        <f>Clients_chun_clean[[#This Row],[Facture_Mensuelle]]*Clients_chun_clean[[#This Row],[Remise]]</f>
        <v>5.8005000000000004</v>
      </c>
      <c r="Q186">
        <v>1</v>
      </c>
    </row>
    <row r="187" spans="1:17" x14ac:dyDescent="0.25">
      <c r="A187" s="1" t="s">
        <v>190</v>
      </c>
      <c r="B187" s="1" t="s">
        <v>227</v>
      </c>
      <c r="C187" s="1" t="s">
        <v>89</v>
      </c>
      <c r="D187" s="1" t="str">
        <f>VLOOKUP(Clients_chun_clean[[#This Row],[Province_Client]],Master_Logs_reseau_registre!B187:F1258,2,0)</f>
        <v>ANT-0662</v>
      </c>
      <c r="E187" s="1" t="s">
        <v>1506</v>
      </c>
      <c r="F187" s="1" t="s">
        <v>1504</v>
      </c>
      <c r="G187" s="1" t="s">
        <v>808</v>
      </c>
      <c r="H187">
        <v>28</v>
      </c>
      <c r="I187">
        <v>2</v>
      </c>
      <c r="J187" s="1" t="s">
        <v>1704</v>
      </c>
      <c r="K187" s="1" t="s">
        <v>11</v>
      </c>
      <c r="L187">
        <v>96</v>
      </c>
      <c r="M187" s="4">
        <v>6.6666666666666666E-2</v>
      </c>
      <c r="N187" s="10">
        <v>72.010000000000005</v>
      </c>
      <c r="O187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187" s="10">
        <f>Clients_chun_clean[[#This Row],[Facture_Mensuelle]]*Clients_chun_clean[[#This Row],[Remise]]</f>
        <v>32.404500000000006</v>
      </c>
      <c r="Q187">
        <v>4</v>
      </c>
    </row>
    <row r="188" spans="1:17" x14ac:dyDescent="0.25">
      <c r="A188" s="1" t="s">
        <v>190</v>
      </c>
      <c r="B188" s="1" t="s">
        <v>228</v>
      </c>
      <c r="C188" s="1" t="s">
        <v>26</v>
      </c>
      <c r="D188" s="1" t="str">
        <f>VLOOKUP(Clients_chun_clean[[#This Row],[Province_Client]],Master_Logs_reseau_registre!B188:F1259,2,0)</f>
        <v>ANT-0775</v>
      </c>
      <c r="E188" s="1" t="s">
        <v>1508</v>
      </c>
      <c r="F188" s="1" t="s">
        <v>1516</v>
      </c>
      <c r="G188" s="1" t="s">
        <v>808</v>
      </c>
      <c r="H188">
        <v>40</v>
      </c>
      <c r="I188">
        <v>3</v>
      </c>
      <c r="J188" s="1" t="s">
        <v>1704</v>
      </c>
      <c r="K188" s="1" t="s">
        <v>22</v>
      </c>
      <c r="L188">
        <v>219</v>
      </c>
      <c r="M188" s="4">
        <v>0.15208333333333332</v>
      </c>
      <c r="N188" s="10">
        <v>53.98</v>
      </c>
      <c r="O188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188" s="10">
        <f>Clients_chun_clean[[#This Row],[Facture_Mensuelle]]*Clients_chun_clean[[#This Row],[Remise]]</f>
        <v>0</v>
      </c>
      <c r="Q188">
        <v>2</v>
      </c>
    </row>
    <row r="189" spans="1:17" x14ac:dyDescent="0.25">
      <c r="A189" s="1" t="s">
        <v>190</v>
      </c>
      <c r="B189" s="1" t="s">
        <v>229</v>
      </c>
      <c r="C189" s="1" t="s">
        <v>33</v>
      </c>
      <c r="D189" s="1" t="str">
        <f>VLOOKUP(Clients_chun_clean[[#This Row],[Province_Client]],Master_Logs_reseau_registre!B189:F1260,2,0)</f>
        <v>ANT-0527</v>
      </c>
      <c r="E189" s="1" t="s">
        <v>1506</v>
      </c>
      <c r="F189" s="1" t="s">
        <v>1504</v>
      </c>
      <c r="G189" s="1" t="s">
        <v>808</v>
      </c>
      <c r="H189">
        <v>55</v>
      </c>
      <c r="I189">
        <v>4</v>
      </c>
      <c r="J189" s="1" t="s">
        <v>1704</v>
      </c>
      <c r="K189" s="1" t="s">
        <v>11</v>
      </c>
      <c r="L189">
        <v>394</v>
      </c>
      <c r="M189" s="4">
        <v>0.27361111111111114</v>
      </c>
      <c r="N189" s="10">
        <v>26.8</v>
      </c>
      <c r="O189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189" s="10">
        <f>Clients_chun_clean[[#This Row],[Facture_Mensuelle]]*Clients_chun_clean[[#This Row],[Remise]]</f>
        <v>12.06</v>
      </c>
      <c r="Q189">
        <v>4</v>
      </c>
    </row>
    <row r="190" spans="1:17" x14ac:dyDescent="0.25">
      <c r="A190" s="1" t="s">
        <v>190</v>
      </c>
      <c r="B190" s="1" t="s">
        <v>230</v>
      </c>
      <c r="C190" s="1" t="s">
        <v>18</v>
      </c>
      <c r="D190" s="1" t="str">
        <f>VLOOKUP(Clients_chun_clean[[#This Row],[Province_Client]],Master_Logs_reseau_registre!B190:F1261,2,0)</f>
        <v>ANT-0371</v>
      </c>
      <c r="E190" s="1" t="s">
        <v>1506</v>
      </c>
      <c r="F190" s="1" t="s">
        <v>1504</v>
      </c>
      <c r="G190" s="1" t="s">
        <v>808</v>
      </c>
      <c r="H190">
        <v>114</v>
      </c>
      <c r="I190">
        <v>9</v>
      </c>
      <c r="J190" s="1" t="s">
        <v>1704</v>
      </c>
      <c r="K190" s="1" t="s">
        <v>11</v>
      </c>
      <c r="L190">
        <v>482</v>
      </c>
      <c r="M190" s="4">
        <v>0.3347222222222222</v>
      </c>
      <c r="N190" s="10">
        <v>16.25</v>
      </c>
      <c r="O190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190" s="10">
        <f>Clients_chun_clean[[#This Row],[Facture_Mensuelle]]*Clients_chun_clean[[#This Row],[Remise]]</f>
        <v>7.3125</v>
      </c>
      <c r="Q190">
        <v>3</v>
      </c>
    </row>
    <row r="191" spans="1:17" x14ac:dyDescent="0.25">
      <c r="A191" s="1" t="s">
        <v>190</v>
      </c>
      <c r="B191" s="1" t="s">
        <v>231</v>
      </c>
      <c r="C191" s="1" t="s">
        <v>40</v>
      </c>
      <c r="D191" s="1" t="str">
        <f>VLOOKUP(Clients_chun_clean[[#This Row],[Province_Client]],Master_Logs_reseau_registre!B191:F1262,2,0)</f>
        <v>ANT-0991</v>
      </c>
      <c r="E191" s="1" t="s">
        <v>1503</v>
      </c>
      <c r="F191" s="1" t="s">
        <v>1507</v>
      </c>
      <c r="G191" s="1" t="s">
        <v>811</v>
      </c>
      <c r="H191">
        <v>49</v>
      </c>
      <c r="I191">
        <v>4</v>
      </c>
      <c r="J191" s="1" t="s">
        <v>1704</v>
      </c>
      <c r="K191" s="1" t="s">
        <v>11</v>
      </c>
      <c r="L191">
        <v>357</v>
      </c>
      <c r="M191" s="4">
        <v>0.24791666666666667</v>
      </c>
      <c r="N191" s="10">
        <v>96.67</v>
      </c>
      <c r="O191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191" s="10">
        <f>Clients_chun_clean[[#This Row],[Facture_Mensuelle]]*Clients_chun_clean[[#This Row],[Remise]]</f>
        <v>43.5015</v>
      </c>
      <c r="Q191">
        <v>3</v>
      </c>
    </row>
    <row r="192" spans="1:17" x14ac:dyDescent="0.25">
      <c r="A192" s="1" t="s">
        <v>190</v>
      </c>
      <c r="B192" s="1" t="s">
        <v>232</v>
      </c>
      <c r="C192" s="1" t="s">
        <v>24</v>
      </c>
      <c r="D192" s="1" t="str">
        <f>VLOOKUP(Clients_chun_clean[[#This Row],[Province_Client]],Master_Logs_reseau_registre!B192:F1263,2,0)</f>
        <v>ANT-0624</v>
      </c>
      <c r="E192" s="1" t="s">
        <v>1508</v>
      </c>
      <c r="F192" s="1" t="s">
        <v>1509</v>
      </c>
      <c r="G192" s="1" t="s">
        <v>813</v>
      </c>
      <c r="H192">
        <v>74</v>
      </c>
      <c r="I192">
        <v>6</v>
      </c>
      <c r="J192" s="1" t="s">
        <v>1704</v>
      </c>
      <c r="K192" s="1" t="s">
        <v>11</v>
      </c>
      <c r="L192">
        <v>213</v>
      </c>
      <c r="M192" s="4">
        <v>0.14791666666666667</v>
      </c>
      <c r="N192" s="10">
        <v>35.54</v>
      </c>
      <c r="O192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192" s="10">
        <f>Clients_chun_clean[[#This Row],[Facture_Mensuelle]]*Clients_chun_clean[[#This Row],[Remise]]</f>
        <v>0</v>
      </c>
      <c r="Q192">
        <v>3</v>
      </c>
    </row>
    <row r="193" spans="1:17" x14ac:dyDescent="0.25">
      <c r="A193" s="1" t="s">
        <v>190</v>
      </c>
      <c r="B193" s="1" t="s">
        <v>233</v>
      </c>
      <c r="C193" s="1" t="s">
        <v>26</v>
      </c>
      <c r="D193" s="1" t="str">
        <f>VLOOKUP(Clients_chun_clean[[#This Row],[Province_Client]],Master_Logs_reseau_registre!B193:F1264,2,0)</f>
        <v>ANT-0775</v>
      </c>
      <c r="E193" s="1" t="s">
        <v>1508</v>
      </c>
      <c r="F193" s="1" t="s">
        <v>1509</v>
      </c>
      <c r="G193" s="1" t="s">
        <v>811</v>
      </c>
      <c r="H193">
        <v>21</v>
      </c>
      <c r="I193">
        <v>1</v>
      </c>
      <c r="J193" s="1" t="s">
        <v>1704</v>
      </c>
      <c r="K193" s="1" t="s">
        <v>22</v>
      </c>
      <c r="L193">
        <v>107</v>
      </c>
      <c r="M193" s="4">
        <v>7.4305555555555555E-2</v>
      </c>
      <c r="N193" s="10">
        <v>30.97</v>
      </c>
      <c r="O193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193" s="10">
        <f>Clients_chun_clean[[#This Row],[Facture_Mensuelle]]*Clients_chun_clean[[#This Row],[Remise]]</f>
        <v>0</v>
      </c>
      <c r="Q193">
        <v>4</v>
      </c>
    </row>
    <row r="194" spans="1:17" x14ac:dyDescent="0.25">
      <c r="A194" s="1" t="s">
        <v>190</v>
      </c>
      <c r="B194" s="1" t="s">
        <v>234</v>
      </c>
      <c r="C194" s="1" t="s">
        <v>24</v>
      </c>
      <c r="D194" s="1" t="str">
        <f>VLOOKUP(Clients_chun_clean[[#This Row],[Province_Client]],Master_Logs_reseau_registre!B194:F1265,2,0)</f>
        <v>ANT-0624</v>
      </c>
      <c r="E194" s="1" t="s">
        <v>1508</v>
      </c>
      <c r="F194" s="1" t="s">
        <v>1509</v>
      </c>
      <c r="G194" s="1" t="s">
        <v>811</v>
      </c>
      <c r="H194">
        <v>120</v>
      </c>
      <c r="I194">
        <v>10</v>
      </c>
      <c r="J194" s="1" t="s">
        <v>1704</v>
      </c>
      <c r="K194" s="1" t="s">
        <v>22</v>
      </c>
      <c r="L194">
        <v>224</v>
      </c>
      <c r="M194" s="4">
        <v>0.15555555555555556</v>
      </c>
      <c r="N194" s="10">
        <v>69.36</v>
      </c>
      <c r="O194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194" s="10">
        <f>Clients_chun_clean[[#This Row],[Facture_Mensuelle]]*Clients_chun_clean[[#This Row],[Remise]]</f>
        <v>0</v>
      </c>
      <c r="Q194">
        <v>0</v>
      </c>
    </row>
    <row r="195" spans="1:17" x14ac:dyDescent="0.25">
      <c r="A195" s="1" t="s">
        <v>190</v>
      </c>
      <c r="B195" s="1" t="s">
        <v>235</v>
      </c>
      <c r="C195" s="1" t="s">
        <v>13</v>
      </c>
      <c r="D195" s="1" t="str">
        <f>VLOOKUP(Clients_chun_clean[[#This Row],[Province_Client]],Master_Logs_reseau_registre!B195:F1266,2,0)</f>
        <v>ANT-0600</v>
      </c>
      <c r="E195" s="1" t="s">
        <v>1508</v>
      </c>
      <c r="F195" s="1" t="s">
        <v>1504</v>
      </c>
      <c r="G195" s="1" t="s">
        <v>813</v>
      </c>
      <c r="H195">
        <v>108</v>
      </c>
      <c r="I195">
        <v>9</v>
      </c>
      <c r="J195" s="1" t="s">
        <v>1704</v>
      </c>
      <c r="K195" s="1" t="s">
        <v>11</v>
      </c>
      <c r="L195">
        <v>230</v>
      </c>
      <c r="M195" s="4">
        <v>0.15972222222222221</v>
      </c>
      <c r="N195" s="10">
        <v>16.3</v>
      </c>
      <c r="O195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195" s="10">
        <f>Clients_chun_clean[[#This Row],[Facture_Mensuelle]]*Clients_chun_clean[[#This Row],[Remise]]</f>
        <v>0</v>
      </c>
      <c r="Q195">
        <v>5</v>
      </c>
    </row>
    <row r="196" spans="1:17" x14ac:dyDescent="0.25">
      <c r="A196" s="1" t="s">
        <v>190</v>
      </c>
      <c r="B196" s="1" t="s">
        <v>236</v>
      </c>
      <c r="C196" s="1" t="s">
        <v>31</v>
      </c>
      <c r="D196" s="1" t="str">
        <f>VLOOKUP(Clients_chun_clean[[#This Row],[Province_Client]],Master_Logs_reseau_registre!B196:F1267,2,0)</f>
        <v>ANT-0786</v>
      </c>
      <c r="E196" s="1" t="s">
        <v>1508</v>
      </c>
      <c r="F196" s="1" t="s">
        <v>1504</v>
      </c>
      <c r="G196" s="1" t="s">
        <v>813</v>
      </c>
      <c r="H196">
        <v>48</v>
      </c>
      <c r="I196">
        <v>4</v>
      </c>
      <c r="J196" s="1" t="s">
        <v>1704</v>
      </c>
      <c r="K196" s="1" t="s">
        <v>19</v>
      </c>
      <c r="L196">
        <v>436</v>
      </c>
      <c r="M196" s="4">
        <v>0.30277777777777776</v>
      </c>
      <c r="N196" s="10">
        <v>15.17</v>
      </c>
      <c r="O196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196" s="10">
        <f>Clients_chun_clean[[#This Row],[Facture_Mensuelle]]*Clients_chun_clean[[#This Row],[Remise]]</f>
        <v>6.8265000000000002</v>
      </c>
      <c r="Q196">
        <v>0</v>
      </c>
    </row>
    <row r="197" spans="1:17" x14ac:dyDescent="0.25">
      <c r="A197" s="1" t="s">
        <v>190</v>
      </c>
      <c r="B197" s="1" t="s">
        <v>237</v>
      </c>
      <c r="C197" s="1" t="s">
        <v>40</v>
      </c>
      <c r="D197" s="1" t="str">
        <f>VLOOKUP(Clients_chun_clean[[#This Row],[Province_Client]],Master_Logs_reseau_registre!B197:F1268,2,0)</f>
        <v>ANT-0991</v>
      </c>
      <c r="E197" s="1" t="s">
        <v>1503</v>
      </c>
      <c r="F197" s="1" t="s">
        <v>1507</v>
      </c>
      <c r="G197" s="1" t="s">
        <v>811</v>
      </c>
      <c r="H197">
        <v>33</v>
      </c>
      <c r="I197">
        <v>2</v>
      </c>
      <c r="J197" s="1" t="s">
        <v>1704</v>
      </c>
      <c r="K197" s="1" t="s">
        <v>11</v>
      </c>
      <c r="L197">
        <v>285</v>
      </c>
      <c r="M197" s="4">
        <v>0.19791666666666666</v>
      </c>
      <c r="N197" s="10">
        <v>56.67</v>
      </c>
      <c r="O197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197" s="10">
        <f>Clients_chun_clean[[#This Row],[Facture_Mensuelle]]*Clients_chun_clean[[#This Row],[Remise]]</f>
        <v>25.5015</v>
      </c>
      <c r="Q197">
        <v>2</v>
      </c>
    </row>
    <row r="198" spans="1:17" x14ac:dyDescent="0.25">
      <c r="A198" s="1" t="s">
        <v>190</v>
      </c>
      <c r="B198" s="1" t="s">
        <v>238</v>
      </c>
      <c r="C198" s="1" t="s">
        <v>29</v>
      </c>
      <c r="D198" s="1" t="str">
        <f>VLOOKUP(Clients_chun_clean[[#This Row],[Province_Client]],Master_Logs_reseau_registre!B198:F1269,2,0)</f>
        <v>ANT-0295</v>
      </c>
      <c r="E198" s="1" t="s">
        <v>1503</v>
      </c>
      <c r="F198" s="1" t="s">
        <v>1507</v>
      </c>
      <c r="G198" s="1" t="s">
        <v>811</v>
      </c>
      <c r="H198">
        <v>71</v>
      </c>
      <c r="I198">
        <v>5</v>
      </c>
      <c r="J198" s="1" t="s">
        <v>1704</v>
      </c>
      <c r="K198" s="1" t="s">
        <v>11</v>
      </c>
      <c r="L198">
        <v>15</v>
      </c>
      <c r="M198" s="4">
        <v>1.0416666666666666E-2</v>
      </c>
      <c r="N198" s="10">
        <v>25.46</v>
      </c>
      <c r="O198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198" s="10">
        <f>Clients_chun_clean[[#This Row],[Facture_Mensuelle]]*Clients_chun_clean[[#This Row],[Remise]]</f>
        <v>0</v>
      </c>
      <c r="Q198">
        <v>5</v>
      </c>
    </row>
    <row r="199" spans="1:17" x14ac:dyDescent="0.25">
      <c r="A199" s="1" t="s">
        <v>190</v>
      </c>
      <c r="B199" s="1" t="s">
        <v>239</v>
      </c>
      <c r="C199" s="1" t="s">
        <v>73</v>
      </c>
      <c r="D199" s="1" t="str">
        <f>VLOOKUP(Clients_chun_clean[[#This Row],[Province_Client]],Master_Logs_reseau_registre!B199:F1270,2,0)</f>
        <v>ANT-0180</v>
      </c>
      <c r="E199" s="1" t="s">
        <v>1503</v>
      </c>
      <c r="F199" s="1" t="s">
        <v>1507</v>
      </c>
      <c r="G199" s="1" t="s">
        <v>811</v>
      </c>
      <c r="H199">
        <v>11</v>
      </c>
      <c r="I199">
        <v>0</v>
      </c>
      <c r="J199" s="1" t="s">
        <v>1704</v>
      </c>
      <c r="K199" s="1" t="s">
        <v>11</v>
      </c>
      <c r="L199">
        <v>191</v>
      </c>
      <c r="M199" s="4">
        <v>0.13263888888888889</v>
      </c>
      <c r="N199" s="10">
        <v>87.37</v>
      </c>
      <c r="O199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199" s="10">
        <f>Clients_chun_clean[[#This Row],[Facture_Mensuelle]]*Clients_chun_clean[[#This Row],[Remise]]</f>
        <v>39.316500000000005</v>
      </c>
      <c r="Q199">
        <v>3</v>
      </c>
    </row>
    <row r="200" spans="1:17" x14ac:dyDescent="0.25">
      <c r="A200" s="1" t="s">
        <v>190</v>
      </c>
      <c r="B200" s="1" t="s">
        <v>240</v>
      </c>
      <c r="C200" s="1" t="s">
        <v>131</v>
      </c>
      <c r="D200" s="1" t="str">
        <f>VLOOKUP(Clients_chun_clean[[#This Row],[Province_Client]],Master_Logs_reseau_registre!B200:F1271,2,0)</f>
        <v>ANT-0563</v>
      </c>
      <c r="E200" s="1" t="s">
        <v>1508</v>
      </c>
      <c r="F200" s="1" t="s">
        <v>1507</v>
      </c>
      <c r="G200" s="1" t="s">
        <v>813</v>
      </c>
      <c r="H200">
        <v>18</v>
      </c>
      <c r="I200">
        <v>1</v>
      </c>
      <c r="J200" s="1" t="s">
        <v>1705</v>
      </c>
      <c r="K200" s="1" t="s">
        <v>14</v>
      </c>
      <c r="L200">
        <v>71</v>
      </c>
      <c r="M200" s="4">
        <v>4.9305555555555554E-2</v>
      </c>
      <c r="N200" s="10">
        <v>46.98</v>
      </c>
      <c r="O200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200" s="10">
        <f>Clients_chun_clean[[#This Row],[Facture_Mensuelle]]*Clients_chun_clean[[#This Row],[Remise]]</f>
        <v>4.6979999999999995</v>
      </c>
      <c r="Q200">
        <v>2</v>
      </c>
    </row>
    <row r="201" spans="1:17" x14ac:dyDescent="0.25">
      <c r="A201" s="1" t="s">
        <v>241</v>
      </c>
      <c r="B201" s="1" t="s">
        <v>242</v>
      </c>
      <c r="C201" s="1" t="s">
        <v>35</v>
      </c>
      <c r="D201" s="1" t="str">
        <f>VLOOKUP(Clients_chun_clean[[#This Row],[Province_Client]],Master_Logs_reseau_registre!B201:F1272,2,0)</f>
        <v>ANT-0995</v>
      </c>
      <c r="E201" s="1" t="s">
        <v>1508</v>
      </c>
      <c r="F201" s="1" t="s">
        <v>1507</v>
      </c>
      <c r="G201" s="1" t="s">
        <v>813</v>
      </c>
      <c r="H201">
        <v>27</v>
      </c>
      <c r="I201">
        <v>2</v>
      </c>
      <c r="J201" s="1" t="s">
        <v>1704</v>
      </c>
      <c r="K201" s="1" t="s">
        <v>11</v>
      </c>
      <c r="L201">
        <v>61</v>
      </c>
      <c r="M201" s="4">
        <v>4.2361111111111113E-2</v>
      </c>
      <c r="N201" s="10">
        <v>97.51</v>
      </c>
      <c r="O201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201" s="10">
        <f>Clients_chun_clean[[#This Row],[Facture_Mensuelle]]*Clients_chun_clean[[#This Row],[Remise]]</f>
        <v>43.8795</v>
      </c>
      <c r="Q201">
        <v>5</v>
      </c>
    </row>
    <row r="202" spans="1:17" x14ac:dyDescent="0.25">
      <c r="A202" s="1" t="s">
        <v>241</v>
      </c>
      <c r="B202" s="1" t="s">
        <v>243</v>
      </c>
      <c r="C202" s="1" t="s">
        <v>131</v>
      </c>
      <c r="D202" s="1" t="str">
        <f>VLOOKUP(Clients_chun_clean[[#This Row],[Province_Client]],Master_Logs_reseau_registre!B202:F1273,2,0)</f>
        <v>ANT-0563</v>
      </c>
      <c r="E202" s="1" t="s">
        <v>1508</v>
      </c>
      <c r="F202" s="1" t="s">
        <v>1507</v>
      </c>
      <c r="G202" s="1" t="s">
        <v>813</v>
      </c>
      <c r="H202">
        <v>65</v>
      </c>
      <c r="I202">
        <v>5</v>
      </c>
      <c r="J202" s="1" t="s">
        <v>1704</v>
      </c>
      <c r="K202" s="1" t="s">
        <v>19</v>
      </c>
      <c r="L202">
        <v>118</v>
      </c>
      <c r="M202" s="4">
        <v>8.1944444444444445E-2</v>
      </c>
      <c r="N202" s="10">
        <v>72.430000000000007</v>
      </c>
      <c r="O202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202" s="10">
        <f>Clients_chun_clean[[#This Row],[Facture_Mensuelle]]*Clients_chun_clean[[#This Row],[Remise]]</f>
        <v>0</v>
      </c>
      <c r="Q202">
        <v>1</v>
      </c>
    </row>
    <row r="203" spans="1:17" x14ac:dyDescent="0.25">
      <c r="A203" s="1" t="s">
        <v>241</v>
      </c>
      <c r="B203" s="1" t="s">
        <v>244</v>
      </c>
      <c r="C203" s="1" t="s">
        <v>31</v>
      </c>
      <c r="D203" s="1" t="str">
        <f>VLOOKUP(Clients_chun_clean[[#This Row],[Province_Client]],Master_Logs_reseau_registre!B203:F1274,2,0)</f>
        <v>ANT-0786</v>
      </c>
      <c r="E203" s="1" t="s">
        <v>1508</v>
      </c>
      <c r="F203" s="1" t="s">
        <v>1507</v>
      </c>
      <c r="G203" s="1" t="s">
        <v>813</v>
      </c>
      <c r="H203">
        <v>6</v>
      </c>
      <c r="I203">
        <v>0</v>
      </c>
      <c r="J203" s="1" t="s">
        <v>1705</v>
      </c>
      <c r="K203" s="1" t="s">
        <v>14</v>
      </c>
      <c r="L203">
        <v>109</v>
      </c>
      <c r="M203" s="4">
        <v>7.5694444444444439E-2</v>
      </c>
      <c r="N203" s="10">
        <v>39.880000000000003</v>
      </c>
      <c r="O203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203" s="10">
        <f>Clients_chun_clean[[#This Row],[Facture_Mensuelle]]*Clients_chun_clean[[#This Row],[Remise]]</f>
        <v>3.9880000000000004</v>
      </c>
      <c r="Q203">
        <v>4</v>
      </c>
    </row>
    <row r="204" spans="1:17" x14ac:dyDescent="0.25">
      <c r="A204" s="1" t="s">
        <v>241</v>
      </c>
      <c r="B204" s="1" t="s">
        <v>245</v>
      </c>
      <c r="C204" s="1" t="s">
        <v>24</v>
      </c>
      <c r="D204" s="1" t="str">
        <f>VLOOKUP(Clients_chun_clean[[#This Row],[Province_Client]],Master_Logs_reseau_registre!B204:F1275,2,0)</f>
        <v>ANT-0624</v>
      </c>
      <c r="E204" s="1" t="s">
        <v>1508</v>
      </c>
      <c r="F204" s="1" t="s">
        <v>1507</v>
      </c>
      <c r="G204" s="1" t="s">
        <v>813</v>
      </c>
      <c r="H204">
        <v>60</v>
      </c>
      <c r="I204">
        <v>5</v>
      </c>
      <c r="J204" s="1" t="s">
        <v>1704</v>
      </c>
      <c r="K204" s="1" t="s">
        <v>22</v>
      </c>
      <c r="L204">
        <v>54</v>
      </c>
      <c r="M204" s="4">
        <v>3.7499999999999999E-2</v>
      </c>
      <c r="N204" s="10">
        <v>67.180000000000007</v>
      </c>
      <c r="O204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204" s="10">
        <f>Clients_chun_clean[[#This Row],[Facture_Mensuelle]]*Clients_chun_clean[[#This Row],[Remise]]</f>
        <v>0</v>
      </c>
      <c r="Q204">
        <v>3</v>
      </c>
    </row>
    <row r="205" spans="1:17" x14ac:dyDescent="0.25">
      <c r="A205" s="1" t="s">
        <v>241</v>
      </c>
      <c r="B205" s="1" t="s">
        <v>246</v>
      </c>
      <c r="C205" s="1" t="s">
        <v>29</v>
      </c>
      <c r="D205" s="1" t="str">
        <f>VLOOKUP(Clients_chun_clean[[#This Row],[Province_Client]],Master_Logs_reseau_registre!B205:F1276,2,0)</f>
        <v>ANT-0295</v>
      </c>
      <c r="E205" s="1" t="s">
        <v>1503</v>
      </c>
      <c r="F205" s="1" t="s">
        <v>1507</v>
      </c>
      <c r="G205" s="1" t="s">
        <v>808</v>
      </c>
      <c r="H205">
        <v>4</v>
      </c>
      <c r="I205">
        <v>0</v>
      </c>
      <c r="J205" s="1" t="s">
        <v>1704</v>
      </c>
      <c r="K205" s="1" t="s">
        <v>19</v>
      </c>
      <c r="L205">
        <v>182</v>
      </c>
      <c r="M205" s="4">
        <v>0.12638888888888888</v>
      </c>
      <c r="N205" s="10">
        <v>89.56</v>
      </c>
      <c r="O205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205" s="10">
        <f>Clients_chun_clean[[#This Row],[Facture_Mensuelle]]*Clients_chun_clean[[#This Row],[Remise]]</f>
        <v>0</v>
      </c>
      <c r="Q205">
        <v>4</v>
      </c>
    </row>
    <row r="206" spans="1:17" x14ac:dyDescent="0.25">
      <c r="A206" s="1" t="s">
        <v>241</v>
      </c>
      <c r="B206" s="1" t="s">
        <v>247</v>
      </c>
      <c r="C206" s="1" t="s">
        <v>10</v>
      </c>
      <c r="D206" s="1" t="str">
        <f>VLOOKUP(Clients_chun_clean[[#This Row],[Province_Client]],Master_Logs_reseau_registre!B206:F1277,2,0)</f>
        <v>ANT-0821</v>
      </c>
      <c r="E206" s="1" t="s">
        <v>1503</v>
      </c>
      <c r="F206" s="1" t="s">
        <v>1507</v>
      </c>
      <c r="G206" s="1" t="s">
        <v>808</v>
      </c>
      <c r="H206">
        <v>10</v>
      </c>
      <c r="I206">
        <v>0</v>
      </c>
      <c r="J206" s="1" t="s">
        <v>1704</v>
      </c>
      <c r="K206" s="1" t="s">
        <v>19</v>
      </c>
      <c r="L206">
        <v>165</v>
      </c>
      <c r="M206" s="4">
        <v>0.11458333333333333</v>
      </c>
      <c r="N206" s="10">
        <v>38.619999999999997</v>
      </c>
      <c r="O206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206" s="10">
        <f>Clients_chun_clean[[#This Row],[Facture_Mensuelle]]*Clients_chun_clean[[#This Row],[Remise]]</f>
        <v>0</v>
      </c>
      <c r="Q206">
        <v>2</v>
      </c>
    </row>
    <row r="207" spans="1:17" x14ac:dyDescent="0.25">
      <c r="A207" s="1" t="s">
        <v>241</v>
      </c>
      <c r="B207" s="1" t="s">
        <v>248</v>
      </c>
      <c r="C207" s="1" t="s">
        <v>57</v>
      </c>
      <c r="D207" s="1" t="str">
        <f>VLOOKUP(Clients_chun_clean[[#This Row],[Province_Client]],Master_Logs_reseau_registre!B207:F1278,2,0)</f>
        <v>ANT-0997</v>
      </c>
      <c r="E207" s="1" t="s">
        <v>1506</v>
      </c>
      <c r="F207" s="1" t="s">
        <v>1507</v>
      </c>
      <c r="G207" s="1" t="s">
        <v>808</v>
      </c>
      <c r="H207">
        <v>82</v>
      </c>
      <c r="I207">
        <v>6</v>
      </c>
      <c r="J207" s="1" t="s">
        <v>1704</v>
      </c>
      <c r="K207" s="1" t="s">
        <v>11</v>
      </c>
      <c r="L207">
        <v>88</v>
      </c>
      <c r="M207" s="4">
        <v>6.1111111111111109E-2</v>
      </c>
      <c r="N207" s="10">
        <v>86.64</v>
      </c>
      <c r="O207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207" s="10">
        <f>Clients_chun_clean[[#This Row],[Facture_Mensuelle]]*Clients_chun_clean[[#This Row],[Remise]]</f>
        <v>0</v>
      </c>
      <c r="Q207">
        <v>1</v>
      </c>
    </row>
    <row r="208" spans="1:17" x14ac:dyDescent="0.25">
      <c r="A208" s="1" t="s">
        <v>241</v>
      </c>
      <c r="B208" s="1" t="s">
        <v>249</v>
      </c>
      <c r="C208" s="1" t="s">
        <v>29</v>
      </c>
      <c r="D208" s="1" t="str">
        <f>VLOOKUP(Clients_chun_clean[[#This Row],[Province_Client]],Master_Logs_reseau_registre!B208:F1279,2,0)</f>
        <v>ANT-0295</v>
      </c>
      <c r="E208" s="1" t="s">
        <v>1503</v>
      </c>
      <c r="F208" s="1" t="s">
        <v>1507</v>
      </c>
      <c r="G208" s="1" t="s">
        <v>808</v>
      </c>
      <c r="H208">
        <v>89</v>
      </c>
      <c r="I208">
        <v>7</v>
      </c>
      <c r="J208" s="1" t="s">
        <v>1704</v>
      </c>
      <c r="K208" s="1" t="s">
        <v>22</v>
      </c>
      <c r="L208">
        <v>7</v>
      </c>
      <c r="M208" s="4">
        <v>4.8611111111111112E-3</v>
      </c>
      <c r="N208" s="10">
        <v>53.39</v>
      </c>
      <c r="O208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208" s="10">
        <f>Clients_chun_clean[[#This Row],[Facture_Mensuelle]]*Clients_chun_clean[[#This Row],[Remise]]</f>
        <v>0</v>
      </c>
      <c r="Q208">
        <v>3</v>
      </c>
    </row>
    <row r="209" spans="1:17" x14ac:dyDescent="0.25">
      <c r="A209" s="1" t="s">
        <v>241</v>
      </c>
      <c r="B209" s="1" t="s">
        <v>250</v>
      </c>
      <c r="C209" s="1" t="s">
        <v>31</v>
      </c>
      <c r="D209" s="1" t="str">
        <f>VLOOKUP(Clients_chun_clean[[#This Row],[Province_Client]],Master_Logs_reseau_registre!B209:F1280,2,0)</f>
        <v>ANT-0786</v>
      </c>
      <c r="E209" s="1" t="s">
        <v>1508</v>
      </c>
      <c r="F209" s="1" t="s">
        <v>1509</v>
      </c>
      <c r="G209" s="1" t="s">
        <v>811</v>
      </c>
      <c r="H209">
        <v>87</v>
      </c>
      <c r="I209">
        <v>7</v>
      </c>
      <c r="J209" s="1" t="s">
        <v>1705</v>
      </c>
      <c r="K209" s="1" t="s">
        <v>14</v>
      </c>
      <c r="L209">
        <v>205</v>
      </c>
      <c r="M209" s="4">
        <v>0.1423611111111111</v>
      </c>
      <c r="N209" s="10">
        <v>40.159999999999997</v>
      </c>
      <c r="O209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209" s="10">
        <f>Clients_chun_clean[[#This Row],[Facture_Mensuelle]]*Clients_chun_clean[[#This Row],[Remise]]</f>
        <v>4.016</v>
      </c>
      <c r="Q209">
        <v>5</v>
      </c>
    </row>
    <row r="210" spans="1:17" x14ac:dyDescent="0.25">
      <c r="A210" s="1" t="s">
        <v>241</v>
      </c>
      <c r="B210" s="1" t="s">
        <v>251</v>
      </c>
      <c r="C210" s="1" t="s">
        <v>18</v>
      </c>
      <c r="D210" s="1" t="str">
        <f>VLOOKUP(Clients_chun_clean[[#This Row],[Province_Client]],Master_Logs_reseau_registre!B210:F1281,2,0)</f>
        <v>ANT-0035</v>
      </c>
      <c r="E210" s="1" t="s">
        <v>1506</v>
      </c>
      <c r="F210" s="1" t="s">
        <v>1507</v>
      </c>
      <c r="G210" s="1" t="s">
        <v>808</v>
      </c>
      <c r="H210">
        <v>96</v>
      </c>
      <c r="I210">
        <v>8</v>
      </c>
      <c r="J210" s="1" t="s">
        <v>1704</v>
      </c>
      <c r="K210" s="1" t="s">
        <v>11</v>
      </c>
      <c r="L210">
        <v>334</v>
      </c>
      <c r="M210" s="4">
        <v>0.23194444444444445</v>
      </c>
      <c r="N210" s="10">
        <v>64.77</v>
      </c>
      <c r="O210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210" s="10">
        <f>Clients_chun_clean[[#This Row],[Facture_Mensuelle]]*Clients_chun_clean[[#This Row],[Remise]]</f>
        <v>29.1465</v>
      </c>
      <c r="Q210">
        <v>0</v>
      </c>
    </row>
    <row r="211" spans="1:17" x14ac:dyDescent="0.25">
      <c r="A211" s="1" t="s">
        <v>241</v>
      </c>
      <c r="B211" s="1" t="s">
        <v>252</v>
      </c>
      <c r="C211" s="1" t="s">
        <v>10</v>
      </c>
      <c r="D211" s="1" t="str">
        <f>VLOOKUP(Clients_chun_clean[[#This Row],[Province_Client]],Master_Logs_reseau_registre!B211:F1282,2,0)</f>
        <v>ANT-0821</v>
      </c>
      <c r="E211" s="1" t="s">
        <v>1503</v>
      </c>
      <c r="F211" s="1" t="s">
        <v>1516</v>
      </c>
      <c r="G211" s="1" t="s">
        <v>808</v>
      </c>
      <c r="H211">
        <v>60</v>
      </c>
      <c r="I211">
        <v>5</v>
      </c>
      <c r="J211" s="1" t="s">
        <v>1704</v>
      </c>
      <c r="K211" s="1" t="s">
        <v>22</v>
      </c>
      <c r="L211">
        <v>161</v>
      </c>
      <c r="M211" s="4">
        <v>0.11180555555555556</v>
      </c>
      <c r="N211" s="10">
        <v>62.65</v>
      </c>
      <c r="O211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211" s="10">
        <f>Clients_chun_clean[[#This Row],[Facture_Mensuelle]]*Clients_chun_clean[[#This Row],[Remise]]</f>
        <v>0</v>
      </c>
      <c r="Q211">
        <v>0</v>
      </c>
    </row>
    <row r="212" spans="1:17" x14ac:dyDescent="0.25">
      <c r="A212" s="1" t="s">
        <v>241</v>
      </c>
      <c r="B212" s="1" t="s">
        <v>253</v>
      </c>
      <c r="C212" s="1" t="s">
        <v>127</v>
      </c>
      <c r="D212" s="1" t="str">
        <f>VLOOKUP(Clients_chun_clean[[#This Row],[Province_Client]],Master_Logs_reseau_registre!B212:F1283,2,0)</f>
        <v>ANT-0503</v>
      </c>
      <c r="E212" s="1" t="s">
        <v>1508</v>
      </c>
      <c r="F212" s="1" t="s">
        <v>1509</v>
      </c>
      <c r="G212" s="1" t="s">
        <v>811</v>
      </c>
      <c r="H212">
        <v>49</v>
      </c>
      <c r="I212">
        <v>4</v>
      </c>
      <c r="J212" s="1" t="s">
        <v>1704</v>
      </c>
      <c r="K212" s="1" t="s">
        <v>22</v>
      </c>
      <c r="L212">
        <v>6</v>
      </c>
      <c r="M212" s="4">
        <v>4.1666666666666666E-3</v>
      </c>
      <c r="N212" s="10">
        <v>44.41</v>
      </c>
      <c r="O212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212" s="10">
        <f>Clients_chun_clean[[#This Row],[Facture_Mensuelle]]*Clients_chun_clean[[#This Row],[Remise]]</f>
        <v>0</v>
      </c>
      <c r="Q212">
        <v>3</v>
      </c>
    </row>
    <row r="213" spans="1:17" x14ac:dyDescent="0.25">
      <c r="A213" s="1" t="s">
        <v>241</v>
      </c>
      <c r="B213" s="1" t="s">
        <v>254</v>
      </c>
      <c r="C213" s="1" t="s">
        <v>131</v>
      </c>
      <c r="D213" s="1" t="str">
        <f>VLOOKUP(Clients_chun_clean[[#This Row],[Province_Client]],Master_Logs_reseau_registre!B213:F1284,2,0)</f>
        <v>ANT-0553</v>
      </c>
      <c r="E213" s="1" t="s">
        <v>1506</v>
      </c>
      <c r="F213" s="1" t="s">
        <v>1507</v>
      </c>
      <c r="G213" s="1" t="s">
        <v>813</v>
      </c>
      <c r="H213">
        <v>44</v>
      </c>
      <c r="I213">
        <v>3</v>
      </c>
      <c r="J213" s="1" t="s">
        <v>1704</v>
      </c>
      <c r="K213" s="1" t="s">
        <v>19</v>
      </c>
      <c r="L213">
        <v>199</v>
      </c>
      <c r="M213" s="4">
        <v>0.13819444444444445</v>
      </c>
      <c r="N213" s="10">
        <v>67.650000000000006</v>
      </c>
      <c r="O213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213" s="10">
        <f>Clients_chun_clean[[#This Row],[Facture_Mensuelle]]*Clients_chun_clean[[#This Row],[Remise]]</f>
        <v>0</v>
      </c>
      <c r="Q213">
        <v>0</v>
      </c>
    </row>
    <row r="214" spans="1:17" x14ac:dyDescent="0.25">
      <c r="A214" s="1" t="s">
        <v>241</v>
      </c>
      <c r="B214" s="1" t="s">
        <v>255</v>
      </c>
      <c r="C214" s="1" t="s">
        <v>13</v>
      </c>
      <c r="D214" s="1" t="str">
        <f>VLOOKUP(Clients_chun_clean[[#This Row],[Province_Client]],Master_Logs_reseau_registre!B214:F1285,2,0)</f>
        <v>ANT-0600</v>
      </c>
      <c r="E214" s="1" t="s">
        <v>1508</v>
      </c>
      <c r="F214" s="1" t="s">
        <v>1504</v>
      </c>
      <c r="G214" s="1" t="s">
        <v>813</v>
      </c>
      <c r="H214">
        <v>96</v>
      </c>
      <c r="I214">
        <v>8</v>
      </c>
      <c r="J214" s="1" t="s">
        <v>1704</v>
      </c>
      <c r="K214" s="1" t="s">
        <v>22</v>
      </c>
      <c r="L214">
        <v>108</v>
      </c>
      <c r="M214" s="4">
        <v>7.4999999999999997E-2</v>
      </c>
      <c r="N214" s="10">
        <v>30.92</v>
      </c>
      <c r="O214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214" s="10">
        <f>Clients_chun_clean[[#This Row],[Facture_Mensuelle]]*Clients_chun_clean[[#This Row],[Remise]]</f>
        <v>0</v>
      </c>
      <c r="Q214">
        <v>1</v>
      </c>
    </row>
    <row r="215" spans="1:17" x14ac:dyDescent="0.25">
      <c r="A215" s="1" t="s">
        <v>241</v>
      </c>
      <c r="B215" s="1" t="s">
        <v>256</v>
      </c>
      <c r="C215" s="1" t="s">
        <v>29</v>
      </c>
      <c r="D215" s="1" t="str">
        <f>VLOOKUP(Clients_chun_clean[[#This Row],[Province_Client]],Master_Logs_reseau_registre!B215:F1286,2,0)</f>
        <v>ANT-0295</v>
      </c>
      <c r="E215" s="1" t="s">
        <v>1503</v>
      </c>
      <c r="F215" s="1" t="s">
        <v>1516</v>
      </c>
      <c r="G215" s="1" t="s">
        <v>808</v>
      </c>
      <c r="H215">
        <v>52</v>
      </c>
      <c r="I215">
        <v>4</v>
      </c>
      <c r="J215" s="1" t="s">
        <v>1705</v>
      </c>
      <c r="K215" s="1" t="s">
        <v>14</v>
      </c>
      <c r="L215">
        <v>234</v>
      </c>
      <c r="M215" s="4">
        <v>0.16250000000000001</v>
      </c>
      <c r="N215" s="10">
        <v>62.87</v>
      </c>
      <c r="O215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215" s="10">
        <f>Clients_chun_clean[[#This Row],[Facture_Mensuelle]]*Clients_chun_clean[[#This Row],[Remise]]</f>
        <v>6.2869999999999999</v>
      </c>
      <c r="Q215">
        <v>0</v>
      </c>
    </row>
    <row r="216" spans="1:17" x14ac:dyDescent="0.25">
      <c r="A216" s="1" t="s">
        <v>241</v>
      </c>
      <c r="B216" s="1" t="s">
        <v>257</v>
      </c>
      <c r="C216" s="1" t="s">
        <v>37</v>
      </c>
      <c r="D216" s="1" t="str">
        <f>VLOOKUP(Clients_chun_clean[[#This Row],[Province_Client]],Master_Logs_reseau_registre!B216:F1287,2,0)</f>
        <v>ANT-0514</v>
      </c>
      <c r="E216" s="1" t="s">
        <v>1503</v>
      </c>
      <c r="F216" s="1" t="s">
        <v>1507</v>
      </c>
      <c r="G216" s="1" t="s">
        <v>813</v>
      </c>
      <c r="H216">
        <v>110</v>
      </c>
      <c r="I216">
        <v>9</v>
      </c>
      <c r="J216" s="1" t="s">
        <v>1704</v>
      </c>
      <c r="K216" s="1" t="s">
        <v>19</v>
      </c>
      <c r="L216">
        <v>112</v>
      </c>
      <c r="M216" s="4">
        <v>7.7777777777777779E-2</v>
      </c>
      <c r="N216" s="10">
        <v>98.95</v>
      </c>
      <c r="O216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216" s="10">
        <f>Clients_chun_clean[[#This Row],[Facture_Mensuelle]]*Clients_chun_clean[[#This Row],[Remise]]</f>
        <v>0</v>
      </c>
      <c r="Q216">
        <v>5</v>
      </c>
    </row>
    <row r="217" spans="1:17" x14ac:dyDescent="0.25">
      <c r="A217" s="1" t="s">
        <v>241</v>
      </c>
      <c r="B217" s="1" t="s">
        <v>258</v>
      </c>
      <c r="C217" s="1" t="s">
        <v>89</v>
      </c>
      <c r="D217" s="1" t="str">
        <f>VLOOKUP(Clients_chun_clean[[#This Row],[Province_Client]],Master_Logs_reseau_registre!B217:F1288,2,0)</f>
        <v>ANT-0662</v>
      </c>
      <c r="E217" s="1" t="s">
        <v>1506</v>
      </c>
      <c r="F217" s="1" t="s">
        <v>1507</v>
      </c>
      <c r="G217" s="1" t="s">
        <v>813</v>
      </c>
      <c r="H217">
        <v>25</v>
      </c>
      <c r="I217">
        <v>2</v>
      </c>
      <c r="J217" s="1" t="s">
        <v>1704</v>
      </c>
      <c r="K217" s="1" t="s">
        <v>19</v>
      </c>
      <c r="L217">
        <v>33</v>
      </c>
      <c r="M217" s="4">
        <v>2.2916666666666665E-2</v>
      </c>
      <c r="N217" s="10">
        <v>30.93</v>
      </c>
      <c r="O217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217" s="10">
        <f>Clients_chun_clean[[#This Row],[Facture_Mensuelle]]*Clients_chun_clean[[#This Row],[Remise]]</f>
        <v>0</v>
      </c>
      <c r="Q217">
        <v>1</v>
      </c>
    </row>
    <row r="218" spans="1:17" x14ac:dyDescent="0.25">
      <c r="A218" s="1" t="s">
        <v>241</v>
      </c>
      <c r="B218" s="1" t="s">
        <v>259</v>
      </c>
      <c r="C218" s="1" t="s">
        <v>51</v>
      </c>
      <c r="D218" s="1" t="str">
        <f>VLOOKUP(Clients_chun_clean[[#This Row],[Province_Client]],Master_Logs_reseau_registre!B218:F1289,2,0)</f>
        <v>ANT-0458</v>
      </c>
      <c r="E218" s="1" t="s">
        <v>1508</v>
      </c>
      <c r="F218" s="1" t="s">
        <v>1516</v>
      </c>
      <c r="G218" s="1" t="s">
        <v>813</v>
      </c>
      <c r="H218">
        <v>51</v>
      </c>
      <c r="I218">
        <v>4</v>
      </c>
      <c r="J218" s="1" t="s">
        <v>1705</v>
      </c>
      <c r="K218" s="1" t="s">
        <v>14</v>
      </c>
      <c r="L218">
        <v>336</v>
      </c>
      <c r="M218" s="4">
        <v>0.23333333333333334</v>
      </c>
      <c r="N218" s="10">
        <v>65.47</v>
      </c>
      <c r="O218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218" s="10">
        <f>Clients_chun_clean[[#This Row],[Facture_Mensuelle]]*Clients_chun_clean[[#This Row],[Remise]]</f>
        <v>29.461500000000001</v>
      </c>
      <c r="Q218">
        <v>1</v>
      </c>
    </row>
    <row r="219" spans="1:17" x14ac:dyDescent="0.25">
      <c r="A219" s="1" t="s">
        <v>241</v>
      </c>
      <c r="B219" s="1" t="s">
        <v>260</v>
      </c>
      <c r="C219" s="1" t="s">
        <v>131</v>
      </c>
      <c r="D219" s="1" t="str">
        <f>VLOOKUP(Clients_chun_clean[[#This Row],[Province_Client]],Master_Logs_reseau_registre!B219:F1290,2,0)</f>
        <v>ANT-0553</v>
      </c>
      <c r="E219" s="1" t="s">
        <v>1506</v>
      </c>
      <c r="F219" s="1" t="s">
        <v>1507</v>
      </c>
      <c r="G219" s="1" t="s">
        <v>813</v>
      </c>
      <c r="H219">
        <v>5</v>
      </c>
      <c r="I219">
        <v>0</v>
      </c>
      <c r="J219" s="1" t="s">
        <v>1704</v>
      </c>
      <c r="K219" s="1" t="s">
        <v>11</v>
      </c>
      <c r="L219">
        <v>417</v>
      </c>
      <c r="M219" s="4">
        <v>0.28958333333333336</v>
      </c>
      <c r="N219" s="10">
        <v>90.71</v>
      </c>
      <c r="O219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219" s="10">
        <f>Clients_chun_clean[[#This Row],[Facture_Mensuelle]]*Clients_chun_clean[[#This Row],[Remise]]</f>
        <v>40.819499999999998</v>
      </c>
      <c r="Q219">
        <v>1</v>
      </c>
    </row>
    <row r="220" spans="1:17" x14ac:dyDescent="0.25">
      <c r="A220" s="1" t="s">
        <v>241</v>
      </c>
      <c r="B220" s="1" t="s">
        <v>261</v>
      </c>
      <c r="C220" s="1" t="s">
        <v>37</v>
      </c>
      <c r="D220" s="1" t="str">
        <f>VLOOKUP(Clients_chun_clean[[#This Row],[Province_Client]],Master_Logs_reseau_registre!B220:F1291,2,0)</f>
        <v>ANT-0514</v>
      </c>
      <c r="E220" s="1" t="s">
        <v>1503</v>
      </c>
      <c r="F220" s="1" t="s">
        <v>1507</v>
      </c>
      <c r="G220" s="1" t="s">
        <v>813</v>
      </c>
      <c r="H220">
        <v>2</v>
      </c>
      <c r="I220">
        <v>0</v>
      </c>
      <c r="J220" s="1" t="s">
        <v>1705</v>
      </c>
      <c r="K220" s="1" t="s">
        <v>14</v>
      </c>
      <c r="L220">
        <v>142</v>
      </c>
      <c r="M220" s="4">
        <v>9.8611111111111108E-2</v>
      </c>
      <c r="N220" s="10">
        <v>37.799999999999997</v>
      </c>
      <c r="O220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220" s="10">
        <f>Clients_chun_clean[[#This Row],[Facture_Mensuelle]]*Clients_chun_clean[[#This Row],[Remise]]</f>
        <v>3.78</v>
      </c>
      <c r="Q220">
        <v>0</v>
      </c>
    </row>
    <row r="221" spans="1:17" x14ac:dyDescent="0.25">
      <c r="A221" s="1" t="s">
        <v>241</v>
      </c>
      <c r="B221" s="1" t="s">
        <v>262</v>
      </c>
      <c r="C221" s="1" t="s">
        <v>62</v>
      </c>
      <c r="D221" s="1" t="str">
        <f>VLOOKUP(Clients_chun_clean[[#This Row],[Province_Client]],Master_Logs_reseau_registre!B221:F1292,2,0)</f>
        <v>ANT-0093</v>
      </c>
      <c r="E221" s="1" t="s">
        <v>1506</v>
      </c>
      <c r="F221" s="1" t="s">
        <v>1507</v>
      </c>
      <c r="G221" s="1" t="s">
        <v>813</v>
      </c>
      <c r="H221">
        <v>33</v>
      </c>
      <c r="I221">
        <v>2</v>
      </c>
      <c r="J221" s="1" t="s">
        <v>1704</v>
      </c>
      <c r="K221" s="1" t="s">
        <v>19</v>
      </c>
      <c r="L221">
        <v>332</v>
      </c>
      <c r="M221" s="4">
        <v>0.23055555555555557</v>
      </c>
      <c r="N221" s="10">
        <v>76.41</v>
      </c>
      <c r="O221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221" s="10">
        <f>Clients_chun_clean[[#This Row],[Facture_Mensuelle]]*Clients_chun_clean[[#This Row],[Remise]]</f>
        <v>34.384500000000003</v>
      </c>
      <c r="Q221">
        <v>1</v>
      </c>
    </row>
    <row r="222" spans="1:17" x14ac:dyDescent="0.25">
      <c r="A222" s="1" t="s">
        <v>241</v>
      </c>
      <c r="B222" s="1" t="s">
        <v>263</v>
      </c>
      <c r="C222" s="1" t="s">
        <v>57</v>
      </c>
      <c r="D222" s="1" t="str">
        <f>VLOOKUP(Clients_chun_clean[[#This Row],[Province_Client]],Master_Logs_reseau_registre!B222:F1293,2,0)</f>
        <v>ANT-0997</v>
      </c>
      <c r="E222" s="1" t="s">
        <v>1506</v>
      </c>
      <c r="F222" s="1" t="s">
        <v>1507</v>
      </c>
      <c r="G222" s="1" t="s">
        <v>813</v>
      </c>
      <c r="H222">
        <v>15</v>
      </c>
      <c r="I222">
        <v>1</v>
      </c>
      <c r="J222" s="1" t="s">
        <v>1704</v>
      </c>
      <c r="K222" s="1" t="s">
        <v>19</v>
      </c>
      <c r="L222">
        <v>319</v>
      </c>
      <c r="M222" s="4">
        <v>0.22152777777777777</v>
      </c>
      <c r="N222" s="10">
        <v>78.150000000000006</v>
      </c>
      <c r="O222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222" s="10">
        <f>Clients_chun_clean[[#This Row],[Facture_Mensuelle]]*Clients_chun_clean[[#This Row],[Remise]]</f>
        <v>35.167500000000004</v>
      </c>
      <c r="Q222">
        <v>4</v>
      </c>
    </row>
    <row r="223" spans="1:17" x14ac:dyDescent="0.25">
      <c r="A223" s="1" t="s">
        <v>241</v>
      </c>
      <c r="B223" s="1" t="s">
        <v>264</v>
      </c>
      <c r="C223" s="1" t="s">
        <v>29</v>
      </c>
      <c r="D223" s="1" t="str">
        <f>VLOOKUP(Clients_chun_clean[[#This Row],[Province_Client]],Master_Logs_reseau_registre!B223:F1294,2,0)</f>
        <v>ANT-0936</v>
      </c>
      <c r="E223" s="1" t="s">
        <v>1503</v>
      </c>
      <c r="F223" s="1" t="s">
        <v>1507</v>
      </c>
      <c r="G223" s="1" t="s">
        <v>811</v>
      </c>
      <c r="H223">
        <v>91</v>
      </c>
      <c r="I223">
        <v>7</v>
      </c>
      <c r="J223" s="1" t="s">
        <v>1704</v>
      </c>
      <c r="K223" s="1" t="s">
        <v>19</v>
      </c>
      <c r="L223">
        <v>188</v>
      </c>
      <c r="M223" s="4">
        <v>0.13055555555555556</v>
      </c>
      <c r="N223" s="10">
        <v>65.78</v>
      </c>
      <c r="O223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223" s="10">
        <f>Clients_chun_clean[[#This Row],[Facture_Mensuelle]]*Clients_chun_clean[[#This Row],[Remise]]</f>
        <v>0</v>
      </c>
      <c r="Q223">
        <v>4</v>
      </c>
    </row>
    <row r="224" spans="1:17" x14ac:dyDescent="0.25">
      <c r="A224" s="1" t="s">
        <v>241</v>
      </c>
      <c r="B224" s="1" t="s">
        <v>265</v>
      </c>
      <c r="C224" s="1" t="s">
        <v>67</v>
      </c>
      <c r="D224" s="1" t="str">
        <f>VLOOKUP(Clients_chun_clean[[#This Row],[Province_Client]],Master_Logs_reseau_registre!B224:F1295,2,0)</f>
        <v>ANT-0032</v>
      </c>
      <c r="E224" s="1" t="s">
        <v>1508</v>
      </c>
      <c r="F224" s="1" t="s">
        <v>1504</v>
      </c>
      <c r="G224" s="1" t="s">
        <v>813</v>
      </c>
      <c r="H224">
        <v>118</v>
      </c>
      <c r="I224">
        <v>9</v>
      </c>
      <c r="J224" s="1" t="s">
        <v>1705</v>
      </c>
      <c r="K224" s="1" t="s">
        <v>14</v>
      </c>
      <c r="L224">
        <v>22</v>
      </c>
      <c r="M224" s="4">
        <v>1.5277777777777777E-2</v>
      </c>
      <c r="N224" s="10">
        <v>15.39</v>
      </c>
      <c r="O224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224" s="10">
        <f>Clients_chun_clean[[#This Row],[Facture_Mensuelle]]*Clients_chun_clean[[#This Row],[Remise]]</f>
        <v>1.5390000000000001</v>
      </c>
      <c r="Q224">
        <v>1</v>
      </c>
    </row>
    <row r="225" spans="1:17" x14ac:dyDescent="0.25">
      <c r="A225" s="1" t="s">
        <v>241</v>
      </c>
      <c r="B225" s="1" t="s">
        <v>266</v>
      </c>
      <c r="C225" s="1" t="s">
        <v>16</v>
      </c>
      <c r="D225" s="1" t="str">
        <f>VLOOKUP(Clients_chun_clean[[#This Row],[Province_Client]],Master_Logs_reseau_registre!B225:F1296,2,0)</f>
        <v>ANT-0829</v>
      </c>
      <c r="E225" s="1" t="s">
        <v>1503</v>
      </c>
      <c r="F225" s="1" t="s">
        <v>1507</v>
      </c>
      <c r="G225" s="1" t="s">
        <v>811</v>
      </c>
      <c r="H225">
        <v>18</v>
      </c>
      <c r="I225">
        <v>1</v>
      </c>
      <c r="J225" s="1" t="s">
        <v>1704</v>
      </c>
      <c r="K225" s="1" t="s">
        <v>22</v>
      </c>
      <c r="L225">
        <v>34</v>
      </c>
      <c r="M225" s="4">
        <v>2.361111111111111E-2</v>
      </c>
      <c r="N225" s="10">
        <v>43.71</v>
      </c>
      <c r="O225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225" s="10">
        <f>Clients_chun_clean[[#This Row],[Facture_Mensuelle]]*Clients_chun_clean[[#This Row],[Remise]]</f>
        <v>0</v>
      </c>
      <c r="Q225">
        <v>1</v>
      </c>
    </row>
    <row r="226" spans="1:17" x14ac:dyDescent="0.25">
      <c r="A226" s="1" t="s">
        <v>241</v>
      </c>
      <c r="B226" s="1" t="s">
        <v>267</v>
      </c>
      <c r="C226" s="1" t="s">
        <v>60</v>
      </c>
      <c r="D226" s="1" t="str">
        <f>VLOOKUP(Clients_chun_clean[[#This Row],[Province_Client]],Master_Logs_reseau_registre!B226:F1297,2,0)</f>
        <v>ANT-0870</v>
      </c>
      <c r="E226" s="1" t="s">
        <v>1506</v>
      </c>
      <c r="F226" s="1" t="s">
        <v>1507</v>
      </c>
      <c r="G226" s="1" t="s">
        <v>811</v>
      </c>
      <c r="H226">
        <v>42</v>
      </c>
      <c r="I226">
        <v>3</v>
      </c>
      <c r="J226" s="1" t="s">
        <v>1704</v>
      </c>
      <c r="K226" s="1" t="s">
        <v>22</v>
      </c>
      <c r="L226">
        <v>453</v>
      </c>
      <c r="M226" s="4">
        <v>0.31458333333333333</v>
      </c>
      <c r="N226" s="10">
        <v>36.700000000000003</v>
      </c>
      <c r="O226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226" s="10">
        <f>Clients_chun_clean[[#This Row],[Facture_Mensuelle]]*Clients_chun_clean[[#This Row],[Remise]]</f>
        <v>16.515000000000001</v>
      </c>
      <c r="Q226">
        <v>4</v>
      </c>
    </row>
    <row r="227" spans="1:17" x14ac:dyDescent="0.25">
      <c r="A227" s="1" t="s">
        <v>241</v>
      </c>
      <c r="B227" s="1" t="s">
        <v>268</v>
      </c>
      <c r="C227" s="1" t="s">
        <v>35</v>
      </c>
      <c r="D227" s="1" t="str">
        <f>VLOOKUP(Clients_chun_clean[[#This Row],[Province_Client]],Master_Logs_reseau_registre!B227:F1298,2,0)</f>
        <v>ANT-0995</v>
      </c>
      <c r="E227" s="1" t="s">
        <v>1508</v>
      </c>
      <c r="F227" s="1" t="s">
        <v>1504</v>
      </c>
      <c r="G227" s="1" t="s">
        <v>811</v>
      </c>
      <c r="H227">
        <v>86</v>
      </c>
      <c r="I227">
        <v>7</v>
      </c>
      <c r="J227" s="1" t="s">
        <v>1704</v>
      </c>
      <c r="K227" s="1" t="s">
        <v>11</v>
      </c>
      <c r="L227">
        <v>111</v>
      </c>
      <c r="M227" s="4">
        <v>7.7083333333333337E-2</v>
      </c>
      <c r="N227" s="10">
        <v>23.65</v>
      </c>
      <c r="O227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227" s="10">
        <f>Clients_chun_clean[[#This Row],[Facture_Mensuelle]]*Clients_chun_clean[[#This Row],[Remise]]</f>
        <v>0</v>
      </c>
      <c r="Q227">
        <v>0</v>
      </c>
    </row>
    <row r="228" spans="1:17" x14ac:dyDescent="0.25">
      <c r="A228" s="1" t="s">
        <v>241</v>
      </c>
      <c r="B228" s="1" t="s">
        <v>269</v>
      </c>
      <c r="C228" s="1" t="s">
        <v>13</v>
      </c>
      <c r="D228" s="1" t="str">
        <f>VLOOKUP(Clients_chun_clean[[#This Row],[Province_Client]],Master_Logs_reseau_registre!B228:F1299,2,0)</f>
        <v>ANT-0600</v>
      </c>
      <c r="E228" s="1" t="s">
        <v>1508</v>
      </c>
      <c r="F228" s="1" t="s">
        <v>1504</v>
      </c>
      <c r="G228" s="1" t="s">
        <v>811</v>
      </c>
      <c r="H228">
        <v>96</v>
      </c>
      <c r="I228">
        <v>8</v>
      </c>
      <c r="J228" s="1" t="s">
        <v>1704</v>
      </c>
      <c r="K228" s="1" t="s">
        <v>22</v>
      </c>
      <c r="L228">
        <v>210</v>
      </c>
      <c r="M228" s="4">
        <v>0.14583333333333334</v>
      </c>
      <c r="N228" s="10">
        <v>28.39</v>
      </c>
      <c r="O228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228" s="10">
        <f>Clients_chun_clean[[#This Row],[Facture_Mensuelle]]*Clients_chun_clean[[#This Row],[Remise]]</f>
        <v>0</v>
      </c>
      <c r="Q228">
        <v>3</v>
      </c>
    </row>
    <row r="229" spans="1:17" x14ac:dyDescent="0.25">
      <c r="A229" s="1" t="s">
        <v>241</v>
      </c>
      <c r="B229" s="1" t="s">
        <v>270</v>
      </c>
      <c r="C229" s="1" t="s">
        <v>40</v>
      </c>
      <c r="D229" s="1" t="str">
        <f>VLOOKUP(Clients_chun_clean[[#This Row],[Province_Client]],Master_Logs_reseau_registre!B229:F1300,2,0)</f>
        <v>ANT-0991</v>
      </c>
      <c r="E229" s="1" t="s">
        <v>1503</v>
      </c>
      <c r="F229" s="1" t="s">
        <v>1507</v>
      </c>
      <c r="G229" s="1" t="s">
        <v>811</v>
      </c>
      <c r="H229">
        <v>60</v>
      </c>
      <c r="I229">
        <v>5</v>
      </c>
      <c r="J229" s="1" t="s">
        <v>1704</v>
      </c>
      <c r="K229" s="1" t="s">
        <v>22</v>
      </c>
      <c r="L229">
        <v>154</v>
      </c>
      <c r="M229" s="4">
        <v>0.10694444444444444</v>
      </c>
      <c r="N229" s="10">
        <v>13.41</v>
      </c>
      <c r="O229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229" s="10">
        <f>Clients_chun_clean[[#This Row],[Facture_Mensuelle]]*Clients_chun_clean[[#This Row],[Remise]]</f>
        <v>0</v>
      </c>
      <c r="Q229">
        <v>5</v>
      </c>
    </row>
    <row r="230" spans="1:17" x14ac:dyDescent="0.25">
      <c r="A230" s="1" t="s">
        <v>241</v>
      </c>
      <c r="B230" s="1" t="s">
        <v>271</v>
      </c>
      <c r="C230" s="1" t="s">
        <v>37</v>
      </c>
      <c r="D230" s="1" t="str">
        <f>VLOOKUP(Clients_chun_clean[[#This Row],[Province_Client]],Master_Logs_reseau_registre!B230:F1301,2,0)</f>
        <v>ANT-0514</v>
      </c>
      <c r="E230" s="1" t="s">
        <v>1503</v>
      </c>
      <c r="F230" s="1" t="s">
        <v>1507</v>
      </c>
      <c r="G230" s="1" t="s">
        <v>811</v>
      </c>
      <c r="H230">
        <v>63</v>
      </c>
      <c r="I230">
        <v>5</v>
      </c>
      <c r="J230" s="1" t="s">
        <v>1704</v>
      </c>
      <c r="K230" s="1" t="s">
        <v>19</v>
      </c>
      <c r="L230">
        <v>392</v>
      </c>
      <c r="M230" s="4">
        <v>0.2722222222222222</v>
      </c>
      <c r="N230" s="10">
        <v>93.11</v>
      </c>
      <c r="O230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230" s="10">
        <f>Clients_chun_clean[[#This Row],[Facture_Mensuelle]]*Clients_chun_clean[[#This Row],[Remise]]</f>
        <v>41.899500000000003</v>
      </c>
      <c r="Q230">
        <v>3</v>
      </c>
    </row>
    <row r="231" spans="1:17" x14ac:dyDescent="0.25">
      <c r="A231" s="1" t="s">
        <v>241</v>
      </c>
      <c r="B231" s="1" t="s">
        <v>272</v>
      </c>
      <c r="C231" s="1" t="s">
        <v>18</v>
      </c>
      <c r="D231" s="1" t="str">
        <f>VLOOKUP(Clients_chun_clean[[#This Row],[Province_Client]],Master_Logs_reseau_registre!B231:F1302,2,0)</f>
        <v>ANT-0035</v>
      </c>
      <c r="E231" s="1" t="s">
        <v>1506</v>
      </c>
      <c r="F231" s="1" t="s">
        <v>1507</v>
      </c>
      <c r="G231" s="1" t="s">
        <v>811</v>
      </c>
      <c r="H231">
        <v>60</v>
      </c>
      <c r="I231">
        <v>5</v>
      </c>
      <c r="J231" s="1" t="s">
        <v>1704</v>
      </c>
      <c r="K231" s="1" t="s">
        <v>19</v>
      </c>
      <c r="L231">
        <v>306</v>
      </c>
      <c r="M231" s="4">
        <v>0.21249999999999999</v>
      </c>
      <c r="N231" s="10">
        <v>63.83</v>
      </c>
      <c r="O231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231" s="10">
        <f>Clients_chun_clean[[#This Row],[Facture_Mensuelle]]*Clients_chun_clean[[#This Row],[Remise]]</f>
        <v>28.723500000000001</v>
      </c>
      <c r="Q231">
        <v>2</v>
      </c>
    </row>
    <row r="232" spans="1:17" x14ac:dyDescent="0.25">
      <c r="A232" s="1" t="s">
        <v>241</v>
      </c>
      <c r="B232" s="1" t="s">
        <v>273</v>
      </c>
      <c r="C232" s="1" t="s">
        <v>18</v>
      </c>
      <c r="D232" s="1" t="str">
        <f>VLOOKUP(Clients_chun_clean[[#This Row],[Province_Client]],Master_Logs_reseau_registre!B232:F1303,2,0)</f>
        <v>ANT-0035</v>
      </c>
      <c r="E232" s="1" t="s">
        <v>1506</v>
      </c>
      <c r="F232" s="1" t="s">
        <v>1507</v>
      </c>
      <c r="G232" s="1" t="s">
        <v>811</v>
      </c>
      <c r="H232">
        <v>9</v>
      </c>
      <c r="I232">
        <v>0</v>
      </c>
      <c r="J232" s="1" t="s">
        <v>1705</v>
      </c>
      <c r="K232" s="1" t="s">
        <v>14</v>
      </c>
      <c r="L232">
        <v>255</v>
      </c>
      <c r="M232" s="4">
        <v>0.17708333333333334</v>
      </c>
      <c r="N232" s="10">
        <v>95.13</v>
      </c>
      <c r="O232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232" s="10">
        <f>Clients_chun_clean[[#This Row],[Facture_Mensuelle]]*Clients_chun_clean[[#This Row],[Remise]]</f>
        <v>42.808500000000002</v>
      </c>
      <c r="Q232">
        <v>1</v>
      </c>
    </row>
    <row r="233" spans="1:17" x14ac:dyDescent="0.25">
      <c r="A233" s="1" t="s">
        <v>241</v>
      </c>
      <c r="B233" s="1" t="s">
        <v>274</v>
      </c>
      <c r="C233" s="1" t="s">
        <v>33</v>
      </c>
      <c r="D233" s="1" t="str">
        <f>VLOOKUP(Clients_chun_clean[[#This Row],[Province_Client]],Master_Logs_reseau_registre!B233:F1304,2,0)</f>
        <v>ANT-0735</v>
      </c>
      <c r="E233" s="1" t="s">
        <v>1506</v>
      </c>
      <c r="F233" s="1" t="s">
        <v>1507</v>
      </c>
      <c r="G233" s="1" t="s">
        <v>811</v>
      </c>
      <c r="H233">
        <v>11</v>
      </c>
      <c r="I233">
        <v>0</v>
      </c>
      <c r="J233" s="1" t="s">
        <v>1704</v>
      </c>
      <c r="K233" s="1" t="s">
        <v>19</v>
      </c>
      <c r="L233">
        <v>52</v>
      </c>
      <c r="M233" s="4">
        <v>3.6111111111111108E-2</v>
      </c>
      <c r="N233" s="10">
        <v>76.53</v>
      </c>
      <c r="O233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233" s="10">
        <f>Clients_chun_clean[[#This Row],[Facture_Mensuelle]]*Clients_chun_clean[[#This Row],[Remise]]</f>
        <v>0</v>
      </c>
      <c r="Q233">
        <v>5</v>
      </c>
    </row>
    <row r="234" spans="1:17" x14ac:dyDescent="0.25">
      <c r="A234" s="1" t="s">
        <v>241</v>
      </c>
      <c r="B234" s="1" t="s">
        <v>275</v>
      </c>
      <c r="C234" s="1" t="s">
        <v>26</v>
      </c>
      <c r="D234" s="1" t="str">
        <f>VLOOKUP(Clients_chun_clean[[#This Row],[Province_Client]],Master_Logs_reseau_registre!B234:F1305,2,0)</f>
        <v>ANT-0381</v>
      </c>
      <c r="E234" s="1" t="s">
        <v>1503</v>
      </c>
      <c r="F234" s="1" t="s">
        <v>1507</v>
      </c>
      <c r="G234" s="1" t="s">
        <v>811</v>
      </c>
      <c r="H234">
        <v>71</v>
      </c>
      <c r="I234">
        <v>5</v>
      </c>
      <c r="J234" s="1" t="s">
        <v>1704</v>
      </c>
      <c r="K234" s="1" t="s">
        <v>19</v>
      </c>
      <c r="L234">
        <v>364</v>
      </c>
      <c r="M234" s="4">
        <v>0.25277777777777777</v>
      </c>
      <c r="N234" s="10">
        <v>39.58</v>
      </c>
      <c r="O234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234" s="10">
        <f>Clients_chun_clean[[#This Row],[Facture_Mensuelle]]*Clients_chun_clean[[#This Row],[Remise]]</f>
        <v>17.811</v>
      </c>
      <c r="Q234">
        <v>1</v>
      </c>
    </row>
    <row r="235" spans="1:17" x14ac:dyDescent="0.25">
      <c r="A235" s="1" t="s">
        <v>241</v>
      </c>
      <c r="B235" s="1" t="s">
        <v>276</v>
      </c>
      <c r="C235" s="1" t="s">
        <v>10</v>
      </c>
      <c r="D235" s="1" t="str">
        <f>VLOOKUP(Clients_chun_clean[[#This Row],[Province_Client]],Master_Logs_reseau_registre!B235:F1306,2,0)</f>
        <v>ANT-0821</v>
      </c>
      <c r="E235" s="1" t="s">
        <v>1503</v>
      </c>
      <c r="F235" s="1" t="s">
        <v>1507</v>
      </c>
      <c r="G235" s="1" t="s">
        <v>811</v>
      </c>
      <c r="H235">
        <v>85</v>
      </c>
      <c r="I235">
        <v>7</v>
      </c>
      <c r="J235" s="1" t="s">
        <v>1704</v>
      </c>
      <c r="K235" s="1" t="s">
        <v>11</v>
      </c>
      <c r="L235">
        <v>274</v>
      </c>
      <c r="M235" s="4">
        <v>0.19027777777777777</v>
      </c>
      <c r="N235" s="10">
        <v>35.03</v>
      </c>
      <c r="O235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235" s="10">
        <f>Clients_chun_clean[[#This Row],[Facture_Mensuelle]]*Clients_chun_clean[[#This Row],[Remise]]</f>
        <v>15.763500000000001</v>
      </c>
      <c r="Q235">
        <v>1</v>
      </c>
    </row>
    <row r="236" spans="1:17" x14ac:dyDescent="0.25">
      <c r="A236" s="1" t="s">
        <v>241</v>
      </c>
      <c r="B236" s="1" t="s">
        <v>277</v>
      </c>
      <c r="C236" s="1" t="s">
        <v>137</v>
      </c>
      <c r="D236" s="1" t="str">
        <f>VLOOKUP(Clients_chun_clean[[#This Row],[Province_Client]],Master_Logs_reseau_registre!B236:F1307,2,0)</f>
        <v>ANT-0206</v>
      </c>
      <c r="E236" s="1" t="s">
        <v>1503</v>
      </c>
      <c r="F236" s="1" t="s">
        <v>1507</v>
      </c>
      <c r="G236" s="1" t="s">
        <v>811</v>
      </c>
      <c r="H236">
        <v>32</v>
      </c>
      <c r="I236">
        <v>2</v>
      </c>
      <c r="J236" s="1" t="s">
        <v>1704</v>
      </c>
      <c r="K236" s="1" t="s">
        <v>22</v>
      </c>
      <c r="L236">
        <v>405</v>
      </c>
      <c r="M236" s="4">
        <v>0.28125</v>
      </c>
      <c r="N236" s="10">
        <v>67.92</v>
      </c>
      <c r="O236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236" s="10">
        <f>Clients_chun_clean[[#This Row],[Facture_Mensuelle]]*Clients_chun_clean[[#This Row],[Remise]]</f>
        <v>30.564</v>
      </c>
      <c r="Q236">
        <v>3</v>
      </c>
    </row>
    <row r="237" spans="1:17" x14ac:dyDescent="0.25">
      <c r="A237" s="1" t="s">
        <v>241</v>
      </c>
      <c r="B237" s="1" t="s">
        <v>278</v>
      </c>
      <c r="C237" s="1" t="s">
        <v>60</v>
      </c>
      <c r="D237" s="1" t="str">
        <f>VLOOKUP(Clients_chun_clean[[#This Row],[Province_Client]],Master_Logs_reseau_registre!B237:F1308,2,0)</f>
        <v>ANT-0870</v>
      </c>
      <c r="E237" s="1" t="s">
        <v>1506</v>
      </c>
      <c r="F237" s="1" t="s">
        <v>1504</v>
      </c>
      <c r="G237" s="1" t="s">
        <v>811</v>
      </c>
      <c r="H237">
        <v>92</v>
      </c>
      <c r="I237">
        <v>7</v>
      </c>
      <c r="J237" s="1" t="s">
        <v>1704</v>
      </c>
      <c r="K237" s="1" t="s">
        <v>19</v>
      </c>
      <c r="L237">
        <v>472</v>
      </c>
      <c r="M237" s="4">
        <v>0.32777777777777778</v>
      </c>
      <c r="N237" s="10">
        <v>78.44</v>
      </c>
      <c r="O237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237" s="10">
        <f>Clients_chun_clean[[#This Row],[Facture_Mensuelle]]*Clients_chun_clean[[#This Row],[Remise]]</f>
        <v>35.298000000000002</v>
      </c>
      <c r="Q237">
        <v>1</v>
      </c>
    </row>
    <row r="238" spans="1:17" x14ac:dyDescent="0.25">
      <c r="A238" s="1" t="s">
        <v>241</v>
      </c>
      <c r="B238" s="1" t="s">
        <v>279</v>
      </c>
      <c r="C238" s="1" t="s">
        <v>51</v>
      </c>
      <c r="D238" s="1" t="str">
        <f>VLOOKUP(Clients_chun_clean[[#This Row],[Province_Client]],Master_Logs_reseau_registre!B238:F1309,2,0)</f>
        <v>ANT-0458</v>
      </c>
      <c r="E238" s="1" t="s">
        <v>1508</v>
      </c>
      <c r="F238" s="1" t="s">
        <v>1504</v>
      </c>
      <c r="G238" s="1" t="s">
        <v>811</v>
      </c>
      <c r="H238">
        <v>57</v>
      </c>
      <c r="I238">
        <v>4</v>
      </c>
      <c r="J238" s="1" t="s">
        <v>1704</v>
      </c>
      <c r="K238" s="1" t="s">
        <v>22</v>
      </c>
      <c r="L238">
        <v>435</v>
      </c>
      <c r="M238" s="4">
        <v>0.30208333333333331</v>
      </c>
      <c r="N238" s="10">
        <v>56.88</v>
      </c>
      <c r="O238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238" s="10">
        <f>Clients_chun_clean[[#This Row],[Facture_Mensuelle]]*Clients_chun_clean[[#This Row],[Remise]]</f>
        <v>25.596</v>
      </c>
      <c r="Q238">
        <v>4</v>
      </c>
    </row>
    <row r="239" spans="1:17" x14ac:dyDescent="0.25">
      <c r="A239" s="1" t="s">
        <v>241</v>
      </c>
      <c r="B239" s="1" t="s">
        <v>280</v>
      </c>
      <c r="C239" s="1" t="s">
        <v>21</v>
      </c>
      <c r="D239" s="1" t="str">
        <f>VLOOKUP(Clients_chun_clean[[#This Row],[Province_Client]],Master_Logs_reseau_registre!B239:F1310,2,0)</f>
        <v>ANT-0136</v>
      </c>
      <c r="E239" s="1" t="s">
        <v>1508</v>
      </c>
      <c r="F239" s="1" t="s">
        <v>1504</v>
      </c>
      <c r="G239" s="1" t="s">
        <v>811</v>
      </c>
      <c r="H239">
        <v>18</v>
      </c>
      <c r="I239">
        <v>1</v>
      </c>
      <c r="J239" s="1" t="s">
        <v>1704</v>
      </c>
      <c r="K239" s="1" t="s">
        <v>19</v>
      </c>
      <c r="L239">
        <v>291</v>
      </c>
      <c r="M239" s="4">
        <v>0.20208333333333334</v>
      </c>
      <c r="N239" s="10">
        <v>97.98</v>
      </c>
      <c r="O239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239" s="10">
        <f>Clients_chun_clean[[#This Row],[Facture_Mensuelle]]*Clients_chun_clean[[#This Row],[Remise]]</f>
        <v>44.091000000000001</v>
      </c>
      <c r="Q239">
        <v>1</v>
      </c>
    </row>
    <row r="240" spans="1:17" x14ac:dyDescent="0.25">
      <c r="A240" s="1" t="s">
        <v>241</v>
      </c>
      <c r="B240" s="1" t="s">
        <v>281</v>
      </c>
      <c r="C240" s="1" t="s">
        <v>40</v>
      </c>
      <c r="D240" s="1" t="str">
        <f>VLOOKUP(Clients_chun_clean[[#This Row],[Province_Client]],Master_Logs_reseau_registre!B240:F1311,2,0)</f>
        <v>ANT-0991</v>
      </c>
      <c r="E240" s="1" t="s">
        <v>1503</v>
      </c>
      <c r="F240" s="1" t="s">
        <v>1504</v>
      </c>
      <c r="G240" s="1" t="s">
        <v>811</v>
      </c>
      <c r="H240">
        <v>61</v>
      </c>
      <c r="I240">
        <v>5</v>
      </c>
      <c r="J240" s="1" t="s">
        <v>1704</v>
      </c>
      <c r="K240" s="1" t="s">
        <v>22</v>
      </c>
      <c r="L240">
        <v>87</v>
      </c>
      <c r="M240" s="4">
        <v>6.0416666666666667E-2</v>
      </c>
      <c r="N240" s="10">
        <v>68.319999999999993</v>
      </c>
      <c r="O240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240" s="10">
        <f>Clients_chun_clean[[#This Row],[Facture_Mensuelle]]*Clients_chun_clean[[#This Row],[Remise]]</f>
        <v>0</v>
      </c>
      <c r="Q240">
        <v>2</v>
      </c>
    </row>
    <row r="241" spans="1:17" x14ac:dyDescent="0.25">
      <c r="A241" s="1" t="s">
        <v>241</v>
      </c>
      <c r="B241" s="1" t="s">
        <v>282</v>
      </c>
      <c r="C241" s="1" t="s">
        <v>137</v>
      </c>
      <c r="D241" s="1" t="str">
        <f>VLOOKUP(Clients_chun_clean[[#This Row],[Province_Client]],Master_Logs_reseau_registre!B241:F1312,2,0)</f>
        <v>ANT-0206</v>
      </c>
      <c r="E241" s="1" t="s">
        <v>1503</v>
      </c>
      <c r="F241" s="1" t="s">
        <v>1504</v>
      </c>
      <c r="G241" s="1" t="s">
        <v>811</v>
      </c>
      <c r="H241">
        <v>106</v>
      </c>
      <c r="I241">
        <v>8</v>
      </c>
      <c r="J241" s="1" t="s">
        <v>1704</v>
      </c>
      <c r="K241" s="1" t="s">
        <v>22</v>
      </c>
      <c r="L241">
        <v>128</v>
      </c>
      <c r="M241" s="4">
        <v>8.8888888888888892E-2</v>
      </c>
      <c r="N241" s="10">
        <v>35.96</v>
      </c>
      <c r="O241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241" s="10">
        <f>Clients_chun_clean[[#This Row],[Facture_Mensuelle]]*Clients_chun_clean[[#This Row],[Remise]]</f>
        <v>0</v>
      </c>
      <c r="Q241">
        <v>2</v>
      </c>
    </row>
    <row r="242" spans="1:17" x14ac:dyDescent="0.25">
      <c r="A242" s="1" t="s">
        <v>241</v>
      </c>
      <c r="B242" s="1" t="s">
        <v>283</v>
      </c>
      <c r="C242" s="1" t="s">
        <v>51</v>
      </c>
      <c r="D242" s="1" t="str">
        <f>VLOOKUP(Clients_chun_clean[[#This Row],[Province_Client]],Master_Logs_reseau_registre!B242:F1313,2,0)</f>
        <v>ANT-0458</v>
      </c>
      <c r="E242" s="1" t="s">
        <v>1508</v>
      </c>
      <c r="F242" s="1" t="s">
        <v>1504</v>
      </c>
      <c r="G242" s="1" t="s">
        <v>811</v>
      </c>
      <c r="H242">
        <v>36</v>
      </c>
      <c r="I242">
        <v>3</v>
      </c>
      <c r="J242" s="1" t="s">
        <v>1704</v>
      </c>
      <c r="K242" s="1" t="s">
        <v>19</v>
      </c>
      <c r="L242">
        <v>491</v>
      </c>
      <c r="M242" s="4">
        <v>0.34097222222222223</v>
      </c>
      <c r="N242" s="10">
        <v>12.13</v>
      </c>
      <c r="O242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242" s="10">
        <f>Clients_chun_clean[[#This Row],[Facture_Mensuelle]]*Clients_chun_clean[[#This Row],[Remise]]</f>
        <v>5.4585000000000008</v>
      </c>
      <c r="Q242">
        <v>4</v>
      </c>
    </row>
    <row r="243" spans="1:17" x14ac:dyDescent="0.25">
      <c r="A243" s="1" t="s">
        <v>241</v>
      </c>
      <c r="B243" s="1" t="s">
        <v>284</v>
      </c>
      <c r="C243" s="1" t="s">
        <v>73</v>
      </c>
      <c r="D243" s="1" t="str">
        <f>VLOOKUP(Clients_chun_clean[[#This Row],[Province_Client]],Master_Logs_reseau_registre!B243:F1314,2,0)</f>
        <v>ANT-0180</v>
      </c>
      <c r="E243" s="1" t="s">
        <v>1503</v>
      </c>
      <c r="F243" s="1" t="s">
        <v>1504</v>
      </c>
      <c r="G243" s="1" t="s">
        <v>811</v>
      </c>
      <c r="H243">
        <v>108</v>
      </c>
      <c r="I243">
        <v>9</v>
      </c>
      <c r="J243" s="1" t="s">
        <v>1705</v>
      </c>
      <c r="K243" s="1" t="s">
        <v>14</v>
      </c>
      <c r="L243">
        <v>48</v>
      </c>
      <c r="M243" s="4">
        <v>3.3333333333333333E-2</v>
      </c>
      <c r="N243" s="10">
        <v>86.22</v>
      </c>
      <c r="O243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243" s="10">
        <f>Clients_chun_clean[[#This Row],[Facture_Mensuelle]]*Clients_chun_clean[[#This Row],[Remise]]</f>
        <v>8.6219999999999999</v>
      </c>
      <c r="Q243">
        <v>3</v>
      </c>
    </row>
    <row r="244" spans="1:17" x14ac:dyDescent="0.25">
      <c r="A244" s="1" t="s">
        <v>241</v>
      </c>
      <c r="B244" s="1" t="s">
        <v>285</v>
      </c>
      <c r="C244" s="1" t="s">
        <v>137</v>
      </c>
      <c r="D244" s="1" t="str">
        <f>VLOOKUP(Clients_chun_clean[[#This Row],[Province_Client]],Master_Logs_reseau_registre!B244:F1315,2,0)</f>
        <v>ANT-0206</v>
      </c>
      <c r="E244" s="1" t="s">
        <v>1503</v>
      </c>
      <c r="F244" s="1" t="s">
        <v>1504</v>
      </c>
      <c r="G244" s="1" t="s">
        <v>811</v>
      </c>
      <c r="H244">
        <v>21</v>
      </c>
      <c r="I244">
        <v>1</v>
      </c>
      <c r="J244" s="1" t="s">
        <v>1704</v>
      </c>
      <c r="K244" s="1" t="s">
        <v>19</v>
      </c>
      <c r="L244">
        <v>307</v>
      </c>
      <c r="M244" s="4">
        <v>0.21319444444444444</v>
      </c>
      <c r="N244" s="10">
        <v>39.81</v>
      </c>
      <c r="O244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244" s="10">
        <f>Clients_chun_clean[[#This Row],[Facture_Mensuelle]]*Clients_chun_clean[[#This Row],[Remise]]</f>
        <v>17.9145</v>
      </c>
      <c r="Q244">
        <v>5</v>
      </c>
    </row>
    <row r="245" spans="1:17" x14ac:dyDescent="0.25">
      <c r="A245" s="1" t="s">
        <v>241</v>
      </c>
      <c r="B245" s="1" t="s">
        <v>286</v>
      </c>
      <c r="C245" s="1" t="s">
        <v>137</v>
      </c>
      <c r="D245" s="1" t="str">
        <f>VLOOKUP(Clients_chun_clean[[#This Row],[Province_Client]],Master_Logs_reseau_registre!B245:F1316,2,0)</f>
        <v>ANT-0206</v>
      </c>
      <c r="E245" s="1" t="s">
        <v>1503</v>
      </c>
      <c r="F245" s="1" t="s">
        <v>1504</v>
      </c>
      <c r="G245" s="1" t="s">
        <v>811</v>
      </c>
      <c r="H245">
        <v>22</v>
      </c>
      <c r="I245">
        <v>1</v>
      </c>
      <c r="J245" s="1" t="s">
        <v>1704</v>
      </c>
      <c r="K245" s="1" t="s">
        <v>11</v>
      </c>
      <c r="L245">
        <v>166</v>
      </c>
      <c r="M245" s="4">
        <v>0.11527777777777778</v>
      </c>
      <c r="N245" s="10">
        <v>31.8</v>
      </c>
      <c r="O245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245" s="10">
        <f>Clients_chun_clean[[#This Row],[Facture_Mensuelle]]*Clients_chun_clean[[#This Row],[Remise]]</f>
        <v>14.31</v>
      </c>
      <c r="Q245">
        <v>1</v>
      </c>
    </row>
    <row r="246" spans="1:17" x14ac:dyDescent="0.25">
      <c r="A246" s="1" t="s">
        <v>241</v>
      </c>
      <c r="B246" s="1" t="s">
        <v>287</v>
      </c>
      <c r="C246" s="1" t="s">
        <v>78</v>
      </c>
      <c r="D246" s="1" t="str">
        <f>VLOOKUP(Clients_chun_clean[[#This Row],[Province_Client]],Master_Logs_reseau_registre!B246:F1317,2,0)</f>
        <v>ANT-0302</v>
      </c>
      <c r="E246" s="1" t="s">
        <v>1506</v>
      </c>
      <c r="F246" s="1" t="s">
        <v>1507</v>
      </c>
      <c r="G246" s="1" t="s">
        <v>813</v>
      </c>
      <c r="H246">
        <v>108</v>
      </c>
      <c r="I246">
        <v>9</v>
      </c>
      <c r="J246" s="1" t="s">
        <v>1704</v>
      </c>
      <c r="K246" s="1" t="s">
        <v>11</v>
      </c>
      <c r="L246">
        <v>323</v>
      </c>
      <c r="M246" s="4">
        <v>0.22430555555555556</v>
      </c>
      <c r="N246" s="10">
        <v>58.54</v>
      </c>
      <c r="O246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246" s="10">
        <f>Clients_chun_clean[[#This Row],[Facture_Mensuelle]]*Clients_chun_clean[[#This Row],[Remise]]</f>
        <v>26.343</v>
      </c>
      <c r="Q246">
        <v>2</v>
      </c>
    </row>
    <row r="247" spans="1:17" x14ac:dyDescent="0.25">
      <c r="A247" s="1" t="s">
        <v>241</v>
      </c>
      <c r="B247" s="1" t="s">
        <v>288</v>
      </c>
      <c r="C247" s="1" t="s">
        <v>10</v>
      </c>
      <c r="D247" s="1" t="str">
        <f>VLOOKUP(Clients_chun_clean[[#This Row],[Province_Client]],Master_Logs_reseau_registre!B247:F1318,2,0)</f>
        <v>ANT-0821</v>
      </c>
      <c r="E247" s="1" t="s">
        <v>1503</v>
      </c>
      <c r="F247" s="1" t="s">
        <v>1504</v>
      </c>
      <c r="G247" s="1" t="s">
        <v>811</v>
      </c>
      <c r="H247">
        <v>3</v>
      </c>
      <c r="I247">
        <v>0</v>
      </c>
      <c r="J247" s="1" t="s">
        <v>1704</v>
      </c>
      <c r="K247" s="1" t="s">
        <v>22</v>
      </c>
      <c r="L247">
        <v>356</v>
      </c>
      <c r="M247" s="4">
        <v>0.24722222222222223</v>
      </c>
      <c r="N247" s="10">
        <v>91.6</v>
      </c>
      <c r="O247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247" s="10">
        <f>Clients_chun_clean[[#This Row],[Facture_Mensuelle]]*Clients_chun_clean[[#This Row],[Remise]]</f>
        <v>41.22</v>
      </c>
      <c r="Q247">
        <v>3</v>
      </c>
    </row>
    <row r="248" spans="1:17" x14ac:dyDescent="0.25">
      <c r="A248" s="1" t="s">
        <v>241</v>
      </c>
      <c r="B248" s="1" t="s">
        <v>289</v>
      </c>
      <c r="C248" s="1" t="s">
        <v>127</v>
      </c>
      <c r="D248" s="1" t="str">
        <f>VLOOKUP(Clients_chun_clean[[#This Row],[Province_Client]],Master_Logs_reseau_registre!B248:F1319,2,0)</f>
        <v>ANT-0503</v>
      </c>
      <c r="E248" s="1" t="s">
        <v>1508</v>
      </c>
      <c r="F248" s="1" t="s">
        <v>1516</v>
      </c>
      <c r="G248" s="1" t="s">
        <v>813</v>
      </c>
      <c r="H248">
        <v>78</v>
      </c>
      <c r="I248">
        <v>6</v>
      </c>
      <c r="J248" s="1" t="s">
        <v>1704</v>
      </c>
      <c r="K248" s="1" t="s">
        <v>22</v>
      </c>
      <c r="L248">
        <v>198</v>
      </c>
      <c r="M248" s="4">
        <v>0.13750000000000001</v>
      </c>
      <c r="N248" s="10">
        <v>69.849999999999994</v>
      </c>
      <c r="O248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248" s="10">
        <f>Clients_chun_clean[[#This Row],[Facture_Mensuelle]]*Clients_chun_clean[[#This Row],[Remise]]</f>
        <v>0</v>
      </c>
      <c r="Q248">
        <v>0</v>
      </c>
    </row>
    <row r="249" spans="1:17" x14ac:dyDescent="0.25">
      <c r="A249" s="1" t="s">
        <v>241</v>
      </c>
      <c r="B249" s="1" t="s">
        <v>290</v>
      </c>
      <c r="C249" s="1" t="s">
        <v>29</v>
      </c>
      <c r="D249" s="1" t="str">
        <f>VLOOKUP(Clients_chun_clean[[#This Row],[Province_Client]],Master_Logs_reseau_registre!B249:F1320,2,0)</f>
        <v>ANT-0936</v>
      </c>
      <c r="E249" s="1" t="s">
        <v>1503</v>
      </c>
      <c r="F249" s="1" t="s">
        <v>1504</v>
      </c>
      <c r="G249" s="1" t="s">
        <v>811</v>
      </c>
      <c r="H249">
        <v>13</v>
      </c>
      <c r="I249">
        <v>1</v>
      </c>
      <c r="J249" s="1" t="s">
        <v>1705</v>
      </c>
      <c r="K249" s="1" t="s">
        <v>14</v>
      </c>
      <c r="L249">
        <v>347</v>
      </c>
      <c r="M249" s="4">
        <v>0.24097222222222223</v>
      </c>
      <c r="N249" s="10">
        <v>32.35</v>
      </c>
      <c r="O249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249" s="10">
        <f>Clients_chun_clean[[#This Row],[Facture_Mensuelle]]*Clients_chun_clean[[#This Row],[Remise]]</f>
        <v>14.557500000000001</v>
      </c>
      <c r="Q249">
        <v>2</v>
      </c>
    </row>
    <row r="250" spans="1:17" x14ac:dyDescent="0.25">
      <c r="A250" s="1" t="s">
        <v>241</v>
      </c>
      <c r="B250" s="1" t="s">
        <v>291</v>
      </c>
      <c r="C250" s="1" t="s">
        <v>67</v>
      </c>
      <c r="D250" s="1" t="str">
        <f>VLOOKUP(Clients_chun_clean[[#This Row],[Province_Client]],Master_Logs_reseau_registre!B250:F1321,2,0)</f>
        <v>ANT-0032</v>
      </c>
      <c r="E250" s="1" t="s">
        <v>1508</v>
      </c>
      <c r="F250" s="1" t="s">
        <v>1516</v>
      </c>
      <c r="G250" s="1" t="s">
        <v>813</v>
      </c>
      <c r="H250">
        <v>23</v>
      </c>
      <c r="I250">
        <v>1</v>
      </c>
      <c r="J250" s="1" t="s">
        <v>1705</v>
      </c>
      <c r="K250" s="1" t="s">
        <v>14</v>
      </c>
      <c r="L250">
        <v>473</v>
      </c>
      <c r="M250" s="4">
        <v>0.32847222222222222</v>
      </c>
      <c r="N250" s="10">
        <v>71.86</v>
      </c>
      <c r="O250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250" s="10">
        <f>Clients_chun_clean[[#This Row],[Facture_Mensuelle]]*Clients_chun_clean[[#This Row],[Remise]]</f>
        <v>32.337000000000003</v>
      </c>
      <c r="Q250">
        <v>3</v>
      </c>
    </row>
    <row r="251" spans="1:17" x14ac:dyDescent="0.25">
      <c r="A251" s="1" t="s">
        <v>292</v>
      </c>
      <c r="B251" s="1" t="s">
        <v>293</v>
      </c>
      <c r="C251" s="1" t="s">
        <v>10</v>
      </c>
      <c r="D251" s="1" t="str">
        <f>VLOOKUP(Clients_chun_clean[[#This Row],[Province_Client]],Master_Logs_reseau_registre!B251:F1322,2,0)</f>
        <v>ANT-0821</v>
      </c>
      <c r="E251" s="1" t="s">
        <v>1503</v>
      </c>
      <c r="F251" s="1" t="s">
        <v>1504</v>
      </c>
      <c r="G251" s="1" t="s">
        <v>811</v>
      </c>
      <c r="H251">
        <v>96</v>
      </c>
      <c r="I251">
        <v>8</v>
      </c>
      <c r="J251" s="1" t="s">
        <v>1704</v>
      </c>
      <c r="K251" s="1" t="s">
        <v>22</v>
      </c>
      <c r="L251">
        <v>290</v>
      </c>
      <c r="M251" s="4">
        <v>0.2013888888888889</v>
      </c>
      <c r="N251" s="10">
        <v>29</v>
      </c>
      <c r="O251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251" s="10">
        <f>Clients_chun_clean[[#This Row],[Facture_Mensuelle]]*Clients_chun_clean[[#This Row],[Remise]]</f>
        <v>13.05</v>
      </c>
      <c r="Q251">
        <v>3</v>
      </c>
    </row>
    <row r="252" spans="1:17" x14ac:dyDescent="0.25">
      <c r="A252" s="1" t="s">
        <v>292</v>
      </c>
      <c r="B252" s="1" t="s">
        <v>294</v>
      </c>
      <c r="C252" s="1" t="s">
        <v>73</v>
      </c>
      <c r="D252" s="1" t="str">
        <f>VLOOKUP(Clients_chun_clean[[#This Row],[Province_Client]],Master_Logs_reseau_registre!B252:F1323,2,0)</f>
        <v>ANT-0180</v>
      </c>
      <c r="E252" s="1" t="s">
        <v>1503</v>
      </c>
      <c r="F252" s="1" t="s">
        <v>1504</v>
      </c>
      <c r="G252" s="1" t="s">
        <v>811</v>
      </c>
      <c r="H252">
        <v>48</v>
      </c>
      <c r="I252">
        <v>4</v>
      </c>
      <c r="J252" s="1" t="s">
        <v>1704</v>
      </c>
      <c r="K252" s="1" t="s">
        <v>11</v>
      </c>
      <c r="L252">
        <v>416</v>
      </c>
      <c r="M252" s="4">
        <v>0.28888888888888886</v>
      </c>
      <c r="N252" s="10">
        <v>81.260000000000005</v>
      </c>
      <c r="O252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252" s="10">
        <f>Clients_chun_clean[[#This Row],[Facture_Mensuelle]]*Clients_chun_clean[[#This Row],[Remise]]</f>
        <v>36.567</v>
      </c>
      <c r="Q252">
        <v>5</v>
      </c>
    </row>
    <row r="253" spans="1:17" x14ac:dyDescent="0.25">
      <c r="A253" s="1" t="s">
        <v>292</v>
      </c>
      <c r="B253" s="1" t="s">
        <v>295</v>
      </c>
      <c r="C253" s="1" t="s">
        <v>31</v>
      </c>
      <c r="D253" s="1" t="str">
        <f>VLOOKUP(Clients_chun_clean[[#This Row],[Province_Client]],Master_Logs_reseau_registre!B253:F1324,2,0)</f>
        <v>ANT-0926</v>
      </c>
      <c r="E253" s="1" t="s">
        <v>1506</v>
      </c>
      <c r="F253" s="1" t="s">
        <v>1504</v>
      </c>
      <c r="G253" s="1" t="s">
        <v>811</v>
      </c>
      <c r="H253">
        <v>50</v>
      </c>
      <c r="I253">
        <v>4</v>
      </c>
      <c r="J253" s="1" t="s">
        <v>1705</v>
      </c>
      <c r="K253" s="1" t="s">
        <v>14</v>
      </c>
      <c r="L253">
        <v>108</v>
      </c>
      <c r="M253" s="4">
        <v>7.4999999999999997E-2</v>
      </c>
      <c r="N253" s="10">
        <v>43.81</v>
      </c>
      <c r="O253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253" s="10">
        <f>Clients_chun_clean[[#This Row],[Facture_Mensuelle]]*Clients_chun_clean[[#This Row],[Remise]]</f>
        <v>4.3810000000000002</v>
      </c>
      <c r="Q253">
        <v>5</v>
      </c>
    </row>
    <row r="254" spans="1:17" x14ac:dyDescent="0.25">
      <c r="A254" s="1" t="s">
        <v>292</v>
      </c>
      <c r="B254" s="1" t="s">
        <v>296</v>
      </c>
      <c r="C254" s="1" t="s">
        <v>18</v>
      </c>
      <c r="D254" s="1" t="str">
        <f>VLOOKUP(Clients_chun_clean[[#This Row],[Province_Client]],Master_Logs_reseau_registre!B254:F1325,2,0)</f>
        <v>ANT-0371</v>
      </c>
      <c r="E254" s="1" t="s">
        <v>1506</v>
      </c>
      <c r="F254" s="1" t="s">
        <v>1504</v>
      </c>
      <c r="G254" s="1" t="s">
        <v>811</v>
      </c>
      <c r="H254">
        <v>63</v>
      </c>
      <c r="I254">
        <v>5</v>
      </c>
      <c r="J254" s="1" t="s">
        <v>1704</v>
      </c>
      <c r="K254" s="1" t="s">
        <v>22</v>
      </c>
      <c r="L254">
        <v>95</v>
      </c>
      <c r="M254" s="4">
        <v>6.5972222222222224E-2</v>
      </c>
      <c r="N254" s="10">
        <v>56.81</v>
      </c>
      <c r="O254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254" s="10">
        <f>Clients_chun_clean[[#This Row],[Facture_Mensuelle]]*Clients_chun_clean[[#This Row],[Remise]]</f>
        <v>0</v>
      </c>
      <c r="Q254">
        <v>0</v>
      </c>
    </row>
    <row r="255" spans="1:17" x14ac:dyDescent="0.25">
      <c r="A255" s="1" t="s">
        <v>292</v>
      </c>
      <c r="B255" s="1" t="s">
        <v>297</v>
      </c>
      <c r="C255" s="1" t="s">
        <v>10</v>
      </c>
      <c r="D255" s="1" t="str">
        <f>VLOOKUP(Clients_chun_clean[[#This Row],[Province_Client]],Master_Logs_reseau_registre!B255:F1326,2,0)</f>
        <v>ANT-0821</v>
      </c>
      <c r="E255" s="1" t="s">
        <v>1503</v>
      </c>
      <c r="F255" s="1" t="s">
        <v>1516</v>
      </c>
      <c r="G255" s="1" t="s">
        <v>813</v>
      </c>
      <c r="H255">
        <v>40</v>
      </c>
      <c r="I255">
        <v>3</v>
      </c>
      <c r="J255" s="1" t="s">
        <v>1704</v>
      </c>
      <c r="K255" s="1" t="s">
        <v>11</v>
      </c>
      <c r="L255">
        <v>102</v>
      </c>
      <c r="M255" s="4">
        <v>7.0833333333333331E-2</v>
      </c>
      <c r="N255" s="10">
        <v>96.59</v>
      </c>
      <c r="O255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255" s="10">
        <f>Clients_chun_clean[[#This Row],[Facture_Mensuelle]]*Clients_chun_clean[[#This Row],[Remise]]</f>
        <v>43.465500000000006</v>
      </c>
      <c r="Q255">
        <v>5</v>
      </c>
    </row>
    <row r="256" spans="1:17" x14ac:dyDescent="0.25">
      <c r="A256" s="1" t="s">
        <v>292</v>
      </c>
      <c r="B256" s="1" t="s">
        <v>298</v>
      </c>
      <c r="C256" s="1" t="s">
        <v>137</v>
      </c>
      <c r="D256" s="1" t="str">
        <f>VLOOKUP(Clients_chun_clean[[#This Row],[Province_Client]],Master_Logs_reseau_registre!B256:F1327,2,0)</f>
        <v>ANT-0845</v>
      </c>
      <c r="E256" s="1" t="s">
        <v>1508</v>
      </c>
      <c r="F256" s="1" t="s">
        <v>1516</v>
      </c>
      <c r="G256" s="1" t="s">
        <v>811</v>
      </c>
      <c r="H256">
        <v>83</v>
      </c>
      <c r="I256">
        <v>6</v>
      </c>
      <c r="J256" s="1" t="s">
        <v>1704</v>
      </c>
      <c r="K256" s="1" t="s">
        <v>22</v>
      </c>
      <c r="L256">
        <v>30</v>
      </c>
      <c r="M256" s="4">
        <v>2.0833333333333332E-2</v>
      </c>
      <c r="N256" s="10">
        <v>33.93</v>
      </c>
      <c r="O256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256" s="10">
        <f>Clients_chun_clean[[#This Row],[Facture_Mensuelle]]*Clients_chun_clean[[#This Row],[Remise]]</f>
        <v>0</v>
      </c>
      <c r="Q256">
        <v>3</v>
      </c>
    </row>
    <row r="257" spans="1:17" x14ac:dyDescent="0.25">
      <c r="A257" s="1" t="s">
        <v>292</v>
      </c>
      <c r="B257" s="1" t="s">
        <v>299</v>
      </c>
      <c r="C257" s="1" t="s">
        <v>44</v>
      </c>
      <c r="D257" s="1" t="str">
        <f>VLOOKUP(Clients_chun_clean[[#This Row],[Province_Client]],Master_Logs_reseau_registre!B257:F1328,2,0)</f>
        <v>ANT-0375</v>
      </c>
      <c r="E257" s="1" t="s">
        <v>1506</v>
      </c>
      <c r="F257" s="1" t="s">
        <v>1504</v>
      </c>
      <c r="G257" s="1" t="s">
        <v>808</v>
      </c>
      <c r="H257">
        <v>76</v>
      </c>
      <c r="I257">
        <v>6</v>
      </c>
      <c r="J257" s="1" t="s">
        <v>1704</v>
      </c>
      <c r="K257" s="1" t="s">
        <v>22</v>
      </c>
      <c r="L257">
        <v>383</v>
      </c>
      <c r="M257" s="4">
        <v>0.26597222222222222</v>
      </c>
      <c r="N257" s="10">
        <v>53.73</v>
      </c>
      <c r="O257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257" s="10">
        <f>Clients_chun_clean[[#This Row],[Facture_Mensuelle]]*Clients_chun_clean[[#This Row],[Remise]]</f>
        <v>24.1785</v>
      </c>
      <c r="Q257">
        <v>2</v>
      </c>
    </row>
    <row r="258" spans="1:17" x14ac:dyDescent="0.25">
      <c r="A258" s="1" t="s">
        <v>292</v>
      </c>
      <c r="B258" s="1" t="s">
        <v>300</v>
      </c>
      <c r="C258" s="1" t="s">
        <v>24</v>
      </c>
      <c r="D258" s="1" t="str">
        <f>VLOOKUP(Clients_chun_clean[[#This Row],[Province_Client]],Master_Logs_reseau_registre!B258:F1329,2,0)</f>
        <v>ANT-0921</v>
      </c>
      <c r="E258" s="1" t="s">
        <v>1503</v>
      </c>
      <c r="F258" s="1" t="s">
        <v>1509</v>
      </c>
      <c r="G258" s="1" t="s">
        <v>811</v>
      </c>
      <c r="H258">
        <v>10</v>
      </c>
      <c r="I258">
        <v>0</v>
      </c>
      <c r="J258" s="1" t="s">
        <v>1704</v>
      </c>
      <c r="K258" s="1" t="s">
        <v>19</v>
      </c>
      <c r="L258">
        <v>93</v>
      </c>
      <c r="M258" s="4">
        <v>6.458333333333334E-2</v>
      </c>
      <c r="N258" s="10">
        <v>78.12</v>
      </c>
      <c r="O258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258" s="10">
        <f>Clients_chun_clean[[#This Row],[Facture_Mensuelle]]*Clients_chun_clean[[#This Row],[Remise]]</f>
        <v>0</v>
      </c>
      <c r="Q258">
        <v>4</v>
      </c>
    </row>
    <row r="259" spans="1:17" x14ac:dyDescent="0.25">
      <c r="A259" s="1" t="s">
        <v>292</v>
      </c>
      <c r="B259" s="1" t="s">
        <v>301</v>
      </c>
      <c r="C259" s="1" t="s">
        <v>64</v>
      </c>
      <c r="D259" s="1" t="str">
        <f>VLOOKUP(Clients_chun_clean[[#This Row],[Province_Client]],Master_Logs_reseau_registre!B259:F1330,2,0)</f>
        <v>ANT-0264</v>
      </c>
      <c r="E259" s="1" t="s">
        <v>1506</v>
      </c>
      <c r="F259" s="1" t="s">
        <v>1507</v>
      </c>
      <c r="G259" s="1" t="s">
        <v>813</v>
      </c>
      <c r="H259">
        <v>114</v>
      </c>
      <c r="I259">
        <v>9</v>
      </c>
      <c r="J259" s="1" t="s">
        <v>1704</v>
      </c>
      <c r="K259" s="1" t="s">
        <v>19</v>
      </c>
      <c r="L259">
        <v>388</v>
      </c>
      <c r="M259" s="4">
        <v>0.26944444444444443</v>
      </c>
      <c r="N259" s="10">
        <v>40.29</v>
      </c>
      <c r="O259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259" s="10">
        <f>Clients_chun_clean[[#This Row],[Facture_Mensuelle]]*Clients_chun_clean[[#This Row],[Remise]]</f>
        <v>18.130500000000001</v>
      </c>
      <c r="Q259">
        <v>5</v>
      </c>
    </row>
    <row r="260" spans="1:17" x14ac:dyDescent="0.25">
      <c r="A260" s="1" t="s">
        <v>292</v>
      </c>
      <c r="B260" s="1" t="s">
        <v>302</v>
      </c>
      <c r="C260" s="1" t="s">
        <v>137</v>
      </c>
      <c r="D260" s="1" t="str">
        <f>VLOOKUP(Clients_chun_clean[[#This Row],[Province_Client]],Master_Logs_reseau_registre!B260:F1331,2,0)</f>
        <v>ANT-0845</v>
      </c>
      <c r="E260" s="1" t="s">
        <v>1508</v>
      </c>
      <c r="F260" s="1" t="s">
        <v>1504</v>
      </c>
      <c r="G260" s="1" t="s">
        <v>808</v>
      </c>
      <c r="H260">
        <v>5</v>
      </c>
      <c r="I260">
        <v>0</v>
      </c>
      <c r="J260" s="1" t="s">
        <v>1705</v>
      </c>
      <c r="K260" s="1" t="s">
        <v>14</v>
      </c>
      <c r="L260">
        <v>98</v>
      </c>
      <c r="M260" s="4">
        <v>6.805555555555555E-2</v>
      </c>
      <c r="N260" s="10">
        <v>71.37</v>
      </c>
      <c r="O260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260" s="10">
        <f>Clients_chun_clean[[#This Row],[Facture_Mensuelle]]*Clients_chun_clean[[#This Row],[Remise]]</f>
        <v>7.1370000000000005</v>
      </c>
      <c r="Q260">
        <v>1</v>
      </c>
    </row>
    <row r="261" spans="1:17" x14ac:dyDescent="0.25">
      <c r="A261" s="1" t="s">
        <v>292</v>
      </c>
      <c r="B261" s="1" t="s">
        <v>303</v>
      </c>
      <c r="C261" s="1" t="s">
        <v>131</v>
      </c>
      <c r="D261" s="1" t="str">
        <f>VLOOKUP(Clients_chun_clean[[#This Row],[Province_Client]],Master_Logs_reseau_registre!B261:F1332,2,0)</f>
        <v>ANT-0826</v>
      </c>
      <c r="E261" s="1" t="s">
        <v>1506</v>
      </c>
      <c r="F261" s="1" t="s">
        <v>1507</v>
      </c>
      <c r="G261" s="1" t="s">
        <v>813</v>
      </c>
      <c r="H261">
        <v>118</v>
      </c>
      <c r="I261">
        <v>9</v>
      </c>
      <c r="J261" s="1" t="s">
        <v>1705</v>
      </c>
      <c r="K261" s="1" t="s">
        <v>14</v>
      </c>
      <c r="L261">
        <v>132</v>
      </c>
      <c r="M261" s="4">
        <v>9.166666666666666E-2</v>
      </c>
      <c r="N261" s="10">
        <v>40.880000000000003</v>
      </c>
      <c r="O261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261" s="10">
        <f>Clients_chun_clean[[#This Row],[Facture_Mensuelle]]*Clients_chun_clean[[#This Row],[Remise]]</f>
        <v>4.0880000000000001</v>
      </c>
      <c r="Q261">
        <v>4</v>
      </c>
    </row>
    <row r="262" spans="1:17" x14ac:dyDescent="0.25">
      <c r="A262" s="1" t="s">
        <v>292</v>
      </c>
      <c r="B262" s="1" t="s">
        <v>304</v>
      </c>
      <c r="C262" s="1" t="s">
        <v>10</v>
      </c>
      <c r="D262" s="1" t="str">
        <f>VLOOKUP(Clients_chun_clean[[#This Row],[Province_Client]],Master_Logs_reseau_registre!B262:F1333,2,0)</f>
        <v>ANT-0821</v>
      </c>
      <c r="E262" s="1" t="s">
        <v>1503</v>
      </c>
      <c r="F262" s="1" t="s">
        <v>1509</v>
      </c>
      <c r="G262" s="1" t="s">
        <v>811</v>
      </c>
      <c r="H262">
        <v>16</v>
      </c>
      <c r="I262">
        <v>1</v>
      </c>
      <c r="J262" s="1" t="s">
        <v>1704</v>
      </c>
      <c r="K262" s="1" t="s">
        <v>19</v>
      </c>
      <c r="L262">
        <v>461</v>
      </c>
      <c r="M262" s="4">
        <v>0.32013888888888886</v>
      </c>
      <c r="N262" s="10">
        <v>38.369999999999997</v>
      </c>
      <c r="O262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262" s="10">
        <f>Clients_chun_clean[[#This Row],[Facture_Mensuelle]]*Clients_chun_clean[[#This Row],[Remise]]</f>
        <v>17.266500000000001</v>
      </c>
      <c r="Q262">
        <v>4</v>
      </c>
    </row>
    <row r="263" spans="1:17" x14ac:dyDescent="0.25">
      <c r="A263" s="1" t="s">
        <v>292</v>
      </c>
      <c r="B263" s="1" t="s">
        <v>305</v>
      </c>
      <c r="C263" s="1" t="s">
        <v>40</v>
      </c>
      <c r="D263" s="1" t="str">
        <f>VLOOKUP(Clients_chun_clean[[#This Row],[Province_Client]],Master_Logs_reseau_registre!B263:F1334,2,0)</f>
        <v>ANT-0991</v>
      </c>
      <c r="E263" s="1" t="s">
        <v>1503</v>
      </c>
      <c r="F263" s="1" t="s">
        <v>1509</v>
      </c>
      <c r="G263" s="1" t="s">
        <v>811</v>
      </c>
      <c r="H263">
        <v>50</v>
      </c>
      <c r="I263">
        <v>4</v>
      </c>
      <c r="J263" s="1" t="s">
        <v>1704</v>
      </c>
      <c r="K263" s="1" t="s">
        <v>22</v>
      </c>
      <c r="L263">
        <v>446</v>
      </c>
      <c r="M263" s="4">
        <v>0.30972222222222223</v>
      </c>
      <c r="N263" s="10">
        <v>31.56</v>
      </c>
      <c r="O263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263" s="10">
        <f>Clients_chun_clean[[#This Row],[Facture_Mensuelle]]*Clients_chun_clean[[#This Row],[Remise]]</f>
        <v>14.202</v>
      </c>
      <c r="Q263">
        <v>5</v>
      </c>
    </row>
    <row r="264" spans="1:17" x14ac:dyDescent="0.25">
      <c r="A264" s="1" t="s">
        <v>292</v>
      </c>
      <c r="B264" s="1" t="s">
        <v>306</v>
      </c>
      <c r="C264" s="1" t="s">
        <v>137</v>
      </c>
      <c r="D264" s="1" t="str">
        <f>VLOOKUP(Clients_chun_clean[[#This Row],[Province_Client]],Master_Logs_reseau_registre!B264:F1335,2,0)</f>
        <v>ANT-0845</v>
      </c>
      <c r="E264" s="1" t="s">
        <v>1508</v>
      </c>
      <c r="F264" s="1" t="s">
        <v>1509</v>
      </c>
      <c r="G264" s="1" t="s">
        <v>811</v>
      </c>
      <c r="H264">
        <v>120</v>
      </c>
      <c r="I264">
        <v>10</v>
      </c>
      <c r="J264" s="1" t="s">
        <v>1705</v>
      </c>
      <c r="K264" s="1" t="s">
        <v>14</v>
      </c>
      <c r="L264">
        <v>209</v>
      </c>
      <c r="M264" s="4">
        <v>0.1451388888888889</v>
      </c>
      <c r="N264" s="10">
        <v>42.51</v>
      </c>
      <c r="O264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264" s="10">
        <f>Clients_chun_clean[[#This Row],[Facture_Mensuelle]]*Clients_chun_clean[[#This Row],[Remise]]</f>
        <v>4.2510000000000003</v>
      </c>
      <c r="Q264">
        <v>4</v>
      </c>
    </row>
    <row r="265" spans="1:17" x14ac:dyDescent="0.25">
      <c r="A265" s="1" t="s">
        <v>292</v>
      </c>
      <c r="B265" s="1" t="s">
        <v>307</v>
      </c>
      <c r="C265" s="1" t="s">
        <v>35</v>
      </c>
      <c r="D265" s="1" t="str">
        <f>VLOOKUP(Clients_chun_clean[[#This Row],[Province_Client]],Master_Logs_reseau_registre!B265:F1336,2,0)</f>
        <v>ANT-0091</v>
      </c>
      <c r="E265" s="1" t="s">
        <v>1508</v>
      </c>
      <c r="F265" s="1" t="s">
        <v>1509</v>
      </c>
      <c r="G265" s="1" t="s">
        <v>811</v>
      </c>
      <c r="H265">
        <v>73</v>
      </c>
      <c r="I265">
        <v>6</v>
      </c>
      <c r="J265" s="1" t="s">
        <v>1704</v>
      </c>
      <c r="K265" s="1" t="s">
        <v>22</v>
      </c>
      <c r="L265">
        <v>225</v>
      </c>
      <c r="M265" s="4">
        <v>0.15625</v>
      </c>
      <c r="N265" s="10">
        <v>45.86</v>
      </c>
      <c r="O265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265" s="10">
        <f>Clients_chun_clean[[#This Row],[Facture_Mensuelle]]*Clients_chun_clean[[#This Row],[Remise]]</f>
        <v>0</v>
      </c>
      <c r="Q265">
        <v>0</v>
      </c>
    </row>
    <row r="266" spans="1:17" x14ac:dyDescent="0.25">
      <c r="A266" s="1" t="s">
        <v>292</v>
      </c>
      <c r="B266" s="1" t="s">
        <v>308</v>
      </c>
      <c r="C266" s="1" t="s">
        <v>31</v>
      </c>
      <c r="D266" s="1" t="str">
        <f>VLOOKUP(Clients_chun_clean[[#This Row],[Province_Client]],Master_Logs_reseau_registre!B266:F1337,2,0)</f>
        <v>ANT-0926</v>
      </c>
      <c r="E266" s="1" t="s">
        <v>1506</v>
      </c>
      <c r="F266" s="1" t="s">
        <v>1507</v>
      </c>
      <c r="G266" s="1" t="s">
        <v>811</v>
      </c>
      <c r="H266">
        <v>21</v>
      </c>
      <c r="I266">
        <v>1</v>
      </c>
      <c r="J266" s="1" t="s">
        <v>1705</v>
      </c>
      <c r="K266" s="1" t="s">
        <v>14</v>
      </c>
      <c r="L266">
        <v>320</v>
      </c>
      <c r="M266" s="4">
        <v>0.22222222222222221</v>
      </c>
      <c r="N266" s="10">
        <v>64.97</v>
      </c>
      <c r="O266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266" s="10">
        <f>Clients_chun_clean[[#This Row],[Facture_Mensuelle]]*Clients_chun_clean[[#This Row],[Remise]]</f>
        <v>29.236499999999999</v>
      </c>
      <c r="Q266">
        <v>1</v>
      </c>
    </row>
    <row r="267" spans="1:17" x14ac:dyDescent="0.25">
      <c r="A267" s="1" t="s">
        <v>292</v>
      </c>
      <c r="B267" s="1" t="s">
        <v>309</v>
      </c>
      <c r="C267" s="1" t="s">
        <v>60</v>
      </c>
      <c r="D267" s="1" t="str">
        <f>VLOOKUP(Clients_chun_clean[[#This Row],[Province_Client]],Master_Logs_reseau_registre!B267:F1338,2,0)</f>
        <v>ANT-0870</v>
      </c>
      <c r="E267" s="1" t="s">
        <v>1506</v>
      </c>
      <c r="F267" s="1" t="s">
        <v>1507</v>
      </c>
      <c r="G267" s="1" t="s">
        <v>811</v>
      </c>
      <c r="H267">
        <v>25</v>
      </c>
      <c r="I267">
        <v>2</v>
      </c>
      <c r="J267" s="1" t="s">
        <v>1704</v>
      </c>
      <c r="K267" s="1" t="s">
        <v>11</v>
      </c>
      <c r="L267">
        <v>467</v>
      </c>
      <c r="M267" s="4">
        <v>0.32430555555555557</v>
      </c>
      <c r="N267" s="10">
        <v>97.78</v>
      </c>
      <c r="O267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267" s="10">
        <f>Clients_chun_clean[[#This Row],[Facture_Mensuelle]]*Clients_chun_clean[[#This Row],[Remise]]</f>
        <v>44.001000000000005</v>
      </c>
      <c r="Q267">
        <v>3</v>
      </c>
    </row>
    <row r="268" spans="1:17" x14ac:dyDescent="0.25">
      <c r="A268" s="1" t="s">
        <v>292</v>
      </c>
      <c r="B268" s="1" t="s">
        <v>310</v>
      </c>
      <c r="C268" s="1" t="s">
        <v>44</v>
      </c>
      <c r="D268" s="1" t="str">
        <f>VLOOKUP(Clients_chun_clean[[#This Row],[Province_Client]],Master_Logs_reseau_registre!B268:F1339,2,0)</f>
        <v>ANT-0236</v>
      </c>
      <c r="E268" s="1" t="s">
        <v>1508</v>
      </c>
      <c r="F268" s="1" t="s">
        <v>1509</v>
      </c>
      <c r="G268" s="1" t="s">
        <v>811</v>
      </c>
      <c r="H268">
        <v>98</v>
      </c>
      <c r="I268">
        <v>8</v>
      </c>
      <c r="J268" s="1" t="s">
        <v>1704</v>
      </c>
      <c r="K268" s="1" t="s">
        <v>11</v>
      </c>
      <c r="L268">
        <v>319</v>
      </c>
      <c r="M268" s="4">
        <v>0.22152777777777777</v>
      </c>
      <c r="N268" s="10">
        <v>88.58</v>
      </c>
      <c r="O268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268" s="10">
        <f>Clients_chun_clean[[#This Row],[Facture_Mensuelle]]*Clients_chun_clean[[#This Row],[Remise]]</f>
        <v>39.860999999999997</v>
      </c>
      <c r="Q268">
        <v>0</v>
      </c>
    </row>
    <row r="269" spans="1:17" x14ac:dyDescent="0.25">
      <c r="A269" s="1" t="s">
        <v>292</v>
      </c>
      <c r="B269" s="1" t="s">
        <v>311</v>
      </c>
      <c r="C269" s="1" t="s">
        <v>60</v>
      </c>
      <c r="D269" s="1" t="str">
        <f>VLOOKUP(Clients_chun_clean[[#This Row],[Province_Client]],Master_Logs_reseau_registre!B269:F1340,2,0)</f>
        <v>ANT-0870</v>
      </c>
      <c r="E269" s="1" t="s">
        <v>1506</v>
      </c>
      <c r="F269" s="1" t="s">
        <v>1504</v>
      </c>
      <c r="G269" s="1" t="s">
        <v>811</v>
      </c>
      <c r="H269">
        <v>56</v>
      </c>
      <c r="I269">
        <v>4</v>
      </c>
      <c r="J269" s="1" t="s">
        <v>1705</v>
      </c>
      <c r="K269" s="1" t="s">
        <v>14</v>
      </c>
      <c r="L269">
        <v>55</v>
      </c>
      <c r="M269" s="4">
        <v>3.8194444444444448E-2</v>
      </c>
      <c r="N269" s="10">
        <v>82.56</v>
      </c>
      <c r="O269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269" s="10">
        <f>Clients_chun_clean[[#This Row],[Facture_Mensuelle]]*Clients_chun_clean[[#This Row],[Remise]]</f>
        <v>8.2560000000000002</v>
      </c>
      <c r="Q269">
        <v>2</v>
      </c>
    </row>
    <row r="270" spans="1:17" x14ac:dyDescent="0.25">
      <c r="A270" s="1" t="s">
        <v>292</v>
      </c>
      <c r="B270" s="1" t="s">
        <v>312</v>
      </c>
      <c r="C270" s="1" t="s">
        <v>18</v>
      </c>
      <c r="D270" s="1" t="str">
        <f>VLOOKUP(Clients_chun_clean[[#This Row],[Province_Client]],Master_Logs_reseau_registre!B270:F1341,2,0)</f>
        <v>ANT-0371</v>
      </c>
      <c r="E270" s="1" t="s">
        <v>1506</v>
      </c>
      <c r="F270" s="1" t="s">
        <v>1504</v>
      </c>
      <c r="G270" s="1" t="s">
        <v>811</v>
      </c>
      <c r="H270">
        <v>33</v>
      </c>
      <c r="I270">
        <v>2</v>
      </c>
      <c r="J270" s="1" t="s">
        <v>1704</v>
      </c>
      <c r="K270" s="1" t="s">
        <v>11</v>
      </c>
      <c r="L270">
        <v>444</v>
      </c>
      <c r="M270" s="4">
        <v>0.30833333333333335</v>
      </c>
      <c r="N270" s="10">
        <v>10.28</v>
      </c>
      <c r="O270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270" s="10">
        <f>Clients_chun_clean[[#This Row],[Facture_Mensuelle]]*Clients_chun_clean[[#This Row],[Remise]]</f>
        <v>4.6259999999999994</v>
      </c>
      <c r="Q270">
        <v>5</v>
      </c>
    </row>
    <row r="271" spans="1:17" x14ac:dyDescent="0.25">
      <c r="A271" s="1" t="s">
        <v>292</v>
      </c>
      <c r="B271" s="1" t="s">
        <v>313</v>
      </c>
      <c r="C271" s="1" t="s">
        <v>29</v>
      </c>
      <c r="D271" s="1" t="str">
        <f>VLOOKUP(Clients_chun_clean[[#This Row],[Province_Client]],Master_Logs_reseau_registre!B271:F1342,2,0)</f>
        <v>ANT-0788</v>
      </c>
      <c r="E271" s="1" t="s">
        <v>1506</v>
      </c>
      <c r="F271" s="1" t="s">
        <v>1504</v>
      </c>
      <c r="G271" s="1" t="s">
        <v>811</v>
      </c>
      <c r="H271">
        <v>99</v>
      </c>
      <c r="I271">
        <v>8</v>
      </c>
      <c r="J271" s="1" t="s">
        <v>1705</v>
      </c>
      <c r="K271" s="1" t="s">
        <v>14</v>
      </c>
      <c r="L271">
        <v>325</v>
      </c>
      <c r="M271" s="4">
        <v>0.22569444444444445</v>
      </c>
      <c r="N271" s="10">
        <v>88.35</v>
      </c>
      <c r="O271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271" s="10">
        <f>Clients_chun_clean[[#This Row],[Facture_Mensuelle]]*Clients_chun_clean[[#This Row],[Remise]]</f>
        <v>39.7575</v>
      </c>
      <c r="Q271">
        <v>4</v>
      </c>
    </row>
    <row r="272" spans="1:17" x14ac:dyDescent="0.25">
      <c r="A272" s="1" t="s">
        <v>292</v>
      </c>
      <c r="B272" s="1" t="s">
        <v>314</v>
      </c>
      <c r="C272" s="1" t="s">
        <v>67</v>
      </c>
      <c r="D272" s="1" t="str">
        <f>VLOOKUP(Clients_chun_clean[[#This Row],[Province_Client]],Master_Logs_reseau_registre!B272:F1343,2,0)</f>
        <v>ANT-0032</v>
      </c>
      <c r="E272" s="1" t="s">
        <v>1508</v>
      </c>
      <c r="F272" s="1" t="s">
        <v>1507</v>
      </c>
      <c r="G272" s="1" t="s">
        <v>813</v>
      </c>
      <c r="H272">
        <v>117</v>
      </c>
      <c r="I272">
        <v>9</v>
      </c>
      <c r="J272" s="1" t="s">
        <v>1704</v>
      </c>
      <c r="K272" s="1" t="s">
        <v>19</v>
      </c>
      <c r="L272">
        <v>85</v>
      </c>
      <c r="M272" s="4">
        <v>5.9027777777777776E-2</v>
      </c>
      <c r="N272" s="10">
        <v>46.16</v>
      </c>
      <c r="O272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272" s="10">
        <f>Clients_chun_clean[[#This Row],[Facture_Mensuelle]]*Clients_chun_clean[[#This Row],[Remise]]</f>
        <v>0</v>
      </c>
      <c r="Q272">
        <v>3</v>
      </c>
    </row>
    <row r="273" spans="1:17" x14ac:dyDescent="0.25">
      <c r="A273" s="1" t="s">
        <v>292</v>
      </c>
      <c r="B273" s="1" t="s">
        <v>315</v>
      </c>
      <c r="C273" s="1" t="s">
        <v>131</v>
      </c>
      <c r="D273" s="1" t="str">
        <f>VLOOKUP(Clients_chun_clean[[#This Row],[Province_Client]],Master_Logs_reseau_registre!B273:F1344,2,0)</f>
        <v>ANT-0826</v>
      </c>
      <c r="E273" s="1" t="s">
        <v>1506</v>
      </c>
      <c r="F273" s="1" t="s">
        <v>1504</v>
      </c>
      <c r="G273" s="1" t="s">
        <v>811</v>
      </c>
      <c r="H273">
        <v>97</v>
      </c>
      <c r="I273">
        <v>8</v>
      </c>
      <c r="J273" s="1" t="s">
        <v>1704</v>
      </c>
      <c r="K273" s="1" t="s">
        <v>19</v>
      </c>
      <c r="L273">
        <v>40</v>
      </c>
      <c r="M273" s="4">
        <v>2.7777777777777776E-2</v>
      </c>
      <c r="N273" s="10">
        <v>85.19</v>
      </c>
      <c r="O273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273" s="10">
        <f>Clients_chun_clean[[#This Row],[Facture_Mensuelle]]*Clients_chun_clean[[#This Row],[Remise]]</f>
        <v>0</v>
      </c>
      <c r="Q273">
        <v>1</v>
      </c>
    </row>
    <row r="274" spans="1:17" x14ac:dyDescent="0.25">
      <c r="A274" s="1" t="s">
        <v>292</v>
      </c>
      <c r="B274" s="1" t="s">
        <v>316</v>
      </c>
      <c r="C274" s="1" t="s">
        <v>127</v>
      </c>
      <c r="D274" s="1" t="str">
        <f>VLOOKUP(Clients_chun_clean[[#This Row],[Province_Client]],Master_Logs_reseau_registre!B274:F1345,2,0)</f>
        <v>ANT-0503</v>
      </c>
      <c r="E274" s="1" t="s">
        <v>1508</v>
      </c>
      <c r="F274" s="1" t="s">
        <v>1507</v>
      </c>
      <c r="G274" s="1" t="s">
        <v>811</v>
      </c>
      <c r="H274">
        <v>93</v>
      </c>
      <c r="I274">
        <v>7</v>
      </c>
      <c r="J274" s="1" t="s">
        <v>1704</v>
      </c>
      <c r="K274" s="1" t="s">
        <v>11</v>
      </c>
      <c r="L274">
        <v>150</v>
      </c>
      <c r="M274" s="4">
        <v>0.10416666666666667</v>
      </c>
      <c r="N274" s="10">
        <v>93.25</v>
      </c>
      <c r="O274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274" s="10">
        <f>Clients_chun_clean[[#This Row],[Facture_Mensuelle]]*Clients_chun_clean[[#This Row],[Remise]]</f>
        <v>0</v>
      </c>
      <c r="Q274">
        <v>3</v>
      </c>
    </row>
    <row r="275" spans="1:17" x14ac:dyDescent="0.25">
      <c r="A275" s="1" t="s">
        <v>292</v>
      </c>
      <c r="B275" s="1" t="s">
        <v>317</v>
      </c>
      <c r="C275" s="1" t="s">
        <v>35</v>
      </c>
      <c r="D275" s="1" t="str">
        <f>VLOOKUP(Clients_chun_clean[[#This Row],[Province_Client]],Master_Logs_reseau_registre!B275:F1346,2,0)</f>
        <v>ANT-0091</v>
      </c>
      <c r="E275" s="1" t="s">
        <v>1508</v>
      </c>
      <c r="F275" s="1" t="s">
        <v>1507</v>
      </c>
      <c r="G275" s="1" t="s">
        <v>811</v>
      </c>
      <c r="H275">
        <v>45</v>
      </c>
      <c r="I275">
        <v>3</v>
      </c>
      <c r="J275" s="1" t="s">
        <v>1704</v>
      </c>
      <c r="K275" s="1" t="s">
        <v>22</v>
      </c>
      <c r="L275">
        <v>43</v>
      </c>
      <c r="M275" s="4">
        <v>2.9861111111111113E-2</v>
      </c>
      <c r="N275" s="10">
        <v>12.31</v>
      </c>
      <c r="O275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275" s="10">
        <f>Clients_chun_clean[[#This Row],[Facture_Mensuelle]]*Clients_chun_clean[[#This Row],[Remise]]</f>
        <v>0</v>
      </c>
      <c r="Q275">
        <v>0</v>
      </c>
    </row>
    <row r="276" spans="1:17" x14ac:dyDescent="0.25">
      <c r="A276" s="1" t="s">
        <v>292</v>
      </c>
      <c r="B276" s="1" t="s">
        <v>318</v>
      </c>
      <c r="C276" s="1" t="s">
        <v>127</v>
      </c>
      <c r="D276" s="1" t="str">
        <f>VLOOKUP(Clients_chun_clean[[#This Row],[Province_Client]],Master_Logs_reseau_registre!B276:F1347,2,0)</f>
        <v>ANT-0503</v>
      </c>
      <c r="E276" s="1" t="s">
        <v>1508</v>
      </c>
      <c r="F276" s="1" t="s">
        <v>1507</v>
      </c>
      <c r="G276" s="1" t="s">
        <v>811</v>
      </c>
      <c r="H276">
        <v>66</v>
      </c>
      <c r="I276">
        <v>5</v>
      </c>
      <c r="J276" s="1" t="s">
        <v>1704</v>
      </c>
      <c r="K276" s="1" t="s">
        <v>11</v>
      </c>
      <c r="L276">
        <v>193</v>
      </c>
      <c r="M276" s="4">
        <v>0.13402777777777777</v>
      </c>
      <c r="N276" s="10">
        <v>21.06</v>
      </c>
      <c r="O276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276" s="10">
        <f>Clients_chun_clean[[#This Row],[Facture_Mensuelle]]*Clients_chun_clean[[#This Row],[Remise]]</f>
        <v>0</v>
      </c>
      <c r="Q276">
        <v>3</v>
      </c>
    </row>
    <row r="277" spans="1:17" x14ac:dyDescent="0.25">
      <c r="A277" s="1" t="s">
        <v>292</v>
      </c>
      <c r="B277" s="1" t="s">
        <v>319</v>
      </c>
      <c r="C277" s="1" t="s">
        <v>35</v>
      </c>
      <c r="D277" s="1" t="str">
        <f>VLOOKUP(Clients_chun_clean[[#This Row],[Province_Client]],Master_Logs_reseau_registre!B277:F1348,2,0)</f>
        <v>ANT-0091</v>
      </c>
      <c r="E277" s="1" t="s">
        <v>1508</v>
      </c>
      <c r="F277" s="1" t="s">
        <v>1509</v>
      </c>
      <c r="G277" s="1" t="s">
        <v>813</v>
      </c>
      <c r="H277">
        <v>91</v>
      </c>
      <c r="I277">
        <v>7</v>
      </c>
      <c r="J277" s="1" t="s">
        <v>1704</v>
      </c>
      <c r="K277" s="1" t="s">
        <v>22</v>
      </c>
      <c r="L277">
        <v>63</v>
      </c>
      <c r="M277" s="4">
        <v>4.3749999999999997E-2</v>
      </c>
      <c r="N277" s="10">
        <v>57.76</v>
      </c>
      <c r="O277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277" s="10">
        <f>Clients_chun_clean[[#This Row],[Facture_Mensuelle]]*Clients_chun_clean[[#This Row],[Remise]]</f>
        <v>0</v>
      </c>
      <c r="Q277">
        <v>5</v>
      </c>
    </row>
    <row r="278" spans="1:17" x14ac:dyDescent="0.25">
      <c r="A278" s="1" t="s">
        <v>292</v>
      </c>
      <c r="B278" s="1" t="s">
        <v>320</v>
      </c>
      <c r="C278" s="1" t="s">
        <v>131</v>
      </c>
      <c r="D278" s="1" t="str">
        <f>VLOOKUP(Clients_chun_clean[[#This Row],[Province_Client]],Master_Logs_reseau_registre!B278:F1349,2,0)</f>
        <v>ANT-0282</v>
      </c>
      <c r="E278" s="1" t="s">
        <v>1506</v>
      </c>
      <c r="F278" s="1" t="s">
        <v>1507</v>
      </c>
      <c r="G278" s="1" t="s">
        <v>813</v>
      </c>
      <c r="H278">
        <v>63</v>
      </c>
      <c r="I278">
        <v>5</v>
      </c>
      <c r="J278" s="1" t="s">
        <v>1705</v>
      </c>
      <c r="K278" s="1" t="s">
        <v>14</v>
      </c>
      <c r="L278">
        <v>141</v>
      </c>
      <c r="M278" s="4">
        <v>9.7916666666666666E-2</v>
      </c>
      <c r="N278" s="10">
        <v>95.6</v>
      </c>
      <c r="O278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278" s="10">
        <f>Clients_chun_clean[[#This Row],[Facture_Mensuelle]]*Clients_chun_clean[[#This Row],[Remise]]</f>
        <v>9.56</v>
      </c>
      <c r="Q278">
        <v>4</v>
      </c>
    </row>
    <row r="279" spans="1:17" x14ac:dyDescent="0.25">
      <c r="A279" s="1" t="s">
        <v>292</v>
      </c>
      <c r="B279" s="1" t="s">
        <v>321</v>
      </c>
      <c r="C279" s="1" t="s">
        <v>60</v>
      </c>
      <c r="D279" s="1" t="str">
        <f>VLOOKUP(Clients_chun_clean[[#This Row],[Province_Client]],Master_Logs_reseau_registre!B279:F1350,2,0)</f>
        <v>ANT-0870</v>
      </c>
      <c r="E279" s="1" t="s">
        <v>1506</v>
      </c>
      <c r="F279" s="1" t="s">
        <v>1507</v>
      </c>
      <c r="G279" s="1" t="s">
        <v>813</v>
      </c>
      <c r="H279">
        <v>82</v>
      </c>
      <c r="I279">
        <v>6</v>
      </c>
      <c r="J279" s="1" t="s">
        <v>1704</v>
      </c>
      <c r="K279" s="1" t="s">
        <v>11</v>
      </c>
      <c r="L279">
        <v>32</v>
      </c>
      <c r="M279" s="4">
        <v>2.2222222222222223E-2</v>
      </c>
      <c r="N279" s="10">
        <v>77.63</v>
      </c>
      <c r="O279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279" s="10">
        <f>Clients_chun_clean[[#This Row],[Facture_Mensuelle]]*Clients_chun_clean[[#This Row],[Remise]]</f>
        <v>0</v>
      </c>
      <c r="Q279">
        <v>1</v>
      </c>
    </row>
    <row r="280" spans="1:17" x14ac:dyDescent="0.25">
      <c r="A280" s="1" t="s">
        <v>292</v>
      </c>
      <c r="B280" s="1" t="s">
        <v>322</v>
      </c>
      <c r="C280" s="1" t="s">
        <v>31</v>
      </c>
      <c r="D280" s="1" t="str">
        <f>VLOOKUP(Clients_chun_clean[[#This Row],[Province_Client]],Master_Logs_reseau_registre!B280:F1351,2,0)</f>
        <v>ANT-0926</v>
      </c>
      <c r="E280" s="1" t="s">
        <v>1506</v>
      </c>
      <c r="F280" s="1" t="s">
        <v>1507</v>
      </c>
      <c r="G280" s="1" t="s">
        <v>813</v>
      </c>
      <c r="H280">
        <v>89</v>
      </c>
      <c r="I280">
        <v>7</v>
      </c>
      <c r="J280" s="1" t="s">
        <v>1704</v>
      </c>
      <c r="K280" s="1" t="s">
        <v>19</v>
      </c>
      <c r="L280">
        <v>175</v>
      </c>
      <c r="M280" s="4">
        <v>0.12152777777777778</v>
      </c>
      <c r="N280" s="10">
        <v>32.369999999999997</v>
      </c>
      <c r="O280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280" s="10">
        <f>Clients_chun_clean[[#This Row],[Facture_Mensuelle]]*Clients_chun_clean[[#This Row],[Remise]]</f>
        <v>0</v>
      </c>
      <c r="Q280">
        <v>1</v>
      </c>
    </row>
    <row r="281" spans="1:17" x14ac:dyDescent="0.25">
      <c r="A281" s="1" t="s">
        <v>292</v>
      </c>
      <c r="B281" s="1" t="s">
        <v>323</v>
      </c>
      <c r="C281" s="1" t="s">
        <v>26</v>
      </c>
      <c r="D281" s="1" t="str">
        <f>VLOOKUP(Clients_chun_clean[[#This Row],[Province_Client]],Master_Logs_reseau_registre!B281:F1352,2,0)</f>
        <v>ANT-0381</v>
      </c>
      <c r="E281" s="1" t="s">
        <v>1503</v>
      </c>
      <c r="F281" s="1" t="s">
        <v>1507</v>
      </c>
      <c r="G281" s="1" t="s">
        <v>813</v>
      </c>
      <c r="H281">
        <v>48</v>
      </c>
      <c r="I281">
        <v>4</v>
      </c>
      <c r="J281" s="1" t="s">
        <v>1704</v>
      </c>
      <c r="K281" s="1" t="s">
        <v>22</v>
      </c>
      <c r="L281">
        <v>15</v>
      </c>
      <c r="M281" s="4">
        <v>1.0416666666666666E-2</v>
      </c>
      <c r="N281" s="10">
        <v>50.67</v>
      </c>
      <c r="O281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281" s="10">
        <f>Clients_chun_clean[[#This Row],[Facture_Mensuelle]]*Clients_chun_clean[[#This Row],[Remise]]</f>
        <v>0</v>
      </c>
      <c r="Q281">
        <v>1</v>
      </c>
    </row>
    <row r="282" spans="1:17" x14ac:dyDescent="0.25">
      <c r="A282" s="1" t="s">
        <v>292</v>
      </c>
      <c r="B282" s="1" t="s">
        <v>324</v>
      </c>
      <c r="C282" s="1" t="s">
        <v>40</v>
      </c>
      <c r="D282" s="1" t="str">
        <f>VLOOKUP(Clients_chun_clean[[#This Row],[Province_Client]],Master_Logs_reseau_registre!B282:F1353,2,0)</f>
        <v>ANT-0612</v>
      </c>
      <c r="E282" s="1" t="s">
        <v>1506</v>
      </c>
      <c r="F282" s="1" t="s">
        <v>1507</v>
      </c>
      <c r="G282" s="1" t="s">
        <v>811</v>
      </c>
      <c r="H282">
        <v>90</v>
      </c>
      <c r="I282">
        <v>7</v>
      </c>
      <c r="J282" s="1" t="s">
        <v>1705</v>
      </c>
      <c r="K282" s="1" t="s">
        <v>14</v>
      </c>
      <c r="L282">
        <v>299</v>
      </c>
      <c r="M282" s="4">
        <v>0.2076388888888889</v>
      </c>
      <c r="N282" s="10">
        <v>71.760000000000005</v>
      </c>
      <c r="O282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282" s="10">
        <f>Clients_chun_clean[[#This Row],[Facture_Mensuelle]]*Clients_chun_clean[[#This Row],[Remise]]</f>
        <v>32.292000000000002</v>
      </c>
      <c r="Q282">
        <v>1</v>
      </c>
    </row>
    <row r="283" spans="1:17" x14ac:dyDescent="0.25">
      <c r="A283" s="1" t="s">
        <v>292</v>
      </c>
      <c r="B283" s="1" t="s">
        <v>325</v>
      </c>
      <c r="C283" s="1" t="s">
        <v>78</v>
      </c>
      <c r="D283" s="1" t="str">
        <f>VLOOKUP(Clients_chun_clean[[#This Row],[Province_Client]],Master_Logs_reseau_registre!B283:F1354,2,0)</f>
        <v>ANT-0302</v>
      </c>
      <c r="E283" s="1" t="s">
        <v>1506</v>
      </c>
      <c r="F283" s="1" t="s">
        <v>1507</v>
      </c>
      <c r="G283" s="1" t="s">
        <v>811</v>
      </c>
      <c r="H283">
        <v>8</v>
      </c>
      <c r="I283">
        <v>0</v>
      </c>
      <c r="J283" s="1" t="s">
        <v>1704</v>
      </c>
      <c r="K283" s="1" t="s">
        <v>19</v>
      </c>
      <c r="L283">
        <v>120</v>
      </c>
      <c r="M283" s="4">
        <v>8.3333333333333329E-2</v>
      </c>
      <c r="N283" s="10">
        <v>88.29</v>
      </c>
      <c r="O283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283" s="10">
        <f>Clients_chun_clean[[#This Row],[Facture_Mensuelle]]*Clients_chun_clean[[#This Row],[Remise]]</f>
        <v>0</v>
      </c>
      <c r="Q283">
        <v>5</v>
      </c>
    </row>
    <row r="284" spans="1:17" x14ac:dyDescent="0.25">
      <c r="A284" s="1" t="s">
        <v>292</v>
      </c>
      <c r="B284" s="1" t="s">
        <v>326</v>
      </c>
      <c r="C284" s="1" t="s">
        <v>44</v>
      </c>
      <c r="D284" s="1" t="str">
        <f>VLOOKUP(Clients_chun_clean[[#This Row],[Province_Client]],Master_Logs_reseau_registre!B284:F1355,2,0)</f>
        <v>ANT-0236</v>
      </c>
      <c r="E284" s="1" t="s">
        <v>1508</v>
      </c>
      <c r="F284" s="1" t="s">
        <v>1509</v>
      </c>
      <c r="G284" s="1" t="s">
        <v>813</v>
      </c>
      <c r="H284">
        <v>84</v>
      </c>
      <c r="I284">
        <v>7</v>
      </c>
      <c r="J284" s="1" t="s">
        <v>1704</v>
      </c>
      <c r="K284" s="1" t="s">
        <v>19</v>
      </c>
      <c r="L284">
        <v>244</v>
      </c>
      <c r="M284" s="4">
        <v>0.16944444444444445</v>
      </c>
      <c r="N284" s="10">
        <v>56.34</v>
      </c>
      <c r="O284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284" s="10">
        <f>Clients_chun_clean[[#This Row],[Facture_Mensuelle]]*Clients_chun_clean[[#This Row],[Remise]]</f>
        <v>25.353000000000002</v>
      </c>
      <c r="Q284">
        <v>5</v>
      </c>
    </row>
    <row r="285" spans="1:17" x14ac:dyDescent="0.25">
      <c r="A285" s="1" t="s">
        <v>292</v>
      </c>
      <c r="B285" s="1" t="s">
        <v>327</v>
      </c>
      <c r="C285" s="1" t="s">
        <v>37</v>
      </c>
      <c r="D285" s="1" t="str">
        <f>VLOOKUP(Clients_chun_clean[[#This Row],[Province_Client]],Master_Logs_reseau_registre!B285:F1356,2,0)</f>
        <v>ANT-0391</v>
      </c>
      <c r="E285" s="1" t="s">
        <v>1503</v>
      </c>
      <c r="F285" s="1" t="s">
        <v>1504</v>
      </c>
      <c r="G285" s="1" t="s">
        <v>813</v>
      </c>
      <c r="H285">
        <v>50</v>
      </c>
      <c r="I285">
        <v>4</v>
      </c>
      <c r="J285" s="1" t="s">
        <v>1704</v>
      </c>
      <c r="K285" s="1" t="s">
        <v>19</v>
      </c>
      <c r="L285">
        <v>248</v>
      </c>
      <c r="M285" s="4">
        <v>0.17222222222222222</v>
      </c>
      <c r="N285" s="10">
        <v>69.42</v>
      </c>
      <c r="O285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285" s="10">
        <f>Clients_chun_clean[[#This Row],[Facture_Mensuelle]]*Clients_chun_clean[[#This Row],[Remise]]</f>
        <v>31.239000000000001</v>
      </c>
      <c r="Q285">
        <v>0</v>
      </c>
    </row>
    <row r="286" spans="1:17" x14ac:dyDescent="0.25">
      <c r="A286" s="1" t="s">
        <v>292</v>
      </c>
      <c r="B286" s="1" t="s">
        <v>328</v>
      </c>
      <c r="C286" s="1" t="s">
        <v>26</v>
      </c>
      <c r="D286" s="1" t="str">
        <f>VLOOKUP(Clients_chun_clean[[#This Row],[Province_Client]],Master_Logs_reseau_registre!B286:F1357,2,0)</f>
        <v>ANT-0381</v>
      </c>
      <c r="E286" s="1" t="s">
        <v>1503</v>
      </c>
      <c r="F286" s="1" t="s">
        <v>1504</v>
      </c>
      <c r="G286" s="1" t="s">
        <v>813</v>
      </c>
      <c r="H286">
        <v>119</v>
      </c>
      <c r="I286">
        <v>9</v>
      </c>
      <c r="J286" s="1" t="s">
        <v>1705</v>
      </c>
      <c r="K286" s="1" t="s">
        <v>14</v>
      </c>
      <c r="L286">
        <v>344</v>
      </c>
      <c r="M286" s="4">
        <v>0.2388888888888889</v>
      </c>
      <c r="N286" s="10">
        <v>10.28</v>
      </c>
      <c r="O286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286" s="10">
        <f>Clients_chun_clean[[#This Row],[Facture_Mensuelle]]*Clients_chun_clean[[#This Row],[Remise]]</f>
        <v>4.6259999999999994</v>
      </c>
      <c r="Q286">
        <v>0</v>
      </c>
    </row>
    <row r="287" spans="1:17" x14ac:dyDescent="0.25">
      <c r="A287" s="1" t="s">
        <v>292</v>
      </c>
      <c r="B287" s="1" t="s">
        <v>329</v>
      </c>
      <c r="C287" s="1" t="s">
        <v>33</v>
      </c>
      <c r="D287" s="1" t="str">
        <f>VLOOKUP(Clients_chun_clean[[#This Row],[Province_Client]],Master_Logs_reseau_registre!B287:F1358,2,0)</f>
        <v>ANT-0735</v>
      </c>
      <c r="E287" s="1" t="s">
        <v>1506</v>
      </c>
      <c r="F287" s="1" t="s">
        <v>1507</v>
      </c>
      <c r="G287" s="1" t="s">
        <v>811</v>
      </c>
      <c r="H287">
        <v>55</v>
      </c>
      <c r="I287">
        <v>4</v>
      </c>
      <c r="J287" s="1" t="s">
        <v>1705</v>
      </c>
      <c r="K287" s="1" t="s">
        <v>14</v>
      </c>
      <c r="L287">
        <v>389</v>
      </c>
      <c r="M287" s="4">
        <v>0.27013888888888887</v>
      </c>
      <c r="N287" s="10">
        <v>67.430000000000007</v>
      </c>
      <c r="O287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287" s="10">
        <f>Clients_chun_clean[[#This Row],[Facture_Mensuelle]]*Clients_chun_clean[[#This Row],[Remise]]</f>
        <v>30.343500000000002</v>
      </c>
      <c r="Q287">
        <v>3</v>
      </c>
    </row>
    <row r="288" spans="1:17" x14ac:dyDescent="0.25">
      <c r="A288" s="1" t="s">
        <v>292</v>
      </c>
      <c r="B288" s="1" t="s">
        <v>330</v>
      </c>
      <c r="C288" s="1" t="s">
        <v>44</v>
      </c>
      <c r="D288" s="1" t="str">
        <f>VLOOKUP(Clients_chun_clean[[#This Row],[Province_Client]],Master_Logs_reseau_registre!B288:F1359,2,0)</f>
        <v>ANT-0236</v>
      </c>
      <c r="E288" s="1" t="s">
        <v>1508</v>
      </c>
      <c r="F288" s="1" t="s">
        <v>1509</v>
      </c>
      <c r="G288" s="1" t="s">
        <v>813</v>
      </c>
      <c r="H288">
        <v>95</v>
      </c>
      <c r="I288">
        <v>7</v>
      </c>
      <c r="J288" s="1" t="s">
        <v>1704</v>
      </c>
      <c r="K288" s="1" t="s">
        <v>11</v>
      </c>
      <c r="L288">
        <v>51</v>
      </c>
      <c r="M288" s="4">
        <v>3.5416666666666666E-2</v>
      </c>
      <c r="N288" s="10">
        <v>94.77</v>
      </c>
      <c r="O288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288" s="10">
        <f>Clients_chun_clean[[#This Row],[Facture_Mensuelle]]*Clients_chun_clean[[#This Row],[Remise]]</f>
        <v>0</v>
      </c>
      <c r="Q288">
        <v>5</v>
      </c>
    </row>
    <row r="289" spans="1:17" x14ac:dyDescent="0.25">
      <c r="A289" s="1" t="s">
        <v>292</v>
      </c>
      <c r="B289" s="1" t="s">
        <v>331</v>
      </c>
      <c r="C289" s="1" t="s">
        <v>33</v>
      </c>
      <c r="D289" s="1" t="str">
        <f>VLOOKUP(Clients_chun_clean[[#This Row],[Province_Client]],Master_Logs_reseau_registre!B289:F1360,2,0)</f>
        <v>ANT-0735</v>
      </c>
      <c r="E289" s="1" t="s">
        <v>1506</v>
      </c>
      <c r="F289" s="1" t="s">
        <v>1516</v>
      </c>
      <c r="G289" s="1" t="s">
        <v>808</v>
      </c>
      <c r="H289">
        <v>32</v>
      </c>
      <c r="I289">
        <v>2</v>
      </c>
      <c r="J289" s="1" t="s">
        <v>1705</v>
      </c>
      <c r="K289" s="1" t="s">
        <v>14</v>
      </c>
      <c r="L289">
        <v>4</v>
      </c>
      <c r="M289" s="4">
        <v>2.7777777777777779E-3</v>
      </c>
      <c r="N289" s="10">
        <v>39</v>
      </c>
      <c r="O289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289" s="10">
        <f>Clients_chun_clean[[#This Row],[Facture_Mensuelle]]*Clients_chun_clean[[#This Row],[Remise]]</f>
        <v>3.9000000000000004</v>
      </c>
      <c r="Q289">
        <v>0</v>
      </c>
    </row>
    <row r="290" spans="1:17" x14ac:dyDescent="0.25">
      <c r="A290" s="1" t="s">
        <v>292</v>
      </c>
      <c r="B290" s="1" t="s">
        <v>332</v>
      </c>
      <c r="C290" s="1" t="s">
        <v>64</v>
      </c>
      <c r="D290" s="1" t="str">
        <f>VLOOKUP(Clients_chun_clean[[#This Row],[Province_Client]],Master_Logs_reseau_registre!B290:F1361,2,0)</f>
        <v>ANT-0362</v>
      </c>
      <c r="E290" s="1" t="s">
        <v>1508</v>
      </c>
      <c r="F290" s="1" t="s">
        <v>1509</v>
      </c>
      <c r="G290" s="1" t="s">
        <v>813</v>
      </c>
      <c r="H290">
        <v>32</v>
      </c>
      <c r="I290">
        <v>2</v>
      </c>
      <c r="J290" s="1" t="s">
        <v>1704</v>
      </c>
      <c r="K290" s="1" t="s">
        <v>22</v>
      </c>
      <c r="L290">
        <v>31</v>
      </c>
      <c r="M290" s="4">
        <v>2.1527777777777778E-2</v>
      </c>
      <c r="N290" s="10">
        <v>67.040000000000006</v>
      </c>
      <c r="O290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290" s="10">
        <f>Clients_chun_clean[[#This Row],[Facture_Mensuelle]]*Clients_chun_clean[[#This Row],[Remise]]</f>
        <v>0</v>
      </c>
      <c r="Q290">
        <v>1</v>
      </c>
    </row>
    <row r="291" spans="1:17" x14ac:dyDescent="0.25">
      <c r="A291" s="1" t="s">
        <v>292</v>
      </c>
      <c r="B291" s="1" t="s">
        <v>333</v>
      </c>
      <c r="C291" s="1" t="s">
        <v>64</v>
      </c>
      <c r="D291" s="1" t="str">
        <f>VLOOKUP(Clients_chun_clean[[#This Row],[Province_Client]],Master_Logs_reseau_registre!B291:F1362,2,0)</f>
        <v>ANT-0362</v>
      </c>
      <c r="E291" s="1" t="s">
        <v>1508</v>
      </c>
      <c r="F291" s="1" t="s">
        <v>1507</v>
      </c>
      <c r="G291" s="1" t="s">
        <v>813</v>
      </c>
      <c r="H291">
        <v>62</v>
      </c>
      <c r="I291">
        <v>5</v>
      </c>
      <c r="J291" s="1" t="s">
        <v>1704</v>
      </c>
      <c r="K291" s="1" t="s">
        <v>22</v>
      </c>
      <c r="L291">
        <v>136</v>
      </c>
      <c r="M291" s="4">
        <v>9.4444444444444442E-2</v>
      </c>
      <c r="N291" s="10">
        <v>88.61</v>
      </c>
      <c r="O291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291" s="10">
        <f>Clients_chun_clean[[#This Row],[Facture_Mensuelle]]*Clients_chun_clean[[#This Row],[Remise]]</f>
        <v>0</v>
      </c>
      <c r="Q291">
        <v>2</v>
      </c>
    </row>
    <row r="292" spans="1:17" x14ac:dyDescent="0.25">
      <c r="A292" s="1" t="s">
        <v>292</v>
      </c>
      <c r="B292" s="1" t="s">
        <v>334</v>
      </c>
      <c r="C292" s="1" t="s">
        <v>73</v>
      </c>
      <c r="D292" s="1" t="str">
        <f>VLOOKUP(Clients_chun_clean[[#This Row],[Province_Client]],Master_Logs_reseau_registre!B292:F1363,2,0)</f>
        <v>ANT-0526</v>
      </c>
      <c r="E292" s="1" t="s">
        <v>1506</v>
      </c>
      <c r="F292" s="1" t="s">
        <v>1516</v>
      </c>
      <c r="G292" s="1" t="s">
        <v>808</v>
      </c>
      <c r="H292">
        <v>5</v>
      </c>
      <c r="I292">
        <v>0</v>
      </c>
      <c r="J292" s="1" t="s">
        <v>1704</v>
      </c>
      <c r="K292" s="1" t="s">
        <v>11</v>
      </c>
      <c r="L292">
        <v>384</v>
      </c>
      <c r="M292" s="4">
        <v>0.26666666666666666</v>
      </c>
      <c r="N292" s="10">
        <v>97.26</v>
      </c>
      <c r="O292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292" s="10">
        <f>Clients_chun_clean[[#This Row],[Facture_Mensuelle]]*Clients_chun_clean[[#This Row],[Remise]]</f>
        <v>43.767000000000003</v>
      </c>
      <c r="Q292">
        <v>3</v>
      </c>
    </row>
    <row r="293" spans="1:17" x14ac:dyDescent="0.25">
      <c r="A293" s="1" t="s">
        <v>292</v>
      </c>
      <c r="B293" s="1" t="s">
        <v>335</v>
      </c>
      <c r="C293" s="1" t="s">
        <v>18</v>
      </c>
      <c r="D293" s="1" t="str">
        <f>VLOOKUP(Clients_chun_clean[[#This Row],[Province_Client]],Master_Logs_reseau_registre!B293:F1364,2,0)</f>
        <v>ANT-0371</v>
      </c>
      <c r="E293" s="1" t="s">
        <v>1506</v>
      </c>
      <c r="F293" s="1" t="s">
        <v>1516</v>
      </c>
      <c r="G293" s="1" t="s">
        <v>808</v>
      </c>
      <c r="H293">
        <v>118</v>
      </c>
      <c r="I293">
        <v>9</v>
      </c>
      <c r="J293" s="1" t="s">
        <v>1704</v>
      </c>
      <c r="K293" s="1" t="s">
        <v>22</v>
      </c>
      <c r="L293">
        <v>489</v>
      </c>
      <c r="M293" s="4">
        <v>0.33958333333333335</v>
      </c>
      <c r="N293" s="10">
        <v>76.22</v>
      </c>
      <c r="O293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293" s="10">
        <f>Clients_chun_clean[[#This Row],[Facture_Mensuelle]]*Clients_chun_clean[[#This Row],[Remise]]</f>
        <v>34.298999999999999</v>
      </c>
      <c r="Q293">
        <v>2</v>
      </c>
    </row>
    <row r="294" spans="1:17" x14ac:dyDescent="0.25">
      <c r="A294" s="1" t="s">
        <v>292</v>
      </c>
      <c r="B294" s="1" t="s">
        <v>336</v>
      </c>
      <c r="C294" s="1" t="s">
        <v>18</v>
      </c>
      <c r="D294" s="1" t="str">
        <f>VLOOKUP(Clients_chun_clean[[#This Row],[Province_Client]],Master_Logs_reseau_registre!B294:F1365,2,0)</f>
        <v>ANT-0371</v>
      </c>
      <c r="E294" s="1" t="s">
        <v>1506</v>
      </c>
      <c r="F294" s="1" t="s">
        <v>1516</v>
      </c>
      <c r="G294" s="1" t="s">
        <v>808</v>
      </c>
      <c r="H294">
        <v>105</v>
      </c>
      <c r="I294">
        <v>8</v>
      </c>
      <c r="J294" s="1" t="s">
        <v>1704</v>
      </c>
      <c r="K294" s="1" t="s">
        <v>22</v>
      </c>
      <c r="L294">
        <v>3</v>
      </c>
      <c r="M294" s="4">
        <v>2.0833333333333333E-3</v>
      </c>
      <c r="N294" s="10">
        <v>71.010000000000005</v>
      </c>
      <c r="O294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294" s="10">
        <f>Clients_chun_clean[[#This Row],[Facture_Mensuelle]]*Clients_chun_clean[[#This Row],[Remise]]</f>
        <v>0</v>
      </c>
      <c r="Q294">
        <v>1</v>
      </c>
    </row>
    <row r="295" spans="1:17" x14ac:dyDescent="0.25">
      <c r="A295" s="1" t="s">
        <v>292</v>
      </c>
      <c r="B295" s="1" t="s">
        <v>337</v>
      </c>
      <c r="C295" s="1" t="s">
        <v>21</v>
      </c>
      <c r="D295" s="1" t="str">
        <f>VLOOKUP(Clients_chun_clean[[#This Row],[Province_Client]],Master_Logs_reseau_registre!B295:F1366,2,0)</f>
        <v>ANT-0441</v>
      </c>
      <c r="E295" s="1" t="s">
        <v>1508</v>
      </c>
      <c r="F295" s="1" t="s">
        <v>1504</v>
      </c>
      <c r="G295" s="1" t="s">
        <v>813</v>
      </c>
      <c r="H295">
        <v>47</v>
      </c>
      <c r="I295">
        <v>3</v>
      </c>
      <c r="J295" s="1" t="s">
        <v>1704</v>
      </c>
      <c r="K295" s="1" t="s">
        <v>22</v>
      </c>
      <c r="L295">
        <v>340</v>
      </c>
      <c r="M295" s="4">
        <v>0.2361111111111111</v>
      </c>
      <c r="N295" s="10">
        <v>31.02</v>
      </c>
      <c r="O295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295" s="10">
        <f>Clients_chun_clean[[#This Row],[Facture_Mensuelle]]*Clients_chun_clean[[#This Row],[Remise]]</f>
        <v>13.959</v>
      </c>
      <c r="Q295">
        <v>5</v>
      </c>
    </row>
    <row r="296" spans="1:17" x14ac:dyDescent="0.25">
      <c r="A296" s="1" t="s">
        <v>292</v>
      </c>
      <c r="B296" s="1" t="s">
        <v>338</v>
      </c>
      <c r="C296" s="1" t="s">
        <v>26</v>
      </c>
      <c r="D296" s="1" t="str">
        <f>VLOOKUP(Clients_chun_clean[[#This Row],[Province_Client]],Master_Logs_reseau_registre!B296:F1367,2,0)</f>
        <v>ANT-0381</v>
      </c>
      <c r="E296" s="1" t="s">
        <v>1503</v>
      </c>
      <c r="F296" s="1" t="s">
        <v>1516</v>
      </c>
      <c r="G296" s="1" t="s">
        <v>808</v>
      </c>
      <c r="H296">
        <v>81</v>
      </c>
      <c r="I296">
        <v>6</v>
      </c>
      <c r="J296" s="1" t="s">
        <v>1705</v>
      </c>
      <c r="K296" s="1" t="s">
        <v>14</v>
      </c>
      <c r="L296">
        <v>298</v>
      </c>
      <c r="M296" s="4">
        <v>0.20694444444444443</v>
      </c>
      <c r="N296" s="10">
        <v>53.61</v>
      </c>
      <c r="O296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296" s="10">
        <f>Clients_chun_clean[[#This Row],[Facture_Mensuelle]]*Clients_chun_clean[[#This Row],[Remise]]</f>
        <v>24.124500000000001</v>
      </c>
      <c r="Q296">
        <v>2</v>
      </c>
    </row>
    <row r="297" spans="1:17" x14ac:dyDescent="0.25">
      <c r="A297" s="1" t="s">
        <v>292</v>
      </c>
      <c r="B297" s="1" t="s">
        <v>339</v>
      </c>
      <c r="C297" s="1" t="s">
        <v>131</v>
      </c>
      <c r="D297" s="1" t="str">
        <f>VLOOKUP(Clients_chun_clean[[#This Row],[Province_Client]],Master_Logs_reseau_registre!B297:F1368,2,0)</f>
        <v>ANT-0620</v>
      </c>
      <c r="E297" s="1" t="s">
        <v>1508</v>
      </c>
      <c r="F297" s="1" t="s">
        <v>1504</v>
      </c>
      <c r="G297" s="1" t="s">
        <v>813</v>
      </c>
      <c r="H297">
        <v>91</v>
      </c>
      <c r="I297">
        <v>7</v>
      </c>
      <c r="J297" s="1" t="s">
        <v>1704</v>
      </c>
      <c r="K297" s="1" t="s">
        <v>22</v>
      </c>
      <c r="L297">
        <v>404</v>
      </c>
      <c r="M297" s="4">
        <v>0.28055555555555556</v>
      </c>
      <c r="N297" s="10">
        <v>76.53</v>
      </c>
      <c r="O297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297" s="10">
        <f>Clients_chun_clean[[#This Row],[Facture_Mensuelle]]*Clients_chun_clean[[#This Row],[Remise]]</f>
        <v>34.438500000000005</v>
      </c>
      <c r="Q297">
        <v>5</v>
      </c>
    </row>
    <row r="298" spans="1:17" x14ac:dyDescent="0.25">
      <c r="A298" s="1" t="s">
        <v>292</v>
      </c>
      <c r="B298" s="1" t="s">
        <v>340</v>
      </c>
      <c r="C298" s="1" t="s">
        <v>10</v>
      </c>
      <c r="D298" s="1" t="str">
        <f>VLOOKUP(Clients_chun_clean[[#This Row],[Province_Client]],Master_Logs_reseau_registre!B298:F1369,2,0)</f>
        <v>ANT-0821</v>
      </c>
      <c r="E298" s="1" t="s">
        <v>1503</v>
      </c>
      <c r="F298" s="1" t="s">
        <v>1516</v>
      </c>
      <c r="G298" s="1" t="s">
        <v>808</v>
      </c>
      <c r="H298">
        <v>87</v>
      </c>
      <c r="I298">
        <v>7</v>
      </c>
      <c r="J298" s="1" t="s">
        <v>1704</v>
      </c>
      <c r="K298" s="1" t="s">
        <v>19</v>
      </c>
      <c r="L298">
        <v>21</v>
      </c>
      <c r="M298" s="4">
        <v>1.4583333333333334E-2</v>
      </c>
      <c r="N298" s="10">
        <v>81.459999999999994</v>
      </c>
      <c r="O298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298" s="10">
        <f>Clients_chun_clean[[#This Row],[Facture_Mensuelle]]*Clients_chun_clean[[#This Row],[Remise]]</f>
        <v>0</v>
      </c>
      <c r="Q298">
        <v>3</v>
      </c>
    </row>
    <row r="299" spans="1:17" x14ac:dyDescent="0.25">
      <c r="A299" s="1" t="s">
        <v>292</v>
      </c>
      <c r="B299" s="1" t="s">
        <v>341</v>
      </c>
      <c r="C299" s="1" t="s">
        <v>131</v>
      </c>
      <c r="D299" s="1" t="str">
        <f>VLOOKUP(Clients_chun_clean[[#This Row],[Province_Client]],Master_Logs_reseau_registre!B299:F1370,2,0)</f>
        <v>ANT-0620</v>
      </c>
      <c r="E299" s="1" t="s">
        <v>1508</v>
      </c>
      <c r="F299" s="1" t="s">
        <v>1504</v>
      </c>
      <c r="G299" s="1" t="s">
        <v>808</v>
      </c>
      <c r="H299">
        <v>4</v>
      </c>
      <c r="I299">
        <v>0</v>
      </c>
      <c r="J299" s="1" t="s">
        <v>1705</v>
      </c>
      <c r="K299" s="1" t="s">
        <v>14</v>
      </c>
      <c r="L299">
        <v>49</v>
      </c>
      <c r="M299" s="4">
        <v>3.4027777777777775E-2</v>
      </c>
      <c r="N299" s="10">
        <v>41.35</v>
      </c>
      <c r="O299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299" s="10">
        <f>Clients_chun_clean[[#This Row],[Facture_Mensuelle]]*Clients_chun_clean[[#This Row],[Remise]]</f>
        <v>4.1350000000000007</v>
      </c>
      <c r="Q299">
        <v>5</v>
      </c>
    </row>
    <row r="300" spans="1:17" x14ac:dyDescent="0.25">
      <c r="A300" s="1" t="s">
        <v>342</v>
      </c>
      <c r="B300" s="1" t="s">
        <v>343</v>
      </c>
      <c r="C300" s="1" t="s">
        <v>16</v>
      </c>
      <c r="D300" s="1" t="str">
        <f>VLOOKUP(Clients_chun_clean[[#This Row],[Province_Client]],Master_Logs_reseau_registre!B300:F1371,2,0)</f>
        <v>ANT-0829</v>
      </c>
      <c r="E300" s="1" t="s">
        <v>1503</v>
      </c>
      <c r="F300" s="1" t="s">
        <v>1516</v>
      </c>
      <c r="G300" s="1" t="s">
        <v>808</v>
      </c>
      <c r="H300">
        <v>76</v>
      </c>
      <c r="I300">
        <v>6</v>
      </c>
      <c r="J300" s="1" t="s">
        <v>1704</v>
      </c>
      <c r="K300" s="1" t="s">
        <v>19</v>
      </c>
      <c r="L300">
        <v>192</v>
      </c>
      <c r="M300" s="4">
        <v>0.13333333333333333</v>
      </c>
      <c r="N300" s="10">
        <v>68.53</v>
      </c>
      <c r="O300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300" s="10">
        <f>Clients_chun_clean[[#This Row],[Facture_Mensuelle]]*Clients_chun_clean[[#This Row],[Remise]]</f>
        <v>0</v>
      </c>
      <c r="Q300">
        <v>0</v>
      </c>
    </row>
    <row r="301" spans="1:17" x14ac:dyDescent="0.25">
      <c r="A301" s="1" t="s">
        <v>342</v>
      </c>
      <c r="B301" s="1" t="s">
        <v>344</v>
      </c>
      <c r="C301" s="1" t="s">
        <v>18</v>
      </c>
      <c r="D301" s="1" t="str">
        <f>VLOOKUP(Clients_chun_clean[[#This Row],[Province_Client]],Master_Logs_reseau_registre!B301:F1372,2,0)</f>
        <v>ANT-0371</v>
      </c>
      <c r="E301" s="1" t="s">
        <v>1506</v>
      </c>
      <c r="F301" s="1" t="s">
        <v>1504</v>
      </c>
      <c r="G301" s="1" t="s">
        <v>808</v>
      </c>
      <c r="H301">
        <v>69</v>
      </c>
      <c r="I301">
        <v>5</v>
      </c>
      <c r="J301" s="1" t="s">
        <v>1704</v>
      </c>
      <c r="K301" s="1" t="s">
        <v>11</v>
      </c>
      <c r="L301">
        <v>486</v>
      </c>
      <c r="M301" s="4">
        <v>0.33750000000000002</v>
      </c>
      <c r="N301" s="10">
        <v>34.770000000000003</v>
      </c>
      <c r="O301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301" s="10">
        <f>Clients_chun_clean[[#This Row],[Facture_Mensuelle]]*Clients_chun_clean[[#This Row],[Remise]]</f>
        <v>15.646500000000001</v>
      </c>
      <c r="Q301">
        <v>0</v>
      </c>
    </row>
    <row r="302" spans="1:17" x14ac:dyDescent="0.25">
      <c r="A302" s="1" t="s">
        <v>342</v>
      </c>
      <c r="B302" s="1" t="s">
        <v>345</v>
      </c>
      <c r="C302" s="1" t="s">
        <v>26</v>
      </c>
      <c r="D302" s="1" t="str">
        <f>VLOOKUP(Clients_chun_clean[[#This Row],[Province_Client]],Master_Logs_reseau_registre!B302:F1373,2,0)</f>
        <v>ANT-0381</v>
      </c>
      <c r="E302" s="1" t="s">
        <v>1503</v>
      </c>
      <c r="F302" s="1" t="s">
        <v>1516</v>
      </c>
      <c r="G302" s="1" t="s">
        <v>808</v>
      </c>
      <c r="H302">
        <v>25</v>
      </c>
      <c r="I302">
        <v>2</v>
      </c>
      <c r="J302" s="1" t="s">
        <v>1705</v>
      </c>
      <c r="K302" s="1" t="s">
        <v>14</v>
      </c>
      <c r="L302">
        <v>218</v>
      </c>
      <c r="M302" s="4">
        <v>0.15138888888888888</v>
      </c>
      <c r="N302" s="10">
        <v>68.790000000000006</v>
      </c>
      <c r="O302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302" s="10">
        <f>Clients_chun_clean[[#This Row],[Facture_Mensuelle]]*Clients_chun_clean[[#This Row],[Remise]]</f>
        <v>6.8790000000000013</v>
      </c>
      <c r="Q302">
        <v>0</v>
      </c>
    </row>
    <row r="303" spans="1:17" x14ac:dyDescent="0.25">
      <c r="A303" s="1" t="s">
        <v>342</v>
      </c>
      <c r="B303" s="1" t="s">
        <v>346</v>
      </c>
      <c r="C303" s="1" t="s">
        <v>40</v>
      </c>
      <c r="D303" s="1" t="str">
        <f>VLOOKUP(Clients_chun_clean[[#This Row],[Province_Client]],Master_Logs_reseau_registre!B303:F1374,2,0)</f>
        <v>ANT-0630</v>
      </c>
      <c r="E303" s="1" t="s">
        <v>1503</v>
      </c>
      <c r="F303" s="1" t="s">
        <v>1516</v>
      </c>
      <c r="G303" s="1" t="s">
        <v>811</v>
      </c>
      <c r="H303">
        <v>109</v>
      </c>
      <c r="I303">
        <v>9</v>
      </c>
      <c r="J303" s="1" t="s">
        <v>1704</v>
      </c>
      <c r="K303" s="1" t="s">
        <v>22</v>
      </c>
      <c r="L303">
        <v>347</v>
      </c>
      <c r="M303" s="4">
        <v>0.24097222222222223</v>
      </c>
      <c r="N303" s="10">
        <v>43.06</v>
      </c>
      <c r="O303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303" s="10">
        <f>Clients_chun_clean[[#This Row],[Facture_Mensuelle]]*Clients_chun_clean[[#This Row],[Remise]]</f>
        <v>19.377000000000002</v>
      </c>
      <c r="Q303">
        <v>4</v>
      </c>
    </row>
    <row r="304" spans="1:17" x14ac:dyDescent="0.25">
      <c r="A304" s="1" t="s">
        <v>342</v>
      </c>
      <c r="B304" s="1" t="s">
        <v>347</v>
      </c>
      <c r="C304" s="1" t="s">
        <v>24</v>
      </c>
      <c r="D304" s="1" t="str">
        <f>VLOOKUP(Clients_chun_clean[[#This Row],[Province_Client]],Master_Logs_reseau_registre!B304:F1375,2,0)</f>
        <v>ANT-0523</v>
      </c>
      <c r="E304" s="1" t="s">
        <v>1508</v>
      </c>
      <c r="F304" s="1" t="s">
        <v>1509</v>
      </c>
      <c r="G304" s="1" t="s">
        <v>808</v>
      </c>
      <c r="H304">
        <v>50</v>
      </c>
      <c r="I304">
        <v>4</v>
      </c>
      <c r="J304" s="1" t="s">
        <v>1705</v>
      </c>
      <c r="K304" s="1" t="s">
        <v>14</v>
      </c>
      <c r="L304">
        <v>430</v>
      </c>
      <c r="M304" s="4">
        <v>0.2986111111111111</v>
      </c>
      <c r="N304" s="10">
        <v>20.8</v>
      </c>
      <c r="O304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304" s="10">
        <f>Clients_chun_clean[[#This Row],[Facture_Mensuelle]]*Clients_chun_clean[[#This Row],[Remise]]</f>
        <v>9.3600000000000012</v>
      </c>
      <c r="Q304">
        <v>2</v>
      </c>
    </row>
    <row r="305" spans="1:17" x14ac:dyDescent="0.25">
      <c r="A305" s="1" t="s">
        <v>342</v>
      </c>
      <c r="B305" s="1" t="s">
        <v>348</v>
      </c>
      <c r="C305" s="1" t="s">
        <v>37</v>
      </c>
      <c r="D305" s="1" t="str">
        <f>VLOOKUP(Clients_chun_clean[[#This Row],[Province_Client]],Master_Logs_reseau_registre!B305:F1376,2,0)</f>
        <v>ANT-0142</v>
      </c>
      <c r="E305" s="1" t="s">
        <v>1506</v>
      </c>
      <c r="F305" s="1" t="s">
        <v>1504</v>
      </c>
      <c r="G305" s="1" t="s">
        <v>813</v>
      </c>
      <c r="H305">
        <v>55</v>
      </c>
      <c r="I305">
        <v>4</v>
      </c>
      <c r="J305" s="1" t="s">
        <v>1704</v>
      </c>
      <c r="K305" s="1" t="s">
        <v>11</v>
      </c>
      <c r="L305">
        <v>86</v>
      </c>
      <c r="M305" s="4">
        <v>5.9722222222222225E-2</v>
      </c>
      <c r="N305" s="10">
        <v>17.440000000000001</v>
      </c>
      <c r="O305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305" s="10">
        <f>Clients_chun_clean[[#This Row],[Facture_Mensuelle]]*Clients_chun_clean[[#This Row],[Remise]]</f>
        <v>7.8480000000000008</v>
      </c>
      <c r="Q305">
        <v>2</v>
      </c>
    </row>
    <row r="306" spans="1:17" x14ac:dyDescent="0.25">
      <c r="A306" s="1" t="s">
        <v>342</v>
      </c>
      <c r="B306" s="1" t="s">
        <v>349</v>
      </c>
      <c r="C306" s="1" t="s">
        <v>78</v>
      </c>
      <c r="D306" s="1" t="str">
        <f>VLOOKUP(Clients_chun_clean[[#This Row],[Province_Client]],Master_Logs_reseau_registre!B306:F1377,2,0)</f>
        <v>ANT-0250</v>
      </c>
      <c r="E306" s="1" t="s">
        <v>1503</v>
      </c>
      <c r="F306" s="1" t="s">
        <v>1509</v>
      </c>
      <c r="G306" s="1" t="s">
        <v>808</v>
      </c>
      <c r="H306">
        <v>41</v>
      </c>
      <c r="I306">
        <v>3</v>
      </c>
      <c r="J306" s="1" t="s">
        <v>1705</v>
      </c>
      <c r="K306" s="1" t="s">
        <v>14</v>
      </c>
      <c r="L306">
        <v>474</v>
      </c>
      <c r="M306" s="4">
        <v>0.32916666666666666</v>
      </c>
      <c r="N306" s="10">
        <v>54.03</v>
      </c>
      <c r="O306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306" s="10">
        <f>Clients_chun_clean[[#This Row],[Facture_Mensuelle]]*Clients_chun_clean[[#This Row],[Remise]]</f>
        <v>24.313500000000001</v>
      </c>
      <c r="Q306">
        <v>4</v>
      </c>
    </row>
    <row r="307" spans="1:17" x14ac:dyDescent="0.25">
      <c r="A307" s="1" t="s">
        <v>342</v>
      </c>
      <c r="B307" s="1" t="s">
        <v>350</v>
      </c>
      <c r="C307" s="1" t="s">
        <v>57</v>
      </c>
      <c r="D307" s="1" t="str">
        <f>VLOOKUP(Clients_chun_clean[[#This Row],[Province_Client]],Master_Logs_reseau_registre!B307:F1378,2,0)</f>
        <v>ANT-0872</v>
      </c>
      <c r="E307" s="1" t="s">
        <v>1503</v>
      </c>
      <c r="F307" s="1" t="s">
        <v>1509</v>
      </c>
      <c r="G307" s="1" t="s">
        <v>808</v>
      </c>
      <c r="H307">
        <v>99</v>
      </c>
      <c r="I307">
        <v>8</v>
      </c>
      <c r="J307" s="1" t="s">
        <v>1704</v>
      </c>
      <c r="K307" s="1" t="s">
        <v>19</v>
      </c>
      <c r="L307">
        <v>28</v>
      </c>
      <c r="M307" s="4">
        <v>1.9444444444444445E-2</v>
      </c>
      <c r="N307" s="10">
        <v>70.19</v>
      </c>
      <c r="O307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307" s="10">
        <f>Clients_chun_clean[[#This Row],[Facture_Mensuelle]]*Clients_chun_clean[[#This Row],[Remise]]</f>
        <v>0</v>
      </c>
      <c r="Q307">
        <v>1</v>
      </c>
    </row>
    <row r="308" spans="1:17" x14ac:dyDescent="0.25">
      <c r="A308" s="1" t="s">
        <v>342</v>
      </c>
      <c r="B308" s="1" t="s">
        <v>351</v>
      </c>
      <c r="C308" s="1" t="s">
        <v>89</v>
      </c>
      <c r="D308" s="1" t="str">
        <f>VLOOKUP(Clients_chun_clean[[#This Row],[Province_Client]],Master_Logs_reseau_registre!B308:F1379,2,0)</f>
        <v>ANT-0942</v>
      </c>
      <c r="E308" s="1" t="s">
        <v>1503</v>
      </c>
      <c r="F308" s="1" t="s">
        <v>1509</v>
      </c>
      <c r="G308" s="1" t="s">
        <v>808</v>
      </c>
      <c r="H308">
        <v>47</v>
      </c>
      <c r="I308">
        <v>3</v>
      </c>
      <c r="J308" s="1" t="s">
        <v>1704</v>
      </c>
      <c r="K308" s="1" t="s">
        <v>11</v>
      </c>
      <c r="L308">
        <v>49</v>
      </c>
      <c r="M308" s="4">
        <v>3.4027777777777775E-2</v>
      </c>
      <c r="N308" s="10">
        <v>55.88</v>
      </c>
      <c r="O308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308" s="10">
        <f>Clients_chun_clean[[#This Row],[Facture_Mensuelle]]*Clients_chun_clean[[#This Row],[Remise]]</f>
        <v>25.146000000000001</v>
      </c>
      <c r="Q308">
        <v>3</v>
      </c>
    </row>
    <row r="309" spans="1:17" x14ac:dyDescent="0.25">
      <c r="A309" s="1" t="s">
        <v>342</v>
      </c>
      <c r="B309" s="1" t="s">
        <v>352</v>
      </c>
      <c r="C309" s="1" t="s">
        <v>137</v>
      </c>
      <c r="D309" s="1" t="str">
        <f>VLOOKUP(Clients_chun_clean[[#This Row],[Province_Client]],Master_Logs_reseau_registre!B309:F1380,2,0)</f>
        <v>ANT-0515</v>
      </c>
      <c r="E309" s="1" t="s">
        <v>1506</v>
      </c>
      <c r="F309" s="1" t="s">
        <v>1504</v>
      </c>
      <c r="G309" s="1" t="s">
        <v>813</v>
      </c>
      <c r="H309">
        <v>103</v>
      </c>
      <c r="I309">
        <v>8</v>
      </c>
      <c r="J309" s="1" t="s">
        <v>1704</v>
      </c>
      <c r="K309" s="1" t="s">
        <v>22</v>
      </c>
      <c r="L309">
        <v>182</v>
      </c>
      <c r="M309" s="4">
        <v>0.12638888888888888</v>
      </c>
      <c r="N309" s="10">
        <v>12.07</v>
      </c>
      <c r="O309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309" s="10">
        <f>Clients_chun_clean[[#This Row],[Facture_Mensuelle]]*Clients_chun_clean[[#This Row],[Remise]]</f>
        <v>0</v>
      </c>
      <c r="Q309">
        <v>5</v>
      </c>
    </row>
    <row r="310" spans="1:17" x14ac:dyDescent="0.25">
      <c r="A310" s="1" t="s">
        <v>342</v>
      </c>
      <c r="B310" s="1" t="s">
        <v>353</v>
      </c>
      <c r="C310" s="1" t="s">
        <v>31</v>
      </c>
      <c r="D310" s="1" t="str">
        <f>VLOOKUP(Clients_chun_clean[[#This Row],[Province_Client]],Master_Logs_reseau_registre!B310:F1381,2,0)</f>
        <v>ANT-0926</v>
      </c>
      <c r="E310" s="1" t="s">
        <v>1506</v>
      </c>
      <c r="F310" s="1" t="s">
        <v>1504</v>
      </c>
      <c r="G310" s="1" t="s">
        <v>813</v>
      </c>
      <c r="H310">
        <v>87</v>
      </c>
      <c r="I310">
        <v>7</v>
      </c>
      <c r="J310" s="1" t="s">
        <v>1704</v>
      </c>
      <c r="K310" s="1" t="s">
        <v>22</v>
      </c>
      <c r="L310">
        <v>498</v>
      </c>
      <c r="M310" s="4">
        <v>0.34583333333333333</v>
      </c>
      <c r="N310" s="10">
        <v>61.57</v>
      </c>
      <c r="O310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310" s="10">
        <f>Clients_chun_clean[[#This Row],[Facture_Mensuelle]]*Clients_chun_clean[[#This Row],[Remise]]</f>
        <v>27.706500000000002</v>
      </c>
      <c r="Q310">
        <v>0</v>
      </c>
    </row>
    <row r="311" spans="1:17" x14ac:dyDescent="0.25">
      <c r="A311" s="1" t="s">
        <v>342</v>
      </c>
      <c r="B311" s="1" t="s">
        <v>354</v>
      </c>
      <c r="C311" s="1" t="s">
        <v>40</v>
      </c>
      <c r="D311" s="1" t="str">
        <f>VLOOKUP(Clients_chun_clean[[#This Row],[Province_Client]],Master_Logs_reseau_registre!B311:F1382,2,0)</f>
        <v>ANT-0630</v>
      </c>
      <c r="E311" s="1" t="s">
        <v>1503</v>
      </c>
      <c r="F311" s="1" t="s">
        <v>1509</v>
      </c>
      <c r="G311" s="1" t="s">
        <v>808</v>
      </c>
      <c r="H311">
        <v>120</v>
      </c>
      <c r="I311">
        <v>10</v>
      </c>
      <c r="J311" s="1" t="s">
        <v>1704</v>
      </c>
      <c r="K311" s="1" t="s">
        <v>22</v>
      </c>
      <c r="L311">
        <v>242</v>
      </c>
      <c r="M311" s="4">
        <v>0.16805555555555557</v>
      </c>
      <c r="N311" s="10">
        <v>61.54</v>
      </c>
      <c r="O311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311" s="10">
        <f>Clients_chun_clean[[#This Row],[Facture_Mensuelle]]*Clients_chun_clean[[#This Row],[Remise]]</f>
        <v>27.693000000000001</v>
      </c>
      <c r="Q311">
        <v>1</v>
      </c>
    </row>
    <row r="312" spans="1:17" x14ac:dyDescent="0.25">
      <c r="A312" s="1" t="s">
        <v>342</v>
      </c>
      <c r="B312" s="1" t="s">
        <v>355</v>
      </c>
      <c r="C312" s="1" t="s">
        <v>16</v>
      </c>
      <c r="D312" s="1" t="str">
        <f>VLOOKUP(Clients_chun_clean[[#This Row],[Province_Client]],Master_Logs_reseau_registre!B312:F1383,2,0)</f>
        <v>ANT-0829</v>
      </c>
      <c r="E312" s="1" t="s">
        <v>1503</v>
      </c>
      <c r="F312" s="1" t="s">
        <v>1509</v>
      </c>
      <c r="G312" s="1" t="s">
        <v>808</v>
      </c>
      <c r="H312">
        <v>102</v>
      </c>
      <c r="I312">
        <v>8</v>
      </c>
      <c r="J312" s="1" t="s">
        <v>1704</v>
      </c>
      <c r="K312" s="1" t="s">
        <v>19</v>
      </c>
      <c r="L312">
        <v>91</v>
      </c>
      <c r="M312" s="4">
        <v>6.3194444444444442E-2</v>
      </c>
      <c r="N312" s="10">
        <v>34.64</v>
      </c>
      <c r="O312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312" s="10">
        <f>Clients_chun_clean[[#This Row],[Facture_Mensuelle]]*Clients_chun_clean[[#This Row],[Remise]]</f>
        <v>0</v>
      </c>
      <c r="Q312">
        <v>2</v>
      </c>
    </row>
    <row r="313" spans="1:17" x14ac:dyDescent="0.25">
      <c r="A313" s="1" t="s">
        <v>342</v>
      </c>
      <c r="B313" s="1" t="s">
        <v>356</v>
      </c>
      <c r="C313" s="1" t="s">
        <v>78</v>
      </c>
      <c r="D313" s="1" t="str">
        <f>VLOOKUP(Clients_chun_clean[[#This Row],[Province_Client]],Master_Logs_reseau_registre!B313:F1384,2,0)</f>
        <v>ANT-0250</v>
      </c>
      <c r="E313" s="1" t="s">
        <v>1503</v>
      </c>
      <c r="F313" s="1" t="s">
        <v>1509</v>
      </c>
      <c r="G313" s="1" t="s">
        <v>808</v>
      </c>
      <c r="H313">
        <v>17</v>
      </c>
      <c r="I313">
        <v>1</v>
      </c>
      <c r="J313" s="1" t="s">
        <v>1704</v>
      </c>
      <c r="K313" s="1" t="s">
        <v>22</v>
      </c>
      <c r="L313">
        <v>483</v>
      </c>
      <c r="M313" s="4">
        <v>0.33541666666666664</v>
      </c>
      <c r="N313" s="10">
        <v>77.08</v>
      </c>
      <c r="O313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313" s="10">
        <f>Clients_chun_clean[[#This Row],[Facture_Mensuelle]]*Clients_chun_clean[[#This Row],[Remise]]</f>
        <v>34.686</v>
      </c>
      <c r="Q313">
        <v>0</v>
      </c>
    </row>
    <row r="314" spans="1:17" x14ac:dyDescent="0.25">
      <c r="A314" s="1" t="s">
        <v>342</v>
      </c>
      <c r="B314" s="1" t="s">
        <v>357</v>
      </c>
      <c r="C314" s="1" t="s">
        <v>131</v>
      </c>
      <c r="D314" s="1" t="str">
        <f>VLOOKUP(Clients_chun_clean[[#This Row],[Province_Client]],Master_Logs_reseau_registre!B314:F1385,2,0)</f>
        <v>ANT-0970</v>
      </c>
      <c r="E314" s="1" t="s">
        <v>1508</v>
      </c>
      <c r="F314" s="1" t="s">
        <v>1509</v>
      </c>
      <c r="G314" s="1" t="s">
        <v>808</v>
      </c>
      <c r="H314">
        <v>67</v>
      </c>
      <c r="I314">
        <v>5</v>
      </c>
      <c r="J314" s="1" t="s">
        <v>1705</v>
      </c>
      <c r="K314" s="1" t="s">
        <v>14</v>
      </c>
      <c r="L314">
        <v>26</v>
      </c>
      <c r="M314" s="4">
        <v>1.8055555555555554E-2</v>
      </c>
      <c r="N314" s="10">
        <v>81.489999999999995</v>
      </c>
      <c r="O314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314" s="10">
        <f>Clients_chun_clean[[#This Row],[Facture_Mensuelle]]*Clients_chun_clean[[#This Row],[Remise]]</f>
        <v>8.1489999999999991</v>
      </c>
      <c r="Q314">
        <v>4</v>
      </c>
    </row>
    <row r="315" spans="1:17" x14ac:dyDescent="0.25">
      <c r="A315" s="1" t="s">
        <v>342</v>
      </c>
      <c r="B315" s="1" t="s">
        <v>358</v>
      </c>
      <c r="C315" s="1" t="s">
        <v>37</v>
      </c>
      <c r="D315" s="1" t="str">
        <f>VLOOKUP(Clients_chun_clean[[#This Row],[Province_Client]],Master_Logs_reseau_registre!B315:F1386,2,0)</f>
        <v>ANT-0142</v>
      </c>
      <c r="E315" s="1" t="s">
        <v>1506</v>
      </c>
      <c r="F315" s="1" t="s">
        <v>1507</v>
      </c>
      <c r="G315" s="1" t="s">
        <v>808</v>
      </c>
      <c r="H315">
        <v>85</v>
      </c>
      <c r="I315">
        <v>7</v>
      </c>
      <c r="J315" s="1" t="s">
        <v>1705</v>
      </c>
      <c r="K315" s="1" t="s">
        <v>14</v>
      </c>
      <c r="L315">
        <v>60</v>
      </c>
      <c r="M315" s="4">
        <v>4.1666666666666664E-2</v>
      </c>
      <c r="N315" s="10">
        <v>26.3</v>
      </c>
      <c r="O315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315" s="10">
        <f>Clients_chun_clean[[#This Row],[Facture_Mensuelle]]*Clients_chun_clean[[#This Row],[Remise]]</f>
        <v>2.6300000000000003</v>
      </c>
      <c r="Q315">
        <v>2</v>
      </c>
    </row>
    <row r="316" spans="1:17" x14ac:dyDescent="0.25">
      <c r="A316" s="1" t="s">
        <v>342</v>
      </c>
      <c r="B316" s="1" t="s">
        <v>359</v>
      </c>
      <c r="C316" s="1" t="s">
        <v>18</v>
      </c>
      <c r="D316" s="1" t="str">
        <f>VLOOKUP(Clients_chun_clean[[#This Row],[Province_Client]],Master_Logs_reseau_registre!B316:F1387,2,0)</f>
        <v>ANT-0371</v>
      </c>
      <c r="E316" s="1" t="s">
        <v>1506</v>
      </c>
      <c r="F316" s="1" t="s">
        <v>1507</v>
      </c>
      <c r="G316" s="1" t="s">
        <v>808</v>
      </c>
      <c r="H316">
        <v>78</v>
      </c>
      <c r="I316">
        <v>6</v>
      </c>
      <c r="J316" s="1" t="s">
        <v>1704</v>
      </c>
      <c r="K316" s="1" t="s">
        <v>11</v>
      </c>
      <c r="L316">
        <v>263</v>
      </c>
      <c r="M316" s="4">
        <v>0.18263888888888888</v>
      </c>
      <c r="N316" s="10">
        <v>53.58</v>
      </c>
      <c r="O316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316" s="10">
        <f>Clients_chun_clean[[#This Row],[Facture_Mensuelle]]*Clients_chun_clean[[#This Row],[Remise]]</f>
        <v>24.111000000000001</v>
      </c>
      <c r="Q316">
        <v>5</v>
      </c>
    </row>
    <row r="317" spans="1:17" x14ac:dyDescent="0.25">
      <c r="A317" s="1" t="s">
        <v>342</v>
      </c>
      <c r="B317" s="1" t="s">
        <v>360</v>
      </c>
      <c r="C317" s="1" t="s">
        <v>18</v>
      </c>
      <c r="D317" s="1" t="str">
        <f>VLOOKUP(Clients_chun_clean[[#This Row],[Province_Client]],Master_Logs_reseau_registre!B317:F1388,2,0)</f>
        <v>ANT-0371</v>
      </c>
      <c r="E317" s="1" t="s">
        <v>1506</v>
      </c>
      <c r="F317" s="1" t="s">
        <v>1507</v>
      </c>
      <c r="G317" s="1" t="s">
        <v>808</v>
      </c>
      <c r="H317">
        <v>76</v>
      </c>
      <c r="I317">
        <v>6</v>
      </c>
      <c r="J317" s="1" t="s">
        <v>1704</v>
      </c>
      <c r="K317" s="1" t="s">
        <v>22</v>
      </c>
      <c r="L317">
        <v>332</v>
      </c>
      <c r="M317" s="4">
        <v>0.23055555555555557</v>
      </c>
      <c r="N317" s="10">
        <v>68.010000000000005</v>
      </c>
      <c r="O317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317" s="10">
        <f>Clients_chun_clean[[#This Row],[Facture_Mensuelle]]*Clients_chun_clean[[#This Row],[Remise]]</f>
        <v>30.604500000000002</v>
      </c>
      <c r="Q317">
        <v>4</v>
      </c>
    </row>
    <row r="318" spans="1:17" x14ac:dyDescent="0.25">
      <c r="A318" s="1" t="s">
        <v>342</v>
      </c>
      <c r="B318" s="1" t="s">
        <v>361</v>
      </c>
      <c r="C318" s="1" t="s">
        <v>18</v>
      </c>
      <c r="D318" s="1" t="str">
        <f>VLOOKUP(Clients_chun_clean[[#This Row],[Province_Client]],Master_Logs_reseau_registre!B318:F1389,2,0)</f>
        <v>ANT-0371</v>
      </c>
      <c r="E318" s="1" t="s">
        <v>1506</v>
      </c>
      <c r="F318" s="1" t="s">
        <v>1507</v>
      </c>
      <c r="G318" s="1" t="s">
        <v>808</v>
      </c>
      <c r="H318">
        <v>29</v>
      </c>
      <c r="I318">
        <v>2</v>
      </c>
      <c r="J318" s="1" t="s">
        <v>1704</v>
      </c>
      <c r="K318" s="1" t="s">
        <v>19</v>
      </c>
      <c r="L318">
        <v>173</v>
      </c>
      <c r="M318" s="4">
        <v>0.12013888888888889</v>
      </c>
      <c r="N318" s="10">
        <v>49.03</v>
      </c>
      <c r="O318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318" s="10">
        <f>Clients_chun_clean[[#This Row],[Facture_Mensuelle]]*Clients_chun_clean[[#This Row],[Remise]]</f>
        <v>0</v>
      </c>
      <c r="Q318">
        <v>3</v>
      </c>
    </row>
    <row r="319" spans="1:17" x14ac:dyDescent="0.25">
      <c r="A319" s="1" t="s">
        <v>342</v>
      </c>
      <c r="B319" s="1" t="s">
        <v>362</v>
      </c>
      <c r="C319" s="1" t="s">
        <v>131</v>
      </c>
      <c r="D319" s="1" t="str">
        <f>VLOOKUP(Clients_chun_clean[[#This Row],[Province_Client]],Master_Logs_reseau_registre!B319:F1390,2,0)</f>
        <v>ANT-0970</v>
      </c>
      <c r="E319" s="1" t="s">
        <v>1508</v>
      </c>
      <c r="F319" s="1" t="s">
        <v>1509</v>
      </c>
      <c r="G319" s="1" t="s">
        <v>808</v>
      </c>
      <c r="H319">
        <v>14</v>
      </c>
      <c r="I319">
        <v>1</v>
      </c>
      <c r="J319" s="1" t="s">
        <v>1705</v>
      </c>
      <c r="K319" s="1" t="s">
        <v>14</v>
      </c>
      <c r="L319">
        <v>303</v>
      </c>
      <c r="M319" s="4">
        <v>0.21041666666666667</v>
      </c>
      <c r="N319" s="10">
        <v>61.43</v>
      </c>
      <c r="O319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319" s="10">
        <f>Clients_chun_clean[[#This Row],[Facture_Mensuelle]]*Clients_chun_clean[[#This Row],[Remise]]</f>
        <v>27.6435</v>
      </c>
      <c r="Q319">
        <v>1</v>
      </c>
    </row>
    <row r="320" spans="1:17" x14ac:dyDescent="0.25">
      <c r="A320" s="1" t="s">
        <v>342</v>
      </c>
      <c r="B320" s="1" t="s">
        <v>363</v>
      </c>
      <c r="C320" s="1" t="s">
        <v>16</v>
      </c>
      <c r="D320" s="1" t="str">
        <f>VLOOKUP(Clients_chun_clean[[#This Row],[Province_Client]],Master_Logs_reseau_registre!B320:F1391,2,0)</f>
        <v>ANT-0829</v>
      </c>
      <c r="E320" s="1" t="s">
        <v>1503</v>
      </c>
      <c r="F320" s="1" t="s">
        <v>1509</v>
      </c>
      <c r="G320" s="1" t="s">
        <v>808</v>
      </c>
      <c r="H320">
        <v>51</v>
      </c>
      <c r="I320">
        <v>4</v>
      </c>
      <c r="J320" s="1" t="s">
        <v>1704</v>
      </c>
      <c r="K320" s="1" t="s">
        <v>11</v>
      </c>
      <c r="L320">
        <v>222</v>
      </c>
      <c r="M320" s="4">
        <v>0.15416666666666667</v>
      </c>
      <c r="N320" s="10">
        <v>18.95</v>
      </c>
      <c r="O320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320" s="10">
        <f>Clients_chun_clean[[#This Row],[Facture_Mensuelle]]*Clients_chun_clean[[#This Row],[Remise]]</f>
        <v>8.5274999999999999</v>
      </c>
      <c r="Q320">
        <v>4</v>
      </c>
    </row>
    <row r="321" spans="1:17" x14ac:dyDescent="0.25">
      <c r="A321" s="1" t="s">
        <v>342</v>
      </c>
      <c r="B321" s="1" t="s">
        <v>364</v>
      </c>
      <c r="C321" s="1" t="s">
        <v>16</v>
      </c>
      <c r="D321" s="1" t="str">
        <f>VLOOKUP(Clients_chun_clean[[#This Row],[Province_Client]],Master_Logs_reseau_registre!B321:F1392,2,0)</f>
        <v>ANT-0829</v>
      </c>
      <c r="E321" s="1" t="s">
        <v>1503</v>
      </c>
      <c r="F321" s="1" t="s">
        <v>1509</v>
      </c>
      <c r="G321" s="1" t="s">
        <v>808</v>
      </c>
      <c r="H321">
        <v>2</v>
      </c>
      <c r="I321">
        <v>0</v>
      </c>
      <c r="J321" s="1" t="s">
        <v>1705</v>
      </c>
      <c r="K321" s="1" t="s">
        <v>14</v>
      </c>
      <c r="L321">
        <v>496</v>
      </c>
      <c r="M321" s="4">
        <v>0.34444444444444444</v>
      </c>
      <c r="N321" s="10">
        <v>15.71</v>
      </c>
      <c r="O321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321" s="10">
        <f>Clients_chun_clean[[#This Row],[Facture_Mensuelle]]*Clients_chun_clean[[#This Row],[Remise]]</f>
        <v>7.0695000000000006</v>
      </c>
      <c r="Q321">
        <v>3</v>
      </c>
    </row>
    <row r="322" spans="1:17" x14ac:dyDescent="0.25">
      <c r="A322" s="1" t="s">
        <v>342</v>
      </c>
      <c r="B322" s="1" t="s">
        <v>365</v>
      </c>
      <c r="C322" s="1" t="s">
        <v>24</v>
      </c>
      <c r="D322" s="1" t="str">
        <f>VLOOKUP(Clients_chun_clean[[#This Row],[Province_Client]],Master_Logs_reseau_registre!B322:F1393,2,0)</f>
        <v>ANT-0523</v>
      </c>
      <c r="E322" s="1" t="s">
        <v>1508</v>
      </c>
      <c r="F322" s="1" t="s">
        <v>1509</v>
      </c>
      <c r="G322" s="1" t="s">
        <v>808</v>
      </c>
      <c r="H322">
        <v>69</v>
      </c>
      <c r="I322">
        <v>5</v>
      </c>
      <c r="J322" s="1" t="s">
        <v>1705</v>
      </c>
      <c r="K322" s="1" t="s">
        <v>14</v>
      </c>
      <c r="L322">
        <v>76</v>
      </c>
      <c r="M322" s="4">
        <v>5.2777777777777778E-2</v>
      </c>
      <c r="N322" s="10">
        <v>91.8</v>
      </c>
      <c r="O322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322" s="10">
        <f>Clients_chun_clean[[#This Row],[Facture_Mensuelle]]*Clients_chun_clean[[#This Row],[Remise]]</f>
        <v>9.18</v>
      </c>
      <c r="Q322">
        <v>5</v>
      </c>
    </row>
    <row r="323" spans="1:17" x14ac:dyDescent="0.25">
      <c r="A323" s="1" t="s">
        <v>342</v>
      </c>
      <c r="B323" s="1" t="s">
        <v>366</v>
      </c>
      <c r="C323" s="1" t="s">
        <v>60</v>
      </c>
      <c r="D323" s="1" t="str">
        <f>VLOOKUP(Clients_chun_clean[[#This Row],[Province_Client]],Master_Logs_reseau_registre!B323:F1394,2,0)</f>
        <v>ANT-0870</v>
      </c>
      <c r="E323" s="1" t="s">
        <v>1506</v>
      </c>
      <c r="F323" s="1" t="s">
        <v>1507</v>
      </c>
      <c r="G323" s="1" t="s">
        <v>811</v>
      </c>
      <c r="H323">
        <v>110</v>
      </c>
      <c r="I323">
        <v>9</v>
      </c>
      <c r="J323" s="1" t="s">
        <v>1704</v>
      </c>
      <c r="K323" s="1" t="s">
        <v>11</v>
      </c>
      <c r="L323">
        <v>321</v>
      </c>
      <c r="M323" s="4">
        <v>0.22291666666666668</v>
      </c>
      <c r="N323" s="10">
        <v>81.569999999999993</v>
      </c>
      <c r="O323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323" s="10">
        <f>Clients_chun_clean[[#This Row],[Facture_Mensuelle]]*Clients_chun_clean[[#This Row],[Remise]]</f>
        <v>36.706499999999998</v>
      </c>
      <c r="Q323">
        <v>2</v>
      </c>
    </row>
    <row r="324" spans="1:17" x14ac:dyDescent="0.25">
      <c r="A324" s="1" t="s">
        <v>342</v>
      </c>
      <c r="B324" s="1" t="s">
        <v>367</v>
      </c>
      <c r="C324" s="1" t="s">
        <v>10</v>
      </c>
      <c r="D324" s="1" t="str">
        <f>VLOOKUP(Clients_chun_clean[[#This Row],[Province_Client]],Master_Logs_reseau_registre!B324:F1395,2,0)</f>
        <v>ANT-0804</v>
      </c>
      <c r="E324" s="1" t="s">
        <v>1508</v>
      </c>
      <c r="F324" s="1" t="s">
        <v>1509</v>
      </c>
      <c r="G324" s="1" t="s">
        <v>808</v>
      </c>
      <c r="H324">
        <v>59</v>
      </c>
      <c r="I324">
        <v>4</v>
      </c>
      <c r="J324" s="1" t="s">
        <v>1705</v>
      </c>
      <c r="K324" s="1" t="s">
        <v>14</v>
      </c>
      <c r="L324">
        <v>369</v>
      </c>
      <c r="M324" s="4">
        <v>0.25624999999999998</v>
      </c>
      <c r="N324" s="10">
        <v>26.64</v>
      </c>
      <c r="O324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324" s="10">
        <f>Clients_chun_clean[[#This Row],[Facture_Mensuelle]]*Clients_chun_clean[[#This Row],[Remise]]</f>
        <v>11.988000000000001</v>
      </c>
      <c r="Q324">
        <v>4</v>
      </c>
    </row>
    <row r="325" spans="1:17" x14ac:dyDescent="0.25">
      <c r="A325" s="1" t="s">
        <v>342</v>
      </c>
      <c r="B325" s="1" t="s">
        <v>368</v>
      </c>
      <c r="C325" s="1" t="s">
        <v>24</v>
      </c>
      <c r="D325" s="1" t="str">
        <f>VLOOKUP(Clients_chun_clean[[#This Row],[Province_Client]],Master_Logs_reseau_registre!B325:F1396,2,0)</f>
        <v>ANT-0523</v>
      </c>
      <c r="E325" s="1" t="s">
        <v>1508</v>
      </c>
      <c r="F325" s="1" t="s">
        <v>1509</v>
      </c>
      <c r="G325" s="1" t="s">
        <v>808</v>
      </c>
      <c r="H325">
        <v>41</v>
      </c>
      <c r="I325">
        <v>3</v>
      </c>
      <c r="J325" s="1" t="s">
        <v>1705</v>
      </c>
      <c r="K325" s="1" t="s">
        <v>14</v>
      </c>
      <c r="L325">
        <v>206</v>
      </c>
      <c r="M325" s="4">
        <v>0.14305555555555555</v>
      </c>
      <c r="N325" s="10">
        <v>83.16</v>
      </c>
      <c r="O325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325" s="10">
        <f>Clients_chun_clean[[#This Row],[Facture_Mensuelle]]*Clients_chun_clean[[#This Row],[Remise]]</f>
        <v>8.3160000000000007</v>
      </c>
      <c r="Q325">
        <v>2</v>
      </c>
    </row>
    <row r="326" spans="1:17" x14ac:dyDescent="0.25">
      <c r="A326" s="1" t="s">
        <v>342</v>
      </c>
      <c r="B326" s="1" t="s">
        <v>369</v>
      </c>
      <c r="C326" s="1" t="s">
        <v>57</v>
      </c>
      <c r="D326" s="1" t="str">
        <f>VLOOKUP(Clients_chun_clean[[#This Row],[Province_Client]],Master_Logs_reseau_registre!B326:F1397,2,0)</f>
        <v>ANT-0872</v>
      </c>
      <c r="E326" s="1" t="s">
        <v>1503</v>
      </c>
      <c r="F326" s="1" t="s">
        <v>1504</v>
      </c>
      <c r="G326" s="1" t="s">
        <v>811</v>
      </c>
      <c r="H326">
        <v>19</v>
      </c>
      <c r="I326">
        <v>1</v>
      </c>
      <c r="J326" s="1" t="s">
        <v>1704</v>
      </c>
      <c r="K326" s="1" t="s">
        <v>19</v>
      </c>
      <c r="L326">
        <v>125</v>
      </c>
      <c r="M326" s="4">
        <v>8.6805555555555552E-2</v>
      </c>
      <c r="N326" s="10">
        <v>11.78</v>
      </c>
      <c r="O326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326" s="10">
        <f>Clients_chun_clean[[#This Row],[Facture_Mensuelle]]*Clients_chun_clean[[#This Row],[Remise]]</f>
        <v>0</v>
      </c>
      <c r="Q326">
        <v>4</v>
      </c>
    </row>
    <row r="327" spans="1:17" x14ac:dyDescent="0.25">
      <c r="A327" s="1" t="s">
        <v>342</v>
      </c>
      <c r="B327" s="1" t="s">
        <v>370</v>
      </c>
      <c r="C327" s="1" t="s">
        <v>57</v>
      </c>
      <c r="D327" s="1" t="str">
        <f>VLOOKUP(Clients_chun_clean[[#This Row],[Province_Client]],Master_Logs_reseau_registre!B327:F1398,2,0)</f>
        <v>ANT-0872</v>
      </c>
      <c r="E327" s="1" t="s">
        <v>1503</v>
      </c>
      <c r="F327" s="1" t="s">
        <v>1504</v>
      </c>
      <c r="G327" s="1" t="s">
        <v>811</v>
      </c>
      <c r="H327">
        <v>105</v>
      </c>
      <c r="I327">
        <v>8</v>
      </c>
      <c r="J327" s="1" t="s">
        <v>1704</v>
      </c>
      <c r="K327" s="1" t="s">
        <v>11</v>
      </c>
      <c r="L327">
        <v>17</v>
      </c>
      <c r="M327" s="4">
        <v>1.1805555555555555E-2</v>
      </c>
      <c r="N327" s="10">
        <v>60.05</v>
      </c>
      <c r="O327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327" s="10">
        <f>Clients_chun_clean[[#This Row],[Facture_Mensuelle]]*Clients_chun_clean[[#This Row],[Remise]]</f>
        <v>0</v>
      </c>
      <c r="Q327">
        <v>4</v>
      </c>
    </row>
    <row r="328" spans="1:17" x14ac:dyDescent="0.25">
      <c r="A328" s="1" t="s">
        <v>342</v>
      </c>
      <c r="B328" s="1" t="s">
        <v>371</v>
      </c>
      <c r="C328" s="1" t="s">
        <v>67</v>
      </c>
      <c r="D328" s="1" t="str">
        <f>VLOOKUP(Clients_chun_clean[[#This Row],[Province_Client]],Master_Logs_reseau_registre!B328:F1399,2,0)</f>
        <v>ANT-0032</v>
      </c>
      <c r="E328" s="1" t="s">
        <v>1508</v>
      </c>
      <c r="F328" s="1" t="s">
        <v>1507</v>
      </c>
      <c r="G328" s="1" t="s">
        <v>811</v>
      </c>
      <c r="H328">
        <v>38</v>
      </c>
      <c r="I328">
        <v>3</v>
      </c>
      <c r="J328" s="1" t="s">
        <v>1704</v>
      </c>
      <c r="K328" s="1" t="s">
        <v>11</v>
      </c>
      <c r="L328">
        <v>60</v>
      </c>
      <c r="M328" s="4">
        <v>4.1666666666666664E-2</v>
      </c>
      <c r="N328" s="10">
        <v>58.28</v>
      </c>
      <c r="O328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328" s="10">
        <f>Clients_chun_clean[[#This Row],[Facture_Mensuelle]]*Clients_chun_clean[[#This Row],[Remise]]</f>
        <v>26.226000000000003</v>
      </c>
      <c r="Q328">
        <v>4</v>
      </c>
    </row>
    <row r="329" spans="1:17" x14ac:dyDescent="0.25">
      <c r="A329" s="1" t="s">
        <v>342</v>
      </c>
      <c r="B329" s="1" t="s">
        <v>372</v>
      </c>
      <c r="C329" s="1" t="s">
        <v>51</v>
      </c>
      <c r="D329" s="1" t="str">
        <f>VLOOKUP(Clients_chun_clean[[#This Row],[Province_Client]],Master_Logs_reseau_registre!B329:F1400,2,0)</f>
        <v>ANT-0458</v>
      </c>
      <c r="E329" s="1" t="s">
        <v>1508</v>
      </c>
      <c r="F329" s="1" t="s">
        <v>1507</v>
      </c>
      <c r="G329" s="1" t="s">
        <v>811</v>
      </c>
      <c r="H329">
        <v>108</v>
      </c>
      <c r="I329">
        <v>9</v>
      </c>
      <c r="J329" s="1" t="s">
        <v>1704</v>
      </c>
      <c r="K329" s="1" t="s">
        <v>22</v>
      </c>
      <c r="L329">
        <v>123</v>
      </c>
      <c r="M329" s="4">
        <v>8.5416666666666669E-2</v>
      </c>
      <c r="N329" s="10">
        <v>83.1</v>
      </c>
      <c r="O329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329" s="10">
        <f>Clients_chun_clean[[#This Row],[Facture_Mensuelle]]*Clients_chun_clean[[#This Row],[Remise]]</f>
        <v>0</v>
      </c>
      <c r="Q329">
        <v>1</v>
      </c>
    </row>
    <row r="330" spans="1:17" x14ac:dyDescent="0.25">
      <c r="A330" s="1" t="s">
        <v>342</v>
      </c>
      <c r="B330" s="1" t="s">
        <v>373</v>
      </c>
      <c r="C330" s="1" t="s">
        <v>35</v>
      </c>
      <c r="D330" s="1" t="str">
        <f>VLOOKUP(Clients_chun_clean[[#This Row],[Province_Client]],Master_Logs_reseau_registre!B330:F1401,2,0)</f>
        <v>ANT-0205</v>
      </c>
      <c r="E330" s="1" t="s">
        <v>1506</v>
      </c>
      <c r="F330" s="1" t="s">
        <v>1507</v>
      </c>
      <c r="G330" s="1" t="s">
        <v>811</v>
      </c>
      <c r="H330">
        <v>29</v>
      </c>
      <c r="I330">
        <v>2</v>
      </c>
      <c r="J330" s="1" t="s">
        <v>1705</v>
      </c>
      <c r="K330" s="1" t="s">
        <v>14</v>
      </c>
      <c r="L330">
        <v>203</v>
      </c>
      <c r="M330" s="4">
        <v>0.14097222222222222</v>
      </c>
      <c r="N330" s="10">
        <v>53.97</v>
      </c>
      <c r="O330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330" s="10">
        <f>Clients_chun_clean[[#This Row],[Facture_Mensuelle]]*Clients_chun_clean[[#This Row],[Remise]]</f>
        <v>5.3970000000000002</v>
      </c>
      <c r="Q330">
        <v>5</v>
      </c>
    </row>
    <row r="331" spans="1:17" x14ac:dyDescent="0.25">
      <c r="A331" s="1" t="s">
        <v>342</v>
      </c>
      <c r="B331" s="1" t="s">
        <v>374</v>
      </c>
      <c r="C331" s="1" t="s">
        <v>40</v>
      </c>
      <c r="D331" s="1" t="str">
        <f>VLOOKUP(Clients_chun_clean[[#This Row],[Province_Client]],Master_Logs_reseau_registre!B331:F1402,2,0)</f>
        <v>ANT-0630</v>
      </c>
      <c r="E331" s="1" t="s">
        <v>1503</v>
      </c>
      <c r="F331" s="1" t="s">
        <v>1516</v>
      </c>
      <c r="G331" s="1" t="s">
        <v>811</v>
      </c>
      <c r="H331">
        <v>64</v>
      </c>
      <c r="I331">
        <v>5</v>
      </c>
      <c r="J331" s="1" t="s">
        <v>1704</v>
      </c>
      <c r="K331" s="1" t="s">
        <v>19</v>
      </c>
      <c r="L331">
        <v>250</v>
      </c>
      <c r="M331" s="4">
        <v>0.1736111111111111</v>
      </c>
      <c r="N331" s="10">
        <v>56.7</v>
      </c>
      <c r="O331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331" s="10">
        <f>Clients_chun_clean[[#This Row],[Facture_Mensuelle]]*Clients_chun_clean[[#This Row],[Remise]]</f>
        <v>25.515000000000001</v>
      </c>
      <c r="Q331">
        <v>0</v>
      </c>
    </row>
    <row r="332" spans="1:17" x14ac:dyDescent="0.25">
      <c r="A332" s="1" t="s">
        <v>342</v>
      </c>
      <c r="B332" s="1" t="s">
        <v>375</v>
      </c>
      <c r="C332" s="1" t="s">
        <v>51</v>
      </c>
      <c r="D332" s="1" t="str">
        <f>VLOOKUP(Clients_chun_clean[[#This Row],[Province_Client]],Master_Logs_reseau_registre!B332:F1403,2,0)</f>
        <v>ANT-0458</v>
      </c>
      <c r="E332" s="1" t="s">
        <v>1508</v>
      </c>
      <c r="F332" s="1" t="s">
        <v>1507</v>
      </c>
      <c r="G332" s="1" t="s">
        <v>813</v>
      </c>
      <c r="H332">
        <v>88</v>
      </c>
      <c r="I332">
        <v>7</v>
      </c>
      <c r="J332" s="1" t="s">
        <v>1704</v>
      </c>
      <c r="K332" s="1" t="s">
        <v>22</v>
      </c>
      <c r="L332">
        <v>154</v>
      </c>
      <c r="M332" s="4">
        <v>0.10694444444444444</v>
      </c>
      <c r="N332" s="10">
        <v>62.62</v>
      </c>
      <c r="O332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332" s="10">
        <f>Clients_chun_clean[[#This Row],[Facture_Mensuelle]]*Clients_chun_clean[[#This Row],[Remise]]</f>
        <v>0</v>
      </c>
      <c r="Q332">
        <v>5</v>
      </c>
    </row>
    <row r="333" spans="1:17" x14ac:dyDescent="0.25">
      <c r="A333" s="1" t="s">
        <v>342</v>
      </c>
      <c r="B333" s="1" t="s">
        <v>376</v>
      </c>
      <c r="C333" s="1" t="s">
        <v>40</v>
      </c>
      <c r="D333" s="1" t="str">
        <f>VLOOKUP(Clients_chun_clean[[#This Row],[Province_Client]],Master_Logs_reseau_registre!B333:F1404,2,0)</f>
        <v>ANT-0630</v>
      </c>
      <c r="E333" s="1" t="s">
        <v>1503</v>
      </c>
      <c r="F333" s="1" t="s">
        <v>1516</v>
      </c>
      <c r="G333" s="1" t="s">
        <v>811</v>
      </c>
      <c r="H333">
        <v>59</v>
      </c>
      <c r="I333">
        <v>4</v>
      </c>
      <c r="J333" s="1" t="s">
        <v>1704</v>
      </c>
      <c r="K333" s="1" t="s">
        <v>11</v>
      </c>
      <c r="L333">
        <v>352</v>
      </c>
      <c r="M333" s="4">
        <v>0.24444444444444444</v>
      </c>
      <c r="N333" s="10">
        <v>74.239999999999995</v>
      </c>
      <c r="O333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333" s="10">
        <f>Clients_chun_clean[[#This Row],[Facture_Mensuelle]]*Clients_chun_clean[[#This Row],[Remise]]</f>
        <v>33.408000000000001</v>
      </c>
      <c r="Q333">
        <v>0</v>
      </c>
    </row>
    <row r="334" spans="1:17" x14ac:dyDescent="0.25">
      <c r="A334" s="1" t="s">
        <v>342</v>
      </c>
      <c r="B334" s="1" t="s">
        <v>377</v>
      </c>
      <c r="C334" s="1" t="s">
        <v>78</v>
      </c>
      <c r="D334" s="1" t="str">
        <f>VLOOKUP(Clients_chun_clean[[#This Row],[Province_Client]],Master_Logs_reseau_registre!B334:F1405,2,0)</f>
        <v>ANT-0079</v>
      </c>
      <c r="E334" s="1" t="s">
        <v>1503</v>
      </c>
      <c r="F334" s="1" t="s">
        <v>1516</v>
      </c>
      <c r="G334" s="1" t="s">
        <v>811</v>
      </c>
      <c r="H334">
        <v>19</v>
      </c>
      <c r="I334">
        <v>1</v>
      </c>
      <c r="J334" s="1" t="s">
        <v>1704</v>
      </c>
      <c r="K334" s="1" t="s">
        <v>19</v>
      </c>
      <c r="L334">
        <v>305</v>
      </c>
      <c r="M334" s="4">
        <v>0.21180555555555555</v>
      </c>
      <c r="N334" s="10">
        <v>81.11</v>
      </c>
      <c r="O334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334" s="10">
        <f>Clients_chun_clean[[#This Row],[Facture_Mensuelle]]*Clients_chun_clean[[#This Row],[Remise]]</f>
        <v>36.499499999999998</v>
      </c>
      <c r="Q334">
        <v>1</v>
      </c>
    </row>
    <row r="335" spans="1:17" x14ac:dyDescent="0.25">
      <c r="A335" s="1" t="s">
        <v>342</v>
      </c>
      <c r="B335" s="1" t="s">
        <v>378</v>
      </c>
      <c r="C335" s="1" t="s">
        <v>18</v>
      </c>
      <c r="D335" s="1" t="str">
        <f>VLOOKUP(Clients_chun_clean[[#This Row],[Province_Client]],Master_Logs_reseau_registre!B335:F1406,2,0)</f>
        <v>ANT-0695</v>
      </c>
      <c r="E335" s="1" t="s">
        <v>1506</v>
      </c>
      <c r="F335" s="1" t="s">
        <v>1507</v>
      </c>
      <c r="G335" s="1" t="s">
        <v>808</v>
      </c>
      <c r="H335">
        <v>77</v>
      </c>
      <c r="I335">
        <v>6</v>
      </c>
      <c r="J335" s="1" t="s">
        <v>1704</v>
      </c>
      <c r="K335" s="1" t="s">
        <v>11</v>
      </c>
      <c r="L335">
        <v>488</v>
      </c>
      <c r="M335" s="4">
        <v>0.33888888888888891</v>
      </c>
      <c r="N335" s="10">
        <v>21.17</v>
      </c>
      <c r="O335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335" s="10">
        <f>Clients_chun_clean[[#This Row],[Facture_Mensuelle]]*Clients_chun_clean[[#This Row],[Remise]]</f>
        <v>9.5265000000000004</v>
      </c>
      <c r="Q335">
        <v>0</v>
      </c>
    </row>
    <row r="336" spans="1:17" x14ac:dyDescent="0.25">
      <c r="A336" s="1" t="s">
        <v>342</v>
      </c>
      <c r="B336" s="1" t="s">
        <v>379</v>
      </c>
      <c r="C336" s="1" t="s">
        <v>89</v>
      </c>
      <c r="D336" s="1" t="str">
        <f>VLOOKUP(Clients_chun_clean[[#This Row],[Province_Client]],Master_Logs_reseau_registre!B336:F1407,2,0)</f>
        <v>ANT-0649</v>
      </c>
      <c r="E336" s="1" t="s">
        <v>1508</v>
      </c>
      <c r="F336" s="1" t="s">
        <v>1504</v>
      </c>
      <c r="G336" s="1" t="s">
        <v>813</v>
      </c>
      <c r="H336">
        <v>37</v>
      </c>
      <c r="I336">
        <v>3</v>
      </c>
      <c r="J336" s="1" t="s">
        <v>1705</v>
      </c>
      <c r="K336" s="1" t="s">
        <v>14</v>
      </c>
      <c r="L336">
        <v>88</v>
      </c>
      <c r="M336" s="4">
        <v>6.1111111111111109E-2</v>
      </c>
      <c r="N336" s="10">
        <v>77.77</v>
      </c>
      <c r="O336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336" s="10">
        <f>Clients_chun_clean[[#This Row],[Facture_Mensuelle]]*Clients_chun_clean[[#This Row],[Remise]]</f>
        <v>7.7770000000000001</v>
      </c>
      <c r="Q336">
        <v>1</v>
      </c>
    </row>
    <row r="337" spans="1:17" x14ac:dyDescent="0.25">
      <c r="A337" s="1" t="s">
        <v>342</v>
      </c>
      <c r="B337" s="1" t="s">
        <v>380</v>
      </c>
      <c r="C337" s="1" t="s">
        <v>33</v>
      </c>
      <c r="D337" s="1" t="str">
        <f>VLOOKUP(Clients_chun_clean[[#This Row],[Province_Client]],Master_Logs_reseau_registre!B337:F1408,2,0)</f>
        <v>ANT-0735</v>
      </c>
      <c r="E337" s="1" t="s">
        <v>1506</v>
      </c>
      <c r="F337" s="1" t="s">
        <v>1507</v>
      </c>
      <c r="G337" s="1" t="s">
        <v>808</v>
      </c>
      <c r="H337">
        <v>19</v>
      </c>
      <c r="I337">
        <v>1</v>
      </c>
      <c r="J337" s="1" t="s">
        <v>1704</v>
      </c>
      <c r="K337" s="1" t="s">
        <v>22</v>
      </c>
      <c r="L337">
        <v>334</v>
      </c>
      <c r="M337" s="4">
        <v>0.23194444444444445</v>
      </c>
      <c r="N337" s="10">
        <v>96.91</v>
      </c>
      <c r="O337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337" s="10">
        <f>Clients_chun_clean[[#This Row],[Facture_Mensuelle]]*Clients_chun_clean[[#This Row],[Remise]]</f>
        <v>43.609499999999997</v>
      </c>
      <c r="Q337">
        <v>1</v>
      </c>
    </row>
    <row r="338" spans="1:17" x14ac:dyDescent="0.25">
      <c r="A338" s="1" t="s">
        <v>342</v>
      </c>
      <c r="B338" s="1" t="s">
        <v>381</v>
      </c>
      <c r="C338" s="1" t="s">
        <v>18</v>
      </c>
      <c r="D338" s="1" t="str">
        <f>VLOOKUP(Clients_chun_clean[[#This Row],[Province_Client]],Master_Logs_reseau_registre!B338:F1409,2,0)</f>
        <v>ANT-0695</v>
      </c>
      <c r="E338" s="1" t="s">
        <v>1506</v>
      </c>
      <c r="F338" s="1" t="s">
        <v>1507</v>
      </c>
      <c r="G338" s="1" t="s">
        <v>808</v>
      </c>
      <c r="H338">
        <v>96</v>
      </c>
      <c r="I338">
        <v>8</v>
      </c>
      <c r="J338" s="1" t="s">
        <v>1704</v>
      </c>
      <c r="K338" s="1" t="s">
        <v>22</v>
      </c>
      <c r="L338">
        <v>381</v>
      </c>
      <c r="M338" s="4">
        <v>0.26458333333333334</v>
      </c>
      <c r="N338" s="10">
        <v>90.78</v>
      </c>
      <c r="O338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338" s="10">
        <f>Clients_chun_clean[[#This Row],[Facture_Mensuelle]]*Clients_chun_clean[[#This Row],[Remise]]</f>
        <v>40.850999999999999</v>
      </c>
      <c r="Q338">
        <v>2</v>
      </c>
    </row>
    <row r="339" spans="1:17" x14ac:dyDescent="0.25">
      <c r="A339" s="1" t="s">
        <v>342</v>
      </c>
      <c r="B339" s="1" t="s">
        <v>382</v>
      </c>
      <c r="C339" s="1" t="s">
        <v>51</v>
      </c>
      <c r="D339" s="1" t="str">
        <f>VLOOKUP(Clients_chun_clean[[#This Row],[Province_Client]],Master_Logs_reseau_registre!B339:F1410,2,0)</f>
        <v>ANT-0458</v>
      </c>
      <c r="E339" s="1" t="s">
        <v>1508</v>
      </c>
      <c r="F339" s="1" t="s">
        <v>1504</v>
      </c>
      <c r="G339" s="1" t="s">
        <v>813</v>
      </c>
      <c r="H339">
        <v>86</v>
      </c>
      <c r="I339">
        <v>7</v>
      </c>
      <c r="J339" s="1" t="s">
        <v>1705</v>
      </c>
      <c r="K339" s="1" t="s">
        <v>14</v>
      </c>
      <c r="L339">
        <v>192</v>
      </c>
      <c r="M339" s="4">
        <v>0.13333333333333333</v>
      </c>
      <c r="N339" s="10">
        <v>26.26</v>
      </c>
      <c r="O339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339" s="10">
        <f>Clients_chun_clean[[#This Row],[Facture_Mensuelle]]*Clients_chun_clean[[#This Row],[Remise]]</f>
        <v>2.6260000000000003</v>
      </c>
      <c r="Q339">
        <v>1</v>
      </c>
    </row>
    <row r="340" spans="1:17" x14ac:dyDescent="0.25">
      <c r="A340" s="1" t="s">
        <v>342</v>
      </c>
      <c r="B340" s="1" t="s">
        <v>383</v>
      </c>
      <c r="C340" s="1" t="s">
        <v>89</v>
      </c>
      <c r="D340" s="1" t="str">
        <f>VLOOKUP(Clients_chun_clean[[#This Row],[Province_Client]],Master_Logs_reseau_registre!B340:F1411,2,0)</f>
        <v>ANT-0649</v>
      </c>
      <c r="E340" s="1" t="s">
        <v>1508</v>
      </c>
      <c r="F340" s="1" t="s">
        <v>1504</v>
      </c>
      <c r="G340" s="1" t="s">
        <v>813</v>
      </c>
      <c r="H340">
        <v>109</v>
      </c>
      <c r="I340">
        <v>9</v>
      </c>
      <c r="J340" s="1" t="s">
        <v>1705</v>
      </c>
      <c r="K340" s="1" t="s">
        <v>14</v>
      </c>
      <c r="L340">
        <v>397</v>
      </c>
      <c r="M340" s="4">
        <v>0.27569444444444446</v>
      </c>
      <c r="N340" s="10">
        <v>63.92</v>
      </c>
      <c r="O340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340" s="10">
        <f>Clients_chun_clean[[#This Row],[Facture_Mensuelle]]*Clients_chun_clean[[#This Row],[Remise]]</f>
        <v>28.764000000000003</v>
      </c>
      <c r="Q340">
        <v>1</v>
      </c>
    </row>
    <row r="341" spans="1:17" x14ac:dyDescent="0.25">
      <c r="A341" s="1" t="s">
        <v>342</v>
      </c>
      <c r="B341" s="1" t="s">
        <v>384</v>
      </c>
      <c r="C341" s="1" t="s">
        <v>21</v>
      </c>
      <c r="D341" s="1" t="str">
        <f>VLOOKUP(Clients_chun_clean[[#This Row],[Province_Client]],Master_Logs_reseau_registre!B341:F1412,2,0)</f>
        <v>ANT-0257</v>
      </c>
      <c r="E341" s="1" t="s">
        <v>1508</v>
      </c>
      <c r="F341" s="1" t="s">
        <v>1504</v>
      </c>
      <c r="G341" s="1" t="s">
        <v>813</v>
      </c>
      <c r="H341">
        <v>103</v>
      </c>
      <c r="I341">
        <v>8</v>
      </c>
      <c r="J341" s="1" t="s">
        <v>1704</v>
      </c>
      <c r="K341" s="1" t="s">
        <v>11</v>
      </c>
      <c r="L341">
        <v>354</v>
      </c>
      <c r="M341" s="4">
        <v>0.24583333333333332</v>
      </c>
      <c r="N341" s="10">
        <v>26.19</v>
      </c>
      <c r="O341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341" s="10">
        <f>Clients_chun_clean[[#This Row],[Facture_Mensuelle]]*Clients_chun_clean[[#This Row],[Remise]]</f>
        <v>11.785500000000001</v>
      </c>
      <c r="Q341">
        <v>4</v>
      </c>
    </row>
    <row r="342" spans="1:17" x14ac:dyDescent="0.25">
      <c r="A342" s="1" t="s">
        <v>342</v>
      </c>
      <c r="B342" s="1" t="s">
        <v>385</v>
      </c>
      <c r="C342" s="1" t="s">
        <v>44</v>
      </c>
      <c r="D342" s="1" t="str">
        <f>VLOOKUP(Clients_chun_clean[[#This Row],[Province_Client]],Master_Logs_reseau_registre!B342:F1413,2,0)</f>
        <v>ANT-0236</v>
      </c>
      <c r="E342" s="1" t="s">
        <v>1508</v>
      </c>
      <c r="F342" s="1" t="s">
        <v>1504</v>
      </c>
      <c r="G342" s="1" t="s">
        <v>813</v>
      </c>
      <c r="H342">
        <v>106</v>
      </c>
      <c r="I342">
        <v>8</v>
      </c>
      <c r="J342" s="1" t="s">
        <v>1704</v>
      </c>
      <c r="K342" s="1" t="s">
        <v>22</v>
      </c>
      <c r="L342">
        <v>407</v>
      </c>
      <c r="M342" s="4">
        <v>0.28263888888888888</v>
      </c>
      <c r="N342" s="10">
        <v>59.92</v>
      </c>
      <c r="O342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342" s="10">
        <f>Clients_chun_clean[[#This Row],[Facture_Mensuelle]]*Clients_chun_clean[[#This Row],[Remise]]</f>
        <v>26.964000000000002</v>
      </c>
      <c r="Q342">
        <v>4</v>
      </c>
    </row>
    <row r="343" spans="1:17" x14ac:dyDescent="0.25">
      <c r="A343" s="1" t="s">
        <v>342</v>
      </c>
      <c r="B343" s="1" t="s">
        <v>386</v>
      </c>
      <c r="C343" s="1" t="s">
        <v>78</v>
      </c>
      <c r="D343" s="1" t="str">
        <f>VLOOKUP(Clients_chun_clean[[#This Row],[Province_Client]],Master_Logs_reseau_registre!B343:F1414,2,0)</f>
        <v>ANT-0079</v>
      </c>
      <c r="E343" s="1" t="s">
        <v>1503</v>
      </c>
      <c r="F343" s="1" t="s">
        <v>1504</v>
      </c>
      <c r="G343" s="1" t="s">
        <v>813</v>
      </c>
      <c r="H343">
        <v>90</v>
      </c>
      <c r="I343">
        <v>7</v>
      </c>
      <c r="J343" s="1" t="s">
        <v>1704</v>
      </c>
      <c r="K343" s="1" t="s">
        <v>22</v>
      </c>
      <c r="L343">
        <v>343</v>
      </c>
      <c r="M343" s="4">
        <v>0.23819444444444443</v>
      </c>
      <c r="N343" s="10">
        <v>82.05</v>
      </c>
      <c r="O343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343" s="10">
        <f>Clients_chun_clean[[#This Row],[Facture_Mensuelle]]*Clients_chun_clean[[#This Row],[Remise]]</f>
        <v>36.922499999999999</v>
      </c>
      <c r="Q343">
        <v>1</v>
      </c>
    </row>
    <row r="344" spans="1:17" x14ac:dyDescent="0.25">
      <c r="A344" s="1" t="s">
        <v>342</v>
      </c>
      <c r="B344" s="1" t="s">
        <v>387</v>
      </c>
      <c r="C344" s="1" t="s">
        <v>131</v>
      </c>
      <c r="D344" s="1" t="str">
        <f>VLOOKUP(Clients_chun_clean[[#This Row],[Province_Client]],Master_Logs_reseau_registre!B344:F1415,2,0)</f>
        <v>ANT-0970</v>
      </c>
      <c r="E344" s="1" t="s">
        <v>1508</v>
      </c>
      <c r="F344" s="1" t="s">
        <v>1504</v>
      </c>
      <c r="G344" s="1" t="s">
        <v>813</v>
      </c>
      <c r="H344">
        <v>5</v>
      </c>
      <c r="I344">
        <v>0</v>
      </c>
      <c r="J344" s="1" t="s">
        <v>1704</v>
      </c>
      <c r="K344" s="1" t="s">
        <v>22</v>
      </c>
      <c r="L344">
        <v>337</v>
      </c>
      <c r="M344" s="4">
        <v>0.23402777777777778</v>
      </c>
      <c r="N344" s="10">
        <v>21.07</v>
      </c>
      <c r="O344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344" s="10">
        <f>Clients_chun_clean[[#This Row],[Facture_Mensuelle]]*Clients_chun_clean[[#This Row],[Remise]]</f>
        <v>9.4815000000000005</v>
      </c>
      <c r="Q344">
        <v>4</v>
      </c>
    </row>
    <row r="345" spans="1:17" x14ac:dyDescent="0.25">
      <c r="A345" s="1" t="s">
        <v>342</v>
      </c>
      <c r="B345" s="1" t="s">
        <v>388</v>
      </c>
      <c r="C345" s="1" t="s">
        <v>89</v>
      </c>
      <c r="D345" s="1" t="str">
        <f>VLOOKUP(Clients_chun_clean[[#This Row],[Province_Client]],Master_Logs_reseau_registre!B345:F1416,2,0)</f>
        <v>ANT-0649</v>
      </c>
      <c r="E345" s="1" t="s">
        <v>1508</v>
      </c>
      <c r="F345" s="1" t="s">
        <v>1504</v>
      </c>
      <c r="G345" s="1" t="s">
        <v>813</v>
      </c>
      <c r="H345">
        <v>77</v>
      </c>
      <c r="I345">
        <v>6</v>
      </c>
      <c r="J345" s="1" t="s">
        <v>1704</v>
      </c>
      <c r="K345" s="1" t="s">
        <v>22</v>
      </c>
      <c r="L345">
        <v>45</v>
      </c>
      <c r="M345" s="4">
        <v>3.125E-2</v>
      </c>
      <c r="N345" s="10">
        <v>21.59</v>
      </c>
      <c r="O345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345" s="10">
        <f>Clients_chun_clean[[#This Row],[Facture_Mensuelle]]*Clients_chun_clean[[#This Row],[Remise]]</f>
        <v>0</v>
      </c>
      <c r="Q345">
        <v>2</v>
      </c>
    </row>
    <row r="346" spans="1:17" x14ac:dyDescent="0.25">
      <c r="A346" s="1" t="s">
        <v>342</v>
      </c>
      <c r="B346" s="1" t="s">
        <v>389</v>
      </c>
      <c r="C346" s="1" t="s">
        <v>18</v>
      </c>
      <c r="D346" s="1" t="str">
        <f>VLOOKUP(Clients_chun_clean[[#This Row],[Province_Client]],Master_Logs_reseau_registre!B346:F1417,2,0)</f>
        <v>ANT-0695</v>
      </c>
      <c r="E346" s="1" t="s">
        <v>1506</v>
      </c>
      <c r="F346" s="1" t="s">
        <v>1507</v>
      </c>
      <c r="G346" s="1" t="s">
        <v>808</v>
      </c>
      <c r="H346">
        <v>41</v>
      </c>
      <c r="I346">
        <v>3</v>
      </c>
      <c r="J346" s="1" t="s">
        <v>1704</v>
      </c>
      <c r="K346" s="1" t="s">
        <v>19</v>
      </c>
      <c r="L346">
        <v>398</v>
      </c>
      <c r="M346" s="4">
        <v>0.27638888888888891</v>
      </c>
      <c r="N346" s="10">
        <v>28.56</v>
      </c>
      <c r="O346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346" s="10">
        <f>Clients_chun_clean[[#This Row],[Facture_Mensuelle]]*Clients_chun_clean[[#This Row],[Remise]]</f>
        <v>12.852</v>
      </c>
      <c r="Q346">
        <v>2</v>
      </c>
    </row>
    <row r="347" spans="1:17" x14ac:dyDescent="0.25">
      <c r="A347" s="1" t="s">
        <v>342</v>
      </c>
      <c r="B347" s="1" t="s">
        <v>390</v>
      </c>
      <c r="C347" s="1" t="s">
        <v>64</v>
      </c>
      <c r="D347" s="1" t="str">
        <f>VLOOKUP(Clients_chun_clean[[#This Row],[Province_Client]],Master_Logs_reseau_registre!B347:F1418,2,0)</f>
        <v>ANT-0362</v>
      </c>
      <c r="E347" s="1" t="s">
        <v>1508</v>
      </c>
      <c r="F347" s="1" t="s">
        <v>1509</v>
      </c>
      <c r="G347" s="1" t="s">
        <v>808</v>
      </c>
      <c r="H347">
        <v>40</v>
      </c>
      <c r="I347">
        <v>3</v>
      </c>
      <c r="J347" s="1" t="s">
        <v>1704</v>
      </c>
      <c r="K347" s="1" t="s">
        <v>11</v>
      </c>
      <c r="L347">
        <v>237</v>
      </c>
      <c r="M347" s="4">
        <v>0.16458333333333333</v>
      </c>
      <c r="N347" s="10">
        <v>24.51</v>
      </c>
      <c r="O347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347" s="10">
        <f>Clients_chun_clean[[#This Row],[Facture_Mensuelle]]*Clients_chun_clean[[#This Row],[Remise]]</f>
        <v>11.029500000000001</v>
      </c>
      <c r="Q347">
        <v>1</v>
      </c>
    </row>
    <row r="348" spans="1:17" x14ac:dyDescent="0.25">
      <c r="A348" s="1" t="s">
        <v>342</v>
      </c>
      <c r="B348" s="1" t="s">
        <v>391</v>
      </c>
      <c r="C348" s="1" t="s">
        <v>35</v>
      </c>
      <c r="D348" s="1" t="str">
        <f>VLOOKUP(Clients_chun_clean[[#This Row],[Province_Client]],Master_Logs_reseau_registre!B348:F1419,2,0)</f>
        <v>ANT-0205</v>
      </c>
      <c r="E348" s="1" t="s">
        <v>1506</v>
      </c>
      <c r="F348" s="1" t="s">
        <v>1507</v>
      </c>
      <c r="G348" s="1" t="s">
        <v>808</v>
      </c>
      <c r="H348">
        <v>65</v>
      </c>
      <c r="I348">
        <v>5</v>
      </c>
      <c r="J348" s="1" t="s">
        <v>1704</v>
      </c>
      <c r="K348" s="1" t="s">
        <v>19</v>
      </c>
      <c r="L348">
        <v>442</v>
      </c>
      <c r="M348" s="4">
        <v>0.30694444444444446</v>
      </c>
      <c r="N348" s="10">
        <v>60.62</v>
      </c>
      <c r="O348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348" s="10">
        <f>Clients_chun_clean[[#This Row],[Facture_Mensuelle]]*Clients_chun_clean[[#This Row],[Remise]]</f>
        <v>27.279</v>
      </c>
      <c r="Q348">
        <v>5</v>
      </c>
    </row>
    <row r="349" spans="1:17" x14ac:dyDescent="0.25">
      <c r="A349" s="1" t="s">
        <v>342</v>
      </c>
      <c r="B349" s="1" t="s">
        <v>392</v>
      </c>
      <c r="C349" s="1" t="s">
        <v>62</v>
      </c>
      <c r="D349" s="1" t="str">
        <f>VLOOKUP(Clients_chun_clean[[#This Row],[Province_Client]],Master_Logs_reseau_registre!B349:F1420,2,0)</f>
        <v>ANT-0481</v>
      </c>
      <c r="E349" s="1" t="s">
        <v>1503</v>
      </c>
      <c r="F349" s="1" t="s">
        <v>1516</v>
      </c>
      <c r="G349" s="1" t="s">
        <v>813</v>
      </c>
      <c r="H349">
        <v>89</v>
      </c>
      <c r="I349">
        <v>7</v>
      </c>
      <c r="J349" s="1" t="s">
        <v>1704</v>
      </c>
      <c r="K349" s="1" t="s">
        <v>22</v>
      </c>
      <c r="L349">
        <v>418</v>
      </c>
      <c r="M349" s="4">
        <v>0.2902777777777778</v>
      </c>
      <c r="N349" s="10">
        <v>86.63</v>
      </c>
      <c r="O349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349" s="10">
        <f>Clients_chun_clean[[#This Row],[Facture_Mensuelle]]*Clients_chun_clean[[#This Row],[Remise]]</f>
        <v>38.983499999999999</v>
      </c>
      <c r="Q349">
        <v>4</v>
      </c>
    </row>
    <row r="350" spans="1:17" x14ac:dyDescent="0.25">
      <c r="A350" s="1" t="s">
        <v>393</v>
      </c>
      <c r="B350" s="1" t="s">
        <v>394</v>
      </c>
      <c r="C350" s="1" t="s">
        <v>67</v>
      </c>
      <c r="D350" s="1" t="str">
        <f>VLOOKUP(Clients_chun_clean[[#This Row],[Province_Client]],Master_Logs_reseau_registre!B350:F1421,2,0)</f>
        <v>ANT-0032</v>
      </c>
      <c r="E350" s="1" t="s">
        <v>1508</v>
      </c>
      <c r="F350" s="1" t="s">
        <v>1507</v>
      </c>
      <c r="G350" s="1" t="s">
        <v>808</v>
      </c>
      <c r="H350">
        <v>12</v>
      </c>
      <c r="I350">
        <v>1</v>
      </c>
      <c r="J350" s="1" t="s">
        <v>1705</v>
      </c>
      <c r="K350" s="1" t="s">
        <v>14</v>
      </c>
      <c r="L350">
        <v>125</v>
      </c>
      <c r="M350" s="4">
        <v>8.6805555555555552E-2</v>
      </c>
      <c r="N350" s="10">
        <v>36.93</v>
      </c>
      <c r="O350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350" s="10">
        <f>Clients_chun_clean[[#This Row],[Facture_Mensuelle]]*Clients_chun_clean[[#This Row],[Remise]]</f>
        <v>3.6930000000000001</v>
      </c>
      <c r="Q350">
        <v>0</v>
      </c>
    </row>
    <row r="351" spans="1:17" x14ac:dyDescent="0.25">
      <c r="A351" s="1" t="s">
        <v>393</v>
      </c>
      <c r="B351" s="1" t="s">
        <v>395</v>
      </c>
      <c r="C351" s="1" t="s">
        <v>131</v>
      </c>
      <c r="D351" s="1" t="str">
        <f>VLOOKUP(Clients_chun_clean[[#This Row],[Province_Client]],Master_Logs_reseau_registre!B351:F1422,2,0)</f>
        <v>ANT-0970</v>
      </c>
      <c r="E351" s="1" t="s">
        <v>1508</v>
      </c>
      <c r="F351" s="1" t="s">
        <v>1507</v>
      </c>
      <c r="G351" s="1" t="s">
        <v>808</v>
      </c>
      <c r="H351">
        <v>47</v>
      </c>
      <c r="I351">
        <v>3</v>
      </c>
      <c r="J351" s="1" t="s">
        <v>1705</v>
      </c>
      <c r="K351" s="1" t="s">
        <v>14</v>
      </c>
      <c r="L351">
        <v>378</v>
      </c>
      <c r="M351" s="4">
        <v>0.26250000000000001</v>
      </c>
      <c r="N351" s="10">
        <v>36.42</v>
      </c>
      <c r="O351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351" s="10">
        <f>Clients_chun_clean[[#This Row],[Facture_Mensuelle]]*Clients_chun_clean[[#This Row],[Remise]]</f>
        <v>16.389000000000003</v>
      </c>
      <c r="Q351">
        <v>1</v>
      </c>
    </row>
    <row r="352" spans="1:17" x14ac:dyDescent="0.25">
      <c r="A352" s="1" t="s">
        <v>393</v>
      </c>
      <c r="B352" s="1" t="s">
        <v>396</v>
      </c>
      <c r="C352" s="1" t="s">
        <v>16</v>
      </c>
      <c r="D352" s="1" t="str">
        <f>VLOOKUP(Clients_chun_clean[[#This Row],[Province_Client]],Master_Logs_reseau_registre!B352:F1423,2,0)</f>
        <v>ANT-0837</v>
      </c>
      <c r="E352" s="1" t="s">
        <v>1503</v>
      </c>
      <c r="F352" s="1" t="s">
        <v>1507</v>
      </c>
      <c r="G352" s="1" t="s">
        <v>813</v>
      </c>
      <c r="H352">
        <v>117</v>
      </c>
      <c r="I352">
        <v>9</v>
      </c>
      <c r="J352" s="1" t="s">
        <v>1704</v>
      </c>
      <c r="K352" s="1" t="s">
        <v>22</v>
      </c>
      <c r="L352">
        <v>338</v>
      </c>
      <c r="M352" s="4">
        <v>0.23472222222222222</v>
      </c>
      <c r="N352" s="10">
        <v>29.18</v>
      </c>
      <c r="O352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352" s="10">
        <f>Clients_chun_clean[[#This Row],[Facture_Mensuelle]]*Clients_chun_clean[[#This Row],[Remise]]</f>
        <v>13.131</v>
      </c>
      <c r="Q352">
        <v>5</v>
      </c>
    </row>
    <row r="353" spans="1:17" x14ac:dyDescent="0.25">
      <c r="A353" s="1" t="s">
        <v>393</v>
      </c>
      <c r="B353" s="1" t="s">
        <v>397</v>
      </c>
      <c r="C353" s="1" t="s">
        <v>29</v>
      </c>
      <c r="D353" s="1" t="str">
        <f>VLOOKUP(Clients_chun_clean[[#This Row],[Province_Client]],Master_Logs_reseau_registre!B353:F1424,2,0)</f>
        <v>ANT-0788</v>
      </c>
      <c r="E353" s="1" t="s">
        <v>1506</v>
      </c>
      <c r="F353" s="1" t="s">
        <v>1507</v>
      </c>
      <c r="G353" s="1" t="s">
        <v>813</v>
      </c>
      <c r="H353">
        <v>43</v>
      </c>
      <c r="I353">
        <v>3</v>
      </c>
      <c r="J353" s="1" t="s">
        <v>1704</v>
      </c>
      <c r="K353" s="1" t="s">
        <v>11</v>
      </c>
      <c r="L353">
        <v>486</v>
      </c>
      <c r="M353" s="4">
        <v>0.33750000000000002</v>
      </c>
      <c r="N353" s="10">
        <v>76.42</v>
      </c>
      <c r="O353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353" s="10">
        <f>Clients_chun_clean[[#This Row],[Facture_Mensuelle]]*Clients_chun_clean[[#This Row],[Remise]]</f>
        <v>34.389000000000003</v>
      </c>
      <c r="Q353">
        <v>1</v>
      </c>
    </row>
    <row r="354" spans="1:17" x14ac:dyDescent="0.25">
      <c r="A354" s="1" t="s">
        <v>393</v>
      </c>
      <c r="B354" s="1" t="s">
        <v>398</v>
      </c>
      <c r="C354" s="1" t="s">
        <v>131</v>
      </c>
      <c r="D354" s="1" t="str">
        <f>VLOOKUP(Clients_chun_clean[[#This Row],[Province_Client]],Master_Logs_reseau_registre!B354:F1425,2,0)</f>
        <v>ANT-0970</v>
      </c>
      <c r="E354" s="1" t="s">
        <v>1508</v>
      </c>
      <c r="F354" s="1" t="s">
        <v>1507</v>
      </c>
      <c r="G354" s="1" t="s">
        <v>813</v>
      </c>
      <c r="H354">
        <v>100</v>
      </c>
      <c r="I354">
        <v>8</v>
      </c>
      <c r="J354" s="1" t="s">
        <v>1704</v>
      </c>
      <c r="K354" s="1" t="s">
        <v>19</v>
      </c>
      <c r="L354">
        <v>471</v>
      </c>
      <c r="M354" s="4">
        <v>0.32708333333333334</v>
      </c>
      <c r="N354" s="10">
        <v>61.2</v>
      </c>
      <c r="O354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354" s="10">
        <f>Clients_chun_clean[[#This Row],[Facture_Mensuelle]]*Clients_chun_clean[[#This Row],[Remise]]</f>
        <v>27.540000000000003</v>
      </c>
      <c r="Q354">
        <v>3</v>
      </c>
    </row>
    <row r="355" spans="1:17" x14ac:dyDescent="0.25">
      <c r="A355" s="1" t="s">
        <v>393</v>
      </c>
      <c r="B355" s="1" t="s">
        <v>399</v>
      </c>
      <c r="C355" s="1" t="s">
        <v>127</v>
      </c>
      <c r="D355" s="1" t="str">
        <f>VLOOKUP(Clients_chun_clean[[#This Row],[Province_Client]],Master_Logs_reseau_registre!B355:F1426,2,0)</f>
        <v>ANT-0797</v>
      </c>
      <c r="E355" s="1" t="s">
        <v>1506</v>
      </c>
      <c r="F355" s="1" t="s">
        <v>1507</v>
      </c>
      <c r="G355" s="1" t="s">
        <v>813</v>
      </c>
      <c r="H355">
        <v>35</v>
      </c>
      <c r="I355">
        <v>2</v>
      </c>
      <c r="J355" s="1" t="s">
        <v>1704</v>
      </c>
      <c r="K355" s="1" t="s">
        <v>22</v>
      </c>
      <c r="L355">
        <v>421</v>
      </c>
      <c r="M355" s="4">
        <v>0.29236111111111113</v>
      </c>
      <c r="N355" s="10">
        <v>29.57</v>
      </c>
      <c r="O355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355" s="10">
        <f>Clients_chun_clean[[#This Row],[Facture_Mensuelle]]*Clients_chun_clean[[#This Row],[Remise]]</f>
        <v>13.3065</v>
      </c>
      <c r="Q355">
        <v>5</v>
      </c>
    </row>
    <row r="356" spans="1:17" x14ac:dyDescent="0.25">
      <c r="A356" s="1" t="s">
        <v>393</v>
      </c>
      <c r="B356" s="1" t="s">
        <v>400</v>
      </c>
      <c r="C356" s="1" t="s">
        <v>40</v>
      </c>
      <c r="D356" s="1" t="str">
        <f>VLOOKUP(Clients_chun_clean[[#This Row],[Province_Client]],Master_Logs_reseau_registre!B356:F1427,2,0)</f>
        <v>ANT-0630</v>
      </c>
      <c r="E356" s="1" t="s">
        <v>1503</v>
      </c>
      <c r="F356" s="1" t="s">
        <v>1507</v>
      </c>
      <c r="G356" s="1" t="s">
        <v>813</v>
      </c>
      <c r="H356">
        <v>19</v>
      </c>
      <c r="I356">
        <v>1</v>
      </c>
      <c r="J356" s="1" t="s">
        <v>1704</v>
      </c>
      <c r="K356" s="1" t="s">
        <v>22</v>
      </c>
      <c r="L356">
        <v>450</v>
      </c>
      <c r="M356" s="4">
        <v>0.3125</v>
      </c>
      <c r="N356" s="10">
        <v>37.43</v>
      </c>
      <c r="O356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356" s="10">
        <f>Clients_chun_clean[[#This Row],[Facture_Mensuelle]]*Clients_chun_clean[[#This Row],[Remise]]</f>
        <v>16.843499999999999</v>
      </c>
      <c r="Q356">
        <v>2</v>
      </c>
    </row>
    <row r="357" spans="1:17" x14ac:dyDescent="0.25">
      <c r="A357" s="1" t="s">
        <v>393</v>
      </c>
      <c r="B357" s="1" t="s">
        <v>401</v>
      </c>
      <c r="C357" s="1" t="s">
        <v>67</v>
      </c>
      <c r="D357" s="1" t="str">
        <f>VLOOKUP(Clients_chun_clean[[#This Row],[Province_Client]],Master_Logs_reseau_registre!B357:F1428,2,0)</f>
        <v>ANT-0032</v>
      </c>
      <c r="E357" s="1" t="s">
        <v>1508</v>
      </c>
      <c r="F357" s="1" t="s">
        <v>1504</v>
      </c>
      <c r="G357" s="1" t="s">
        <v>813</v>
      </c>
      <c r="H357">
        <v>112</v>
      </c>
      <c r="I357">
        <v>9</v>
      </c>
      <c r="J357" s="1" t="s">
        <v>1704</v>
      </c>
      <c r="K357" s="1" t="s">
        <v>22</v>
      </c>
      <c r="L357">
        <v>483</v>
      </c>
      <c r="M357" s="4">
        <v>0.33541666666666664</v>
      </c>
      <c r="N357" s="10">
        <v>93.98</v>
      </c>
      <c r="O357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357" s="10">
        <f>Clients_chun_clean[[#This Row],[Facture_Mensuelle]]*Clients_chun_clean[[#This Row],[Remise]]</f>
        <v>42.291000000000004</v>
      </c>
      <c r="Q357">
        <v>0</v>
      </c>
    </row>
    <row r="358" spans="1:17" x14ac:dyDescent="0.25">
      <c r="A358" s="1" t="s">
        <v>393</v>
      </c>
      <c r="B358" s="1" t="s">
        <v>402</v>
      </c>
      <c r="C358" s="1" t="s">
        <v>13</v>
      </c>
      <c r="D358" s="1" t="str">
        <f>VLOOKUP(Clients_chun_clean[[#This Row],[Province_Client]],Master_Logs_reseau_registre!B358:F1429,2,0)</f>
        <v>ANT-0417</v>
      </c>
      <c r="E358" s="1" t="s">
        <v>1503</v>
      </c>
      <c r="F358" s="1" t="s">
        <v>1507</v>
      </c>
      <c r="G358" s="1" t="s">
        <v>813</v>
      </c>
      <c r="H358">
        <v>103</v>
      </c>
      <c r="I358">
        <v>8</v>
      </c>
      <c r="J358" s="1" t="s">
        <v>1705</v>
      </c>
      <c r="K358" s="1" t="s">
        <v>14</v>
      </c>
      <c r="L358">
        <v>270</v>
      </c>
      <c r="M358" s="4">
        <v>0.1875</v>
      </c>
      <c r="N358" s="10">
        <v>67.87</v>
      </c>
      <c r="O358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358" s="10">
        <f>Clients_chun_clean[[#This Row],[Facture_Mensuelle]]*Clients_chun_clean[[#This Row],[Remise]]</f>
        <v>30.541500000000003</v>
      </c>
      <c r="Q358">
        <v>3</v>
      </c>
    </row>
    <row r="359" spans="1:17" x14ac:dyDescent="0.25">
      <c r="A359" s="1" t="s">
        <v>393</v>
      </c>
      <c r="B359" s="1" t="s">
        <v>403</v>
      </c>
      <c r="C359" s="1" t="s">
        <v>10</v>
      </c>
      <c r="D359" s="1" t="str">
        <f>VLOOKUP(Clients_chun_clean[[#This Row],[Province_Client]],Master_Logs_reseau_registre!B359:F1430,2,0)</f>
        <v>ANT-0821</v>
      </c>
      <c r="E359" s="1" t="s">
        <v>1503</v>
      </c>
      <c r="F359" s="1" t="s">
        <v>1507</v>
      </c>
      <c r="G359" s="1" t="s">
        <v>813</v>
      </c>
      <c r="H359">
        <v>29</v>
      </c>
      <c r="I359">
        <v>2</v>
      </c>
      <c r="J359" s="1" t="s">
        <v>1704</v>
      </c>
      <c r="K359" s="1" t="s">
        <v>11</v>
      </c>
      <c r="L359">
        <v>350</v>
      </c>
      <c r="M359" s="4">
        <v>0.24305555555555555</v>
      </c>
      <c r="N359" s="10">
        <v>84.32</v>
      </c>
      <c r="O359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359" s="10">
        <f>Clients_chun_clean[[#This Row],[Facture_Mensuelle]]*Clients_chun_clean[[#This Row],[Remise]]</f>
        <v>37.943999999999996</v>
      </c>
      <c r="Q359">
        <v>3</v>
      </c>
    </row>
    <row r="360" spans="1:17" x14ac:dyDescent="0.25">
      <c r="A360" s="1" t="s">
        <v>393</v>
      </c>
      <c r="B360" s="1" t="s">
        <v>404</v>
      </c>
      <c r="C360" s="1" t="s">
        <v>37</v>
      </c>
      <c r="D360" s="1" t="str">
        <f>VLOOKUP(Clients_chun_clean[[#This Row],[Province_Client]],Master_Logs_reseau_registre!B360:F1431,2,0)</f>
        <v>ANT-0142</v>
      </c>
      <c r="E360" s="1" t="s">
        <v>1506</v>
      </c>
      <c r="F360" s="1" t="s">
        <v>1509</v>
      </c>
      <c r="G360" s="1" t="s">
        <v>813</v>
      </c>
      <c r="H360">
        <v>36</v>
      </c>
      <c r="I360">
        <v>3</v>
      </c>
      <c r="J360" s="1" t="s">
        <v>1704</v>
      </c>
      <c r="K360" s="1" t="s">
        <v>19</v>
      </c>
      <c r="L360">
        <v>311</v>
      </c>
      <c r="M360" s="4">
        <v>0.21597222222222223</v>
      </c>
      <c r="N360" s="10">
        <v>13.19</v>
      </c>
      <c r="O360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360" s="10">
        <f>Clients_chun_clean[[#This Row],[Facture_Mensuelle]]*Clients_chun_clean[[#This Row],[Remise]]</f>
        <v>5.9355000000000002</v>
      </c>
      <c r="Q360">
        <v>4</v>
      </c>
    </row>
    <row r="361" spans="1:17" x14ac:dyDescent="0.25">
      <c r="A361" s="1" t="s">
        <v>393</v>
      </c>
      <c r="B361" s="1" t="s">
        <v>405</v>
      </c>
      <c r="C361" s="1" t="s">
        <v>44</v>
      </c>
      <c r="D361" s="1" t="str">
        <f>VLOOKUP(Clients_chun_clean[[#This Row],[Province_Client]],Master_Logs_reseau_registre!B361:F1432,2,0)</f>
        <v>ANT-0236</v>
      </c>
      <c r="E361" s="1" t="s">
        <v>1508</v>
      </c>
      <c r="F361" s="1" t="s">
        <v>1504</v>
      </c>
      <c r="G361" s="1" t="s">
        <v>813</v>
      </c>
      <c r="H361">
        <v>2</v>
      </c>
      <c r="I361">
        <v>0</v>
      </c>
      <c r="J361" s="1" t="s">
        <v>1704</v>
      </c>
      <c r="K361" s="1" t="s">
        <v>11</v>
      </c>
      <c r="L361">
        <v>21</v>
      </c>
      <c r="M361" s="4">
        <v>1.4583333333333334E-2</v>
      </c>
      <c r="N361" s="10">
        <v>51.68</v>
      </c>
      <c r="O361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361" s="10">
        <f>Clients_chun_clean[[#This Row],[Facture_Mensuelle]]*Clients_chun_clean[[#This Row],[Remise]]</f>
        <v>23.256</v>
      </c>
      <c r="Q361">
        <v>3</v>
      </c>
    </row>
    <row r="362" spans="1:17" x14ac:dyDescent="0.25">
      <c r="A362" s="1" t="s">
        <v>393</v>
      </c>
      <c r="B362" s="1" t="s">
        <v>406</v>
      </c>
      <c r="C362" s="1" t="s">
        <v>60</v>
      </c>
      <c r="D362" s="1" t="str">
        <f>VLOOKUP(Clients_chun_clean[[#This Row],[Province_Client]],Master_Logs_reseau_registre!B362:F1433,2,0)</f>
        <v>ANT-0870</v>
      </c>
      <c r="E362" s="1" t="s">
        <v>1506</v>
      </c>
      <c r="F362" s="1" t="s">
        <v>1507</v>
      </c>
      <c r="G362" s="1" t="s">
        <v>813</v>
      </c>
      <c r="H362">
        <v>13</v>
      </c>
      <c r="I362">
        <v>1</v>
      </c>
      <c r="J362" s="1" t="s">
        <v>1704</v>
      </c>
      <c r="K362" s="1" t="s">
        <v>22</v>
      </c>
      <c r="L362">
        <v>310</v>
      </c>
      <c r="M362" s="4">
        <v>0.21527777777777779</v>
      </c>
      <c r="N362" s="10">
        <v>65.599999999999994</v>
      </c>
      <c r="O362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362" s="10">
        <f>Clients_chun_clean[[#This Row],[Facture_Mensuelle]]*Clients_chun_clean[[#This Row],[Remise]]</f>
        <v>29.52</v>
      </c>
      <c r="Q362">
        <v>5</v>
      </c>
    </row>
    <row r="363" spans="1:17" x14ac:dyDescent="0.25">
      <c r="A363" s="1" t="s">
        <v>393</v>
      </c>
      <c r="B363" s="1" t="s">
        <v>407</v>
      </c>
      <c r="C363" s="1" t="s">
        <v>33</v>
      </c>
      <c r="D363" s="1" t="str">
        <f>VLOOKUP(Clients_chun_clean[[#This Row],[Province_Client]],Master_Logs_reseau_registre!B363:F1434,2,0)</f>
        <v>ANT-0735</v>
      </c>
      <c r="E363" s="1" t="s">
        <v>1506</v>
      </c>
      <c r="F363" s="1" t="s">
        <v>1504</v>
      </c>
      <c r="G363" s="1" t="s">
        <v>813</v>
      </c>
      <c r="H363">
        <v>49</v>
      </c>
      <c r="I363">
        <v>4</v>
      </c>
      <c r="J363" s="1" t="s">
        <v>1705</v>
      </c>
      <c r="K363" s="1" t="s">
        <v>14</v>
      </c>
      <c r="L363">
        <v>229</v>
      </c>
      <c r="M363" s="4">
        <v>0.15902777777777777</v>
      </c>
      <c r="N363" s="10">
        <v>53.94</v>
      </c>
      <c r="O363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363" s="10">
        <f>Clients_chun_clean[[#This Row],[Facture_Mensuelle]]*Clients_chun_clean[[#This Row],[Remise]]</f>
        <v>5.3940000000000001</v>
      </c>
      <c r="Q363">
        <v>5</v>
      </c>
    </row>
    <row r="364" spans="1:17" x14ac:dyDescent="0.25">
      <c r="A364" s="1" t="s">
        <v>393</v>
      </c>
      <c r="B364" s="1" t="s">
        <v>408</v>
      </c>
      <c r="C364" s="1" t="s">
        <v>40</v>
      </c>
      <c r="D364" s="1" t="str">
        <f>VLOOKUP(Clients_chun_clean[[#This Row],[Province_Client]],Master_Logs_reseau_registre!B364:F1435,2,0)</f>
        <v>ANT-0630</v>
      </c>
      <c r="E364" s="1" t="s">
        <v>1503</v>
      </c>
      <c r="F364" s="1" t="s">
        <v>1504</v>
      </c>
      <c r="G364" s="1" t="s">
        <v>813</v>
      </c>
      <c r="H364">
        <v>29</v>
      </c>
      <c r="I364">
        <v>2</v>
      </c>
      <c r="J364" s="1" t="s">
        <v>1705</v>
      </c>
      <c r="K364" s="1" t="s">
        <v>14</v>
      </c>
      <c r="L364">
        <v>493</v>
      </c>
      <c r="M364" s="4">
        <v>0.34236111111111112</v>
      </c>
      <c r="N364" s="10">
        <v>42.02</v>
      </c>
      <c r="O364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364" s="10">
        <f>Clients_chun_clean[[#This Row],[Facture_Mensuelle]]*Clients_chun_clean[[#This Row],[Remise]]</f>
        <v>18.909000000000002</v>
      </c>
      <c r="Q364">
        <v>1</v>
      </c>
    </row>
    <row r="365" spans="1:17" x14ac:dyDescent="0.25">
      <c r="A365" s="1" t="s">
        <v>393</v>
      </c>
      <c r="B365" s="1" t="s">
        <v>409</v>
      </c>
      <c r="C365" s="1" t="s">
        <v>16</v>
      </c>
      <c r="D365" s="1" t="str">
        <f>VLOOKUP(Clients_chun_clean[[#This Row],[Province_Client]],Master_Logs_reseau_registre!B365:F1436,2,0)</f>
        <v>ANT-0837</v>
      </c>
      <c r="E365" s="1" t="s">
        <v>1503</v>
      </c>
      <c r="F365" s="1" t="s">
        <v>1504</v>
      </c>
      <c r="G365" s="1" t="s">
        <v>808</v>
      </c>
      <c r="H365">
        <v>49</v>
      </c>
      <c r="I365">
        <v>4</v>
      </c>
      <c r="J365" s="1" t="s">
        <v>1704</v>
      </c>
      <c r="K365" s="1" t="s">
        <v>22</v>
      </c>
      <c r="L365">
        <v>86</v>
      </c>
      <c r="M365" s="4">
        <v>5.9722222222222225E-2</v>
      </c>
      <c r="N365" s="10">
        <v>65.400000000000006</v>
      </c>
      <c r="O365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365" s="10">
        <f>Clients_chun_clean[[#This Row],[Facture_Mensuelle]]*Clients_chun_clean[[#This Row],[Remise]]</f>
        <v>0</v>
      </c>
      <c r="Q365">
        <v>2</v>
      </c>
    </row>
    <row r="366" spans="1:17" x14ac:dyDescent="0.25">
      <c r="A366" s="1" t="s">
        <v>393</v>
      </c>
      <c r="B366" s="1" t="s">
        <v>410</v>
      </c>
      <c r="C366" s="1" t="s">
        <v>18</v>
      </c>
      <c r="D366" s="1" t="str">
        <f>VLOOKUP(Clients_chun_clean[[#This Row],[Province_Client]],Master_Logs_reseau_registre!B366:F1437,2,0)</f>
        <v>ANT-0957</v>
      </c>
      <c r="E366" s="1" t="s">
        <v>1506</v>
      </c>
      <c r="F366" s="1" t="s">
        <v>1516</v>
      </c>
      <c r="G366" s="1" t="s">
        <v>808</v>
      </c>
      <c r="H366">
        <v>14</v>
      </c>
      <c r="I366">
        <v>1</v>
      </c>
      <c r="J366" s="1" t="s">
        <v>1705</v>
      </c>
      <c r="K366" s="1" t="s">
        <v>14</v>
      </c>
      <c r="L366">
        <v>345</v>
      </c>
      <c r="M366" s="4">
        <v>0.23958333333333334</v>
      </c>
      <c r="N366" s="10">
        <v>39.57</v>
      </c>
      <c r="O366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366" s="10">
        <f>Clients_chun_clean[[#This Row],[Facture_Mensuelle]]*Clients_chun_clean[[#This Row],[Remise]]</f>
        <v>17.8065</v>
      </c>
      <c r="Q366">
        <v>3</v>
      </c>
    </row>
    <row r="367" spans="1:17" x14ac:dyDescent="0.25">
      <c r="A367" s="1" t="s">
        <v>393</v>
      </c>
      <c r="B367" s="1" t="s">
        <v>411</v>
      </c>
      <c r="C367" s="1" t="s">
        <v>67</v>
      </c>
      <c r="D367" s="1" t="str">
        <f>VLOOKUP(Clients_chun_clean[[#This Row],[Province_Client]],Master_Logs_reseau_registre!B367:F1438,2,0)</f>
        <v>ANT-0032</v>
      </c>
      <c r="E367" s="1" t="s">
        <v>1508</v>
      </c>
      <c r="F367" s="1" t="s">
        <v>1504</v>
      </c>
      <c r="G367" s="1" t="s">
        <v>808</v>
      </c>
      <c r="H367">
        <v>101</v>
      </c>
      <c r="I367">
        <v>8</v>
      </c>
      <c r="J367" s="1" t="s">
        <v>1704</v>
      </c>
      <c r="K367" s="1" t="s">
        <v>11</v>
      </c>
      <c r="L367">
        <v>476</v>
      </c>
      <c r="M367" s="4">
        <v>0.33055555555555555</v>
      </c>
      <c r="N367" s="10">
        <v>41.85</v>
      </c>
      <c r="O367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367" s="10">
        <f>Clients_chun_clean[[#This Row],[Facture_Mensuelle]]*Clients_chun_clean[[#This Row],[Remise]]</f>
        <v>18.8325</v>
      </c>
      <c r="Q367">
        <v>4</v>
      </c>
    </row>
    <row r="368" spans="1:17" x14ac:dyDescent="0.25">
      <c r="A368" s="1" t="s">
        <v>393</v>
      </c>
      <c r="B368" s="1" t="s">
        <v>412</v>
      </c>
      <c r="C368" s="1" t="s">
        <v>16</v>
      </c>
      <c r="D368" s="1" t="str">
        <f>VLOOKUP(Clients_chun_clean[[#This Row],[Province_Client]],Master_Logs_reseau_registre!B368:F1439,2,0)</f>
        <v>ANT-0837</v>
      </c>
      <c r="E368" s="1" t="s">
        <v>1503</v>
      </c>
      <c r="F368" s="1" t="s">
        <v>1504</v>
      </c>
      <c r="G368" s="1" t="s">
        <v>808</v>
      </c>
      <c r="H368">
        <v>119</v>
      </c>
      <c r="I368">
        <v>9</v>
      </c>
      <c r="J368" s="1" t="s">
        <v>1705</v>
      </c>
      <c r="K368" s="1" t="s">
        <v>14</v>
      </c>
      <c r="L368">
        <v>451</v>
      </c>
      <c r="M368" s="4">
        <v>0.31319444444444444</v>
      </c>
      <c r="N368" s="10">
        <v>10.46</v>
      </c>
      <c r="O368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368" s="10">
        <f>Clients_chun_clean[[#This Row],[Facture_Mensuelle]]*Clients_chun_clean[[#This Row],[Remise]]</f>
        <v>4.7070000000000007</v>
      </c>
      <c r="Q368">
        <v>5</v>
      </c>
    </row>
    <row r="369" spans="1:17" x14ac:dyDescent="0.25">
      <c r="A369" s="1" t="s">
        <v>393</v>
      </c>
      <c r="B369" s="1" t="s">
        <v>413</v>
      </c>
      <c r="C369" s="1" t="s">
        <v>37</v>
      </c>
      <c r="D369" s="1" t="str">
        <f>VLOOKUP(Clients_chun_clean[[#This Row],[Province_Client]],Master_Logs_reseau_registre!B369:F1440,2,0)</f>
        <v>ANT-0142</v>
      </c>
      <c r="E369" s="1" t="s">
        <v>1506</v>
      </c>
      <c r="F369" s="1" t="s">
        <v>1509</v>
      </c>
      <c r="G369" s="1" t="s">
        <v>808</v>
      </c>
      <c r="H369">
        <v>16</v>
      </c>
      <c r="I369">
        <v>1</v>
      </c>
      <c r="J369" s="1" t="s">
        <v>1704</v>
      </c>
      <c r="K369" s="1" t="s">
        <v>11</v>
      </c>
      <c r="L369">
        <v>391</v>
      </c>
      <c r="M369" s="4">
        <v>0.27152777777777776</v>
      </c>
      <c r="N369" s="10">
        <v>90.12</v>
      </c>
      <c r="O369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369" s="10">
        <f>Clients_chun_clean[[#This Row],[Facture_Mensuelle]]*Clients_chun_clean[[#This Row],[Remise]]</f>
        <v>40.554000000000002</v>
      </c>
      <c r="Q369">
        <v>5</v>
      </c>
    </row>
    <row r="370" spans="1:17" x14ac:dyDescent="0.25">
      <c r="A370" s="1" t="s">
        <v>393</v>
      </c>
      <c r="B370" s="1" t="s">
        <v>414</v>
      </c>
      <c r="C370" s="1" t="s">
        <v>16</v>
      </c>
      <c r="D370" s="1" t="str">
        <f>VLOOKUP(Clients_chun_clean[[#This Row],[Province_Client]],Master_Logs_reseau_registre!B370:F1441,2,0)</f>
        <v>ANT-0054</v>
      </c>
      <c r="E370" s="1" t="s">
        <v>1508</v>
      </c>
      <c r="F370" s="1" t="s">
        <v>1504</v>
      </c>
      <c r="G370" s="1" t="s">
        <v>811</v>
      </c>
      <c r="H370">
        <v>23</v>
      </c>
      <c r="I370">
        <v>1</v>
      </c>
      <c r="J370" s="1" t="s">
        <v>1704</v>
      </c>
      <c r="K370" s="1" t="s">
        <v>11</v>
      </c>
      <c r="L370">
        <v>268</v>
      </c>
      <c r="M370" s="4">
        <v>0.18611111111111112</v>
      </c>
      <c r="N370" s="10">
        <v>26.75</v>
      </c>
      <c r="O370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370" s="10">
        <f>Clients_chun_clean[[#This Row],[Facture_Mensuelle]]*Clients_chun_clean[[#This Row],[Remise]]</f>
        <v>12.0375</v>
      </c>
      <c r="Q370">
        <v>3</v>
      </c>
    </row>
    <row r="371" spans="1:17" x14ac:dyDescent="0.25">
      <c r="A371" s="1" t="s">
        <v>393</v>
      </c>
      <c r="B371" s="1" t="s">
        <v>415</v>
      </c>
      <c r="C371" s="1" t="s">
        <v>33</v>
      </c>
      <c r="D371" s="1" t="str">
        <f>VLOOKUP(Clients_chun_clean[[#This Row],[Province_Client]],Master_Logs_reseau_registre!B371:F1442,2,0)</f>
        <v>ANT-0735</v>
      </c>
      <c r="E371" s="1" t="s">
        <v>1506</v>
      </c>
      <c r="F371" s="1" t="s">
        <v>1516</v>
      </c>
      <c r="G371" s="1" t="s">
        <v>813</v>
      </c>
      <c r="H371">
        <v>68</v>
      </c>
      <c r="I371">
        <v>5</v>
      </c>
      <c r="J371" s="1" t="s">
        <v>1705</v>
      </c>
      <c r="K371" s="1" t="s">
        <v>14</v>
      </c>
      <c r="L371">
        <v>462</v>
      </c>
      <c r="M371" s="4">
        <v>0.32083333333333336</v>
      </c>
      <c r="N371" s="10">
        <v>41.91</v>
      </c>
      <c r="O371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371" s="10">
        <f>Clients_chun_clean[[#This Row],[Facture_Mensuelle]]*Clients_chun_clean[[#This Row],[Remise]]</f>
        <v>18.859500000000001</v>
      </c>
      <c r="Q371">
        <v>1</v>
      </c>
    </row>
    <row r="372" spans="1:17" x14ac:dyDescent="0.25">
      <c r="A372" s="1" t="s">
        <v>393</v>
      </c>
      <c r="B372" s="1" t="s">
        <v>416</v>
      </c>
      <c r="C372" s="1" t="s">
        <v>37</v>
      </c>
      <c r="D372" s="1" t="str">
        <f>VLOOKUP(Clients_chun_clean[[#This Row],[Province_Client]],Master_Logs_reseau_registre!B372:F1443,2,0)</f>
        <v>ANT-0142</v>
      </c>
      <c r="E372" s="1" t="s">
        <v>1506</v>
      </c>
      <c r="F372" s="1" t="s">
        <v>1516</v>
      </c>
      <c r="G372" s="1" t="s">
        <v>813</v>
      </c>
      <c r="H372">
        <v>94</v>
      </c>
      <c r="I372">
        <v>7</v>
      </c>
      <c r="J372" s="1" t="s">
        <v>1704</v>
      </c>
      <c r="K372" s="1" t="s">
        <v>22</v>
      </c>
      <c r="L372">
        <v>115</v>
      </c>
      <c r="M372" s="4">
        <v>7.9861111111111105E-2</v>
      </c>
      <c r="N372" s="10">
        <v>19.12</v>
      </c>
      <c r="O372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372" s="10">
        <f>Clients_chun_clean[[#This Row],[Facture_Mensuelle]]*Clients_chun_clean[[#This Row],[Remise]]</f>
        <v>0</v>
      </c>
      <c r="Q372">
        <v>0</v>
      </c>
    </row>
    <row r="373" spans="1:17" x14ac:dyDescent="0.25">
      <c r="A373" s="1" t="s">
        <v>393</v>
      </c>
      <c r="B373" s="1" t="s">
        <v>417</v>
      </c>
      <c r="C373" s="1" t="s">
        <v>21</v>
      </c>
      <c r="D373" s="1" t="str">
        <f>VLOOKUP(Clients_chun_clean[[#This Row],[Province_Client]],Master_Logs_reseau_registre!B373:F1444,2,0)</f>
        <v>ANT-0257</v>
      </c>
      <c r="E373" s="1" t="s">
        <v>1508</v>
      </c>
      <c r="F373" s="1" t="s">
        <v>1516</v>
      </c>
      <c r="G373" s="1" t="s">
        <v>813</v>
      </c>
      <c r="H373">
        <v>113</v>
      </c>
      <c r="I373">
        <v>9</v>
      </c>
      <c r="J373" s="1" t="s">
        <v>1704</v>
      </c>
      <c r="K373" s="1" t="s">
        <v>11</v>
      </c>
      <c r="L373">
        <v>89</v>
      </c>
      <c r="M373" s="4">
        <v>6.1805555555555558E-2</v>
      </c>
      <c r="N373" s="10">
        <v>54.28</v>
      </c>
      <c r="O373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373" s="10">
        <f>Clients_chun_clean[[#This Row],[Facture_Mensuelle]]*Clients_chun_clean[[#This Row],[Remise]]</f>
        <v>0</v>
      </c>
      <c r="Q373">
        <v>0</v>
      </c>
    </row>
    <row r="374" spans="1:17" x14ac:dyDescent="0.25">
      <c r="A374" s="1" t="s">
        <v>393</v>
      </c>
      <c r="B374" s="1" t="s">
        <v>418</v>
      </c>
      <c r="C374" s="1" t="s">
        <v>89</v>
      </c>
      <c r="D374" s="1" t="str">
        <f>VLOOKUP(Clients_chun_clean[[#This Row],[Province_Client]],Master_Logs_reseau_registre!B374:F1445,2,0)</f>
        <v>ANT-0662</v>
      </c>
      <c r="E374" s="1" t="s">
        <v>1506</v>
      </c>
      <c r="F374" s="1" t="s">
        <v>1516</v>
      </c>
      <c r="G374" s="1" t="s">
        <v>808</v>
      </c>
      <c r="H374">
        <v>40</v>
      </c>
      <c r="I374">
        <v>3</v>
      </c>
      <c r="J374" s="1" t="s">
        <v>1704</v>
      </c>
      <c r="K374" s="1" t="s">
        <v>19</v>
      </c>
      <c r="L374">
        <v>38</v>
      </c>
      <c r="M374" s="4">
        <v>2.6388888888888889E-2</v>
      </c>
      <c r="N374" s="10">
        <v>17.63</v>
      </c>
      <c r="O374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374" s="10">
        <f>Clients_chun_clean[[#This Row],[Facture_Mensuelle]]*Clients_chun_clean[[#This Row],[Remise]]</f>
        <v>0</v>
      </c>
      <c r="Q374">
        <v>0</v>
      </c>
    </row>
    <row r="375" spans="1:17" x14ac:dyDescent="0.25">
      <c r="A375" s="1" t="s">
        <v>393</v>
      </c>
      <c r="B375" s="1" t="s">
        <v>419</v>
      </c>
      <c r="C375" s="1" t="s">
        <v>13</v>
      </c>
      <c r="D375" s="1" t="str">
        <f>VLOOKUP(Clients_chun_clean[[#This Row],[Province_Client]],Master_Logs_reseau_registre!B375:F1446,2,0)</f>
        <v>ANT-0417</v>
      </c>
      <c r="E375" s="1" t="s">
        <v>1503</v>
      </c>
      <c r="F375" s="1" t="s">
        <v>1504</v>
      </c>
      <c r="G375" s="1" t="s">
        <v>808</v>
      </c>
      <c r="H375">
        <v>76</v>
      </c>
      <c r="I375">
        <v>6</v>
      </c>
      <c r="J375" s="1" t="s">
        <v>1704</v>
      </c>
      <c r="K375" s="1" t="s">
        <v>11</v>
      </c>
      <c r="L375">
        <v>187</v>
      </c>
      <c r="M375" s="4">
        <v>0.12986111111111112</v>
      </c>
      <c r="N375" s="10">
        <v>56.29</v>
      </c>
      <c r="O375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375" s="10">
        <f>Clients_chun_clean[[#This Row],[Facture_Mensuelle]]*Clients_chun_clean[[#This Row],[Remise]]</f>
        <v>0</v>
      </c>
      <c r="Q375">
        <v>1</v>
      </c>
    </row>
    <row r="376" spans="1:17" x14ac:dyDescent="0.25">
      <c r="A376" s="1" t="s">
        <v>393</v>
      </c>
      <c r="B376" s="1" t="s">
        <v>420</v>
      </c>
      <c r="C376" s="1" t="s">
        <v>16</v>
      </c>
      <c r="D376" s="1" t="str">
        <f>VLOOKUP(Clients_chun_clean[[#This Row],[Province_Client]],Master_Logs_reseau_registre!B376:F1447,2,0)</f>
        <v>ANT-0054</v>
      </c>
      <c r="E376" s="1" t="s">
        <v>1508</v>
      </c>
      <c r="F376" s="1" t="s">
        <v>1504</v>
      </c>
      <c r="G376" s="1" t="s">
        <v>808</v>
      </c>
      <c r="H376">
        <v>106</v>
      </c>
      <c r="I376">
        <v>8</v>
      </c>
      <c r="J376" s="1" t="s">
        <v>1705</v>
      </c>
      <c r="K376" s="1" t="s">
        <v>14</v>
      </c>
      <c r="L376">
        <v>429</v>
      </c>
      <c r="M376" s="4">
        <v>0.29791666666666666</v>
      </c>
      <c r="N376" s="10">
        <v>23.83</v>
      </c>
      <c r="O376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376" s="10">
        <f>Clients_chun_clean[[#This Row],[Facture_Mensuelle]]*Clients_chun_clean[[#This Row],[Remise]]</f>
        <v>10.7235</v>
      </c>
      <c r="Q376">
        <v>1</v>
      </c>
    </row>
    <row r="377" spans="1:17" x14ac:dyDescent="0.25">
      <c r="A377" s="1" t="s">
        <v>393</v>
      </c>
      <c r="B377" s="1" t="s">
        <v>421</v>
      </c>
      <c r="C377" s="1" t="s">
        <v>73</v>
      </c>
      <c r="D377" s="1" t="str">
        <f>VLOOKUP(Clients_chun_clean[[#This Row],[Province_Client]],Master_Logs_reseau_registre!B377:F1448,2,0)</f>
        <v>ANT-0526</v>
      </c>
      <c r="E377" s="1" t="s">
        <v>1506</v>
      </c>
      <c r="F377" s="1" t="s">
        <v>1516</v>
      </c>
      <c r="G377" s="1" t="s">
        <v>813</v>
      </c>
      <c r="H377">
        <v>104</v>
      </c>
      <c r="I377">
        <v>8</v>
      </c>
      <c r="J377" s="1" t="s">
        <v>1704</v>
      </c>
      <c r="K377" s="1" t="s">
        <v>11</v>
      </c>
      <c r="L377">
        <v>68</v>
      </c>
      <c r="M377" s="4">
        <v>4.7222222222222221E-2</v>
      </c>
      <c r="N377" s="10">
        <v>21.15</v>
      </c>
      <c r="O377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377" s="10">
        <f>Clients_chun_clean[[#This Row],[Facture_Mensuelle]]*Clients_chun_clean[[#This Row],[Remise]]</f>
        <v>0</v>
      </c>
      <c r="Q377">
        <v>2</v>
      </c>
    </row>
    <row r="378" spans="1:17" x14ac:dyDescent="0.25">
      <c r="A378" s="1" t="s">
        <v>393</v>
      </c>
      <c r="B378" s="1" t="s">
        <v>422</v>
      </c>
      <c r="C378" s="1" t="s">
        <v>31</v>
      </c>
      <c r="D378" s="1" t="str">
        <f>VLOOKUP(Clients_chun_clean[[#This Row],[Province_Client]],Master_Logs_reseau_registre!B378:F1449,2,0)</f>
        <v>ANT-0416</v>
      </c>
      <c r="E378" s="1" t="s">
        <v>1508</v>
      </c>
      <c r="F378" s="1" t="s">
        <v>1504</v>
      </c>
      <c r="G378" s="1" t="s">
        <v>808</v>
      </c>
      <c r="H378">
        <v>63</v>
      </c>
      <c r="I378">
        <v>5</v>
      </c>
      <c r="J378" s="1" t="s">
        <v>1704</v>
      </c>
      <c r="K378" s="1" t="s">
        <v>19</v>
      </c>
      <c r="L378">
        <v>263</v>
      </c>
      <c r="M378" s="4">
        <v>0.18263888888888888</v>
      </c>
      <c r="N378" s="10">
        <v>53.87</v>
      </c>
      <c r="O378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378" s="10">
        <f>Clients_chun_clean[[#This Row],[Facture_Mensuelle]]*Clients_chun_clean[[#This Row],[Remise]]</f>
        <v>24.241499999999998</v>
      </c>
      <c r="Q378">
        <v>4</v>
      </c>
    </row>
    <row r="379" spans="1:17" x14ac:dyDescent="0.25">
      <c r="A379" s="1" t="s">
        <v>393</v>
      </c>
      <c r="B379" s="1" t="s">
        <v>423</v>
      </c>
      <c r="C379" s="1" t="s">
        <v>29</v>
      </c>
      <c r="D379" s="1" t="str">
        <f>VLOOKUP(Clients_chun_clean[[#This Row],[Province_Client]],Master_Logs_reseau_registre!B379:F1450,2,0)</f>
        <v>ANT-0811</v>
      </c>
      <c r="E379" s="1" t="s">
        <v>1503</v>
      </c>
      <c r="F379" s="1" t="s">
        <v>1504</v>
      </c>
      <c r="G379" s="1" t="s">
        <v>808</v>
      </c>
      <c r="H379">
        <v>13</v>
      </c>
      <c r="I379">
        <v>1</v>
      </c>
      <c r="J379" s="1" t="s">
        <v>1704</v>
      </c>
      <c r="K379" s="1" t="s">
        <v>19</v>
      </c>
      <c r="L379">
        <v>180</v>
      </c>
      <c r="M379" s="4">
        <v>0.125</v>
      </c>
      <c r="N379" s="10">
        <v>24.01</v>
      </c>
      <c r="O379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379" s="10">
        <f>Clients_chun_clean[[#This Row],[Facture_Mensuelle]]*Clients_chun_clean[[#This Row],[Remise]]</f>
        <v>0</v>
      </c>
      <c r="Q379">
        <v>0</v>
      </c>
    </row>
    <row r="380" spans="1:17" x14ac:dyDescent="0.25">
      <c r="A380" s="1" t="s">
        <v>393</v>
      </c>
      <c r="B380" s="1" t="s">
        <v>424</v>
      </c>
      <c r="C380" s="1" t="s">
        <v>10</v>
      </c>
      <c r="D380" s="1" t="str">
        <f>VLOOKUP(Clients_chun_clean[[#This Row],[Province_Client]],Master_Logs_reseau_registre!B380:F1451,2,0)</f>
        <v>ANT-0934</v>
      </c>
      <c r="E380" s="1" t="s">
        <v>1503</v>
      </c>
      <c r="F380" s="1" t="s">
        <v>1504</v>
      </c>
      <c r="G380" s="1" t="s">
        <v>808</v>
      </c>
      <c r="H380">
        <v>68</v>
      </c>
      <c r="I380">
        <v>5</v>
      </c>
      <c r="J380" s="1" t="s">
        <v>1704</v>
      </c>
      <c r="K380" s="1" t="s">
        <v>19</v>
      </c>
      <c r="L380">
        <v>487</v>
      </c>
      <c r="M380" s="4">
        <v>0.33819444444444446</v>
      </c>
      <c r="N380" s="10">
        <v>69.099999999999994</v>
      </c>
      <c r="O380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380" s="10">
        <f>Clients_chun_clean[[#This Row],[Facture_Mensuelle]]*Clients_chun_clean[[#This Row],[Remise]]</f>
        <v>31.094999999999999</v>
      </c>
      <c r="Q380">
        <v>5</v>
      </c>
    </row>
    <row r="381" spans="1:17" x14ac:dyDescent="0.25">
      <c r="A381" s="1" t="s">
        <v>393</v>
      </c>
      <c r="B381" s="1" t="s">
        <v>425</v>
      </c>
      <c r="C381" s="1" t="s">
        <v>44</v>
      </c>
      <c r="D381" s="1" t="str">
        <f>VLOOKUP(Clients_chun_clean[[#This Row],[Province_Client]],Master_Logs_reseau_registre!B381:F1452,2,0)</f>
        <v>ANT-0236</v>
      </c>
      <c r="E381" s="1" t="s">
        <v>1508</v>
      </c>
      <c r="F381" s="1" t="s">
        <v>1504</v>
      </c>
      <c r="G381" s="1" t="s">
        <v>808</v>
      </c>
      <c r="H381">
        <v>45</v>
      </c>
      <c r="I381">
        <v>3</v>
      </c>
      <c r="J381" s="1" t="s">
        <v>1704</v>
      </c>
      <c r="K381" s="1" t="s">
        <v>22</v>
      </c>
      <c r="L381">
        <v>26</v>
      </c>
      <c r="M381" s="4">
        <v>1.8055555555555554E-2</v>
      </c>
      <c r="N381" s="10">
        <v>30.35</v>
      </c>
      <c r="O381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381" s="10">
        <f>Clients_chun_clean[[#This Row],[Facture_Mensuelle]]*Clients_chun_clean[[#This Row],[Remise]]</f>
        <v>0</v>
      </c>
      <c r="Q381">
        <v>1</v>
      </c>
    </row>
    <row r="382" spans="1:17" x14ac:dyDescent="0.25">
      <c r="A382" s="1" t="s">
        <v>393</v>
      </c>
      <c r="B382" s="1" t="s">
        <v>426</v>
      </c>
      <c r="C382" s="1" t="s">
        <v>78</v>
      </c>
      <c r="D382" s="1" t="str">
        <f>VLOOKUP(Clients_chun_clean[[#This Row],[Province_Client]],Master_Logs_reseau_registre!B382:F1453,2,0)</f>
        <v>ANT-0986</v>
      </c>
      <c r="E382" s="1" t="s">
        <v>1506</v>
      </c>
      <c r="F382" s="1" t="s">
        <v>1516</v>
      </c>
      <c r="G382" s="1" t="s">
        <v>813</v>
      </c>
      <c r="H382">
        <v>90</v>
      </c>
      <c r="I382">
        <v>7</v>
      </c>
      <c r="J382" s="1" t="s">
        <v>1704</v>
      </c>
      <c r="K382" s="1" t="s">
        <v>19</v>
      </c>
      <c r="L382">
        <v>216</v>
      </c>
      <c r="M382" s="4">
        <v>0.15</v>
      </c>
      <c r="N382" s="10">
        <v>45.58</v>
      </c>
      <c r="O382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382" s="10">
        <f>Clients_chun_clean[[#This Row],[Facture_Mensuelle]]*Clients_chun_clean[[#This Row],[Remise]]</f>
        <v>0</v>
      </c>
      <c r="Q382">
        <v>0</v>
      </c>
    </row>
    <row r="383" spans="1:17" x14ac:dyDescent="0.25">
      <c r="A383" s="1" t="s">
        <v>393</v>
      </c>
      <c r="B383" s="1" t="s">
        <v>427</v>
      </c>
      <c r="C383" s="1" t="s">
        <v>24</v>
      </c>
      <c r="D383" s="1" t="str">
        <f>VLOOKUP(Clients_chun_clean[[#This Row],[Province_Client]],Master_Logs_reseau_registre!B383:F1454,2,0)</f>
        <v>ANT-0790</v>
      </c>
      <c r="E383" s="1" t="s">
        <v>1503</v>
      </c>
      <c r="F383" s="1" t="s">
        <v>1504</v>
      </c>
      <c r="G383" s="1" t="s">
        <v>808</v>
      </c>
      <c r="H383">
        <v>74</v>
      </c>
      <c r="I383">
        <v>6</v>
      </c>
      <c r="J383" s="1" t="s">
        <v>1704</v>
      </c>
      <c r="K383" s="1" t="s">
        <v>22</v>
      </c>
      <c r="L383">
        <v>253</v>
      </c>
      <c r="M383" s="4">
        <v>0.17569444444444443</v>
      </c>
      <c r="N383" s="10">
        <v>36.94</v>
      </c>
      <c r="O383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383" s="10">
        <f>Clients_chun_clean[[#This Row],[Facture_Mensuelle]]*Clients_chun_clean[[#This Row],[Remise]]</f>
        <v>16.623000000000001</v>
      </c>
      <c r="Q383">
        <v>5</v>
      </c>
    </row>
    <row r="384" spans="1:17" x14ac:dyDescent="0.25">
      <c r="A384" s="1" t="s">
        <v>393</v>
      </c>
      <c r="B384" s="1" t="s">
        <v>428</v>
      </c>
      <c r="C384" s="1" t="s">
        <v>10</v>
      </c>
      <c r="D384" s="1" t="str">
        <f>VLOOKUP(Clients_chun_clean[[#This Row],[Province_Client]],Master_Logs_reseau_registre!B384:F1455,2,0)</f>
        <v>ANT-0934</v>
      </c>
      <c r="E384" s="1" t="s">
        <v>1503</v>
      </c>
      <c r="F384" s="1" t="s">
        <v>1504</v>
      </c>
      <c r="G384" s="1" t="s">
        <v>808</v>
      </c>
      <c r="H384">
        <v>111</v>
      </c>
      <c r="I384">
        <v>9</v>
      </c>
      <c r="J384" s="1" t="s">
        <v>1704</v>
      </c>
      <c r="K384" s="1" t="s">
        <v>19</v>
      </c>
      <c r="L384">
        <v>194</v>
      </c>
      <c r="M384" s="4">
        <v>0.13472222222222222</v>
      </c>
      <c r="N384" s="10">
        <v>48.55</v>
      </c>
      <c r="O384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384" s="10">
        <f>Clients_chun_clean[[#This Row],[Facture_Mensuelle]]*Clients_chun_clean[[#This Row],[Remise]]</f>
        <v>0</v>
      </c>
      <c r="Q384">
        <v>2</v>
      </c>
    </row>
    <row r="385" spans="1:17" x14ac:dyDescent="0.25">
      <c r="A385" s="1" t="s">
        <v>393</v>
      </c>
      <c r="B385" s="1" t="s">
        <v>429</v>
      </c>
      <c r="C385" s="1" t="s">
        <v>131</v>
      </c>
      <c r="D385" s="1" t="str">
        <f>VLOOKUP(Clients_chun_clean[[#This Row],[Province_Client]],Master_Logs_reseau_registre!B385:F1456,2,0)</f>
        <v>ANT-0044</v>
      </c>
      <c r="E385" s="1" t="s">
        <v>1508</v>
      </c>
      <c r="F385" s="1" t="s">
        <v>1504</v>
      </c>
      <c r="G385" s="1" t="s">
        <v>808</v>
      </c>
      <c r="H385">
        <v>37</v>
      </c>
      <c r="I385">
        <v>3</v>
      </c>
      <c r="J385" s="1" t="s">
        <v>1704</v>
      </c>
      <c r="K385" s="1" t="s">
        <v>19</v>
      </c>
      <c r="L385">
        <v>87</v>
      </c>
      <c r="M385" s="4">
        <v>6.0416666666666667E-2</v>
      </c>
      <c r="N385" s="10">
        <v>26.4</v>
      </c>
      <c r="O385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385" s="10">
        <f>Clients_chun_clean[[#This Row],[Facture_Mensuelle]]*Clients_chun_clean[[#This Row],[Remise]]</f>
        <v>0</v>
      </c>
      <c r="Q385">
        <v>3</v>
      </c>
    </row>
    <row r="386" spans="1:17" x14ac:dyDescent="0.25">
      <c r="A386" s="1" t="s">
        <v>393</v>
      </c>
      <c r="B386" s="1" t="s">
        <v>430</v>
      </c>
      <c r="C386" s="1" t="s">
        <v>64</v>
      </c>
      <c r="D386" s="1" t="str">
        <f>VLOOKUP(Clients_chun_clean[[#This Row],[Province_Client]],Master_Logs_reseau_registre!B386:F1457,2,0)</f>
        <v>ANT-0362</v>
      </c>
      <c r="E386" s="1" t="s">
        <v>1508</v>
      </c>
      <c r="F386" s="1" t="s">
        <v>1504</v>
      </c>
      <c r="G386" s="1" t="s">
        <v>808</v>
      </c>
      <c r="H386">
        <v>71</v>
      </c>
      <c r="I386">
        <v>5</v>
      </c>
      <c r="J386" s="1" t="s">
        <v>1704</v>
      </c>
      <c r="K386" s="1" t="s">
        <v>11</v>
      </c>
      <c r="L386">
        <v>191</v>
      </c>
      <c r="M386" s="4">
        <v>0.13263888888888889</v>
      </c>
      <c r="N386" s="10">
        <v>83.04</v>
      </c>
      <c r="O386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386" s="10">
        <f>Clients_chun_clean[[#This Row],[Facture_Mensuelle]]*Clients_chun_clean[[#This Row],[Remise]]</f>
        <v>0</v>
      </c>
      <c r="Q386">
        <v>4</v>
      </c>
    </row>
    <row r="387" spans="1:17" x14ac:dyDescent="0.25">
      <c r="A387" s="1" t="s">
        <v>393</v>
      </c>
      <c r="B387" s="1" t="s">
        <v>431</v>
      </c>
      <c r="C387" s="1" t="s">
        <v>31</v>
      </c>
      <c r="D387" s="1" t="str">
        <f>VLOOKUP(Clients_chun_clean[[#This Row],[Province_Client]],Master_Logs_reseau_registre!B387:F1458,2,0)</f>
        <v>ANT-0416</v>
      </c>
      <c r="E387" s="1" t="s">
        <v>1508</v>
      </c>
      <c r="F387" s="1" t="s">
        <v>1504</v>
      </c>
      <c r="G387" s="1" t="s">
        <v>808</v>
      </c>
      <c r="H387">
        <v>35</v>
      </c>
      <c r="I387">
        <v>2</v>
      </c>
      <c r="J387" s="1" t="s">
        <v>1705</v>
      </c>
      <c r="K387" s="1" t="s">
        <v>14</v>
      </c>
      <c r="L387">
        <v>496</v>
      </c>
      <c r="M387" s="4">
        <v>0.34444444444444444</v>
      </c>
      <c r="N387" s="10">
        <v>19.78</v>
      </c>
      <c r="O387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387" s="10">
        <f>Clients_chun_clean[[#This Row],[Facture_Mensuelle]]*Clients_chun_clean[[#This Row],[Remise]]</f>
        <v>8.9010000000000016</v>
      </c>
      <c r="Q387">
        <v>5</v>
      </c>
    </row>
    <row r="388" spans="1:17" x14ac:dyDescent="0.25">
      <c r="A388" s="1" t="s">
        <v>393</v>
      </c>
      <c r="B388" s="1" t="s">
        <v>432</v>
      </c>
      <c r="C388" s="1" t="s">
        <v>57</v>
      </c>
      <c r="D388" s="1" t="str">
        <f>VLOOKUP(Clients_chun_clean[[#This Row],[Province_Client]],Master_Logs_reseau_registre!B388:F1459,2,0)</f>
        <v>ANT-0298</v>
      </c>
      <c r="E388" s="1" t="s">
        <v>1508</v>
      </c>
      <c r="F388" s="1" t="s">
        <v>1504</v>
      </c>
      <c r="G388" s="1" t="s">
        <v>808</v>
      </c>
      <c r="H388">
        <v>78</v>
      </c>
      <c r="I388">
        <v>6</v>
      </c>
      <c r="J388" s="1" t="s">
        <v>1704</v>
      </c>
      <c r="K388" s="1" t="s">
        <v>19</v>
      </c>
      <c r="L388">
        <v>57</v>
      </c>
      <c r="M388" s="4">
        <v>3.9583333333333331E-2</v>
      </c>
      <c r="N388" s="10">
        <v>49.47</v>
      </c>
      <c r="O388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388" s="10">
        <f>Clients_chun_clean[[#This Row],[Facture_Mensuelle]]*Clients_chun_clean[[#This Row],[Remise]]</f>
        <v>0</v>
      </c>
      <c r="Q388">
        <v>0</v>
      </c>
    </row>
    <row r="389" spans="1:17" x14ac:dyDescent="0.25">
      <c r="A389" s="1" t="s">
        <v>393</v>
      </c>
      <c r="B389" s="1" t="s">
        <v>433</v>
      </c>
      <c r="C389" s="1" t="s">
        <v>40</v>
      </c>
      <c r="D389" s="1" t="str">
        <f>VLOOKUP(Clients_chun_clean[[#This Row],[Province_Client]],Master_Logs_reseau_registre!B389:F1460,2,0)</f>
        <v>ANT-0630</v>
      </c>
      <c r="E389" s="1" t="s">
        <v>1503</v>
      </c>
      <c r="F389" s="1" t="s">
        <v>1504</v>
      </c>
      <c r="G389" s="1" t="s">
        <v>808</v>
      </c>
      <c r="H389">
        <v>13</v>
      </c>
      <c r="I389">
        <v>1</v>
      </c>
      <c r="J389" s="1" t="s">
        <v>1705</v>
      </c>
      <c r="K389" s="1" t="s">
        <v>14</v>
      </c>
      <c r="L389">
        <v>173</v>
      </c>
      <c r="M389" s="4">
        <v>0.12013888888888889</v>
      </c>
      <c r="N389" s="10">
        <v>85.54</v>
      </c>
      <c r="O389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389" s="10">
        <f>Clients_chun_clean[[#This Row],[Facture_Mensuelle]]*Clients_chun_clean[[#This Row],[Remise]]</f>
        <v>8.5540000000000003</v>
      </c>
      <c r="Q389">
        <v>3</v>
      </c>
    </row>
    <row r="390" spans="1:17" x14ac:dyDescent="0.25">
      <c r="A390" s="1" t="s">
        <v>393</v>
      </c>
      <c r="B390" s="1" t="s">
        <v>434</v>
      </c>
      <c r="C390" s="1" t="s">
        <v>67</v>
      </c>
      <c r="D390" s="1" t="str">
        <f>VLOOKUP(Clients_chun_clean[[#This Row],[Province_Client]],Master_Logs_reseau_registre!B390:F1461,2,0)</f>
        <v>ANT-0032</v>
      </c>
      <c r="E390" s="1" t="s">
        <v>1508</v>
      </c>
      <c r="F390" s="1" t="s">
        <v>1504</v>
      </c>
      <c r="G390" s="1" t="s">
        <v>808</v>
      </c>
      <c r="H390">
        <v>115</v>
      </c>
      <c r="I390">
        <v>9</v>
      </c>
      <c r="J390" s="1" t="s">
        <v>1704</v>
      </c>
      <c r="K390" s="1" t="s">
        <v>22</v>
      </c>
      <c r="L390">
        <v>467</v>
      </c>
      <c r="M390" s="4">
        <v>0.32430555555555557</v>
      </c>
      <c r="N390" s="10">
        <v>24.57</v>
      </c>
      <c r="O390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390" s="10">
        <f>Clients_chun_clean[[#This Row],[Facture_Mensuelle]]*Clients_chun_clean[[#This Row],[Remise]]</f>
        <v>11.0565</v>
      </c>
      <c r="Q390">
        <v>3</v>
      </c>
    </row>
    <row r="391" spans="1:17" x14ac:dyDescent="0.25">
      <c r="A391" s="1" t="s">
        <v>393</v>
      </c>
      <c r="B391" s="1" t="s">
        <v>435</v>
      </c>
      <c r="C391" s="1" t="s">
        <v>51</v>
      </c>
      <c r="D391" s="1" t="str">
        <f>VLOOKUP(Clients_chun_clean[[#This Row],[Province_Client]],Master_Logs_reseau_registre!B391:F1462,2,0)</f>
        <v>ANT-0458</v>
      </c>
      <c r="E391" s="1" t="s">
        <v>1508</v>
      </c>
      <c r="F391" s="1" t="s">
        <v>1507</v>
      </c>
      <c r="G391" s="1" t="s">
        <v>813</v>
      </c>
      <c r="H391">
        <v>7</v>
      </c>
      <c r="I391">
        <v>0</v>
      </c>
      <c r="J391" s="1" t="s">
        <v>1705</v>
      </c>
      <c r="K391" s="1" t="s">
        <v>14</v>
      </c>
      <c r="L391">
        <v>347</v>
      </c>
      <c r="M391" s="4">
        <v>0.24097222222222223</v>
      </c>
      <c r="N391" s="10">
        <v>41.84</v>
      </c>
      <c r="O391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391" s="10">
        <f>Clients_chun_clean[[#This Row],[Facture_Mensuelle]]*Clients_chun_clean[[#This Row],[Remise]]</f>
        <v>18.828000000000003</v>
      </c>
      <c r="Q391">
        <v>2</v>
      </c>
    </row>
    <row r="392" spans="1:17" x14ac:dyDescent="0.25">
      <c r="A392" s="1" t="s">
        <v>393</v>
      </c>
      <c r="B392" s="1" t="s">
        <v>436</v>
      </c>
      <c r="C392" s="1" t="s">
        <v>60</v>
      </c>
      <c r="D392" s="1" t="str">
        <f>VLOOKUP(Clients_chun_clean[[#This Row],[Province_Client]],Master_Logs_reseau_registre!B392:F1463,2,0)</f>
        <v>ANT-0870</v>
      </c>
      <c r="E392" s="1" t="s">
        <v>1506</v>
      </c>
      <c r="F392" s="1" t="s">
        <v>1509</v>
      </c>
      <c r="G392" s="1" t="s">
        <v>808</v>
      </c>
      <c r="H392">
        <v>22</v>
      </c>
      <c r="I392">
        <v>1</v>
      </c>
      <c r="J392" s="1" t="s">
        <v>1705</v>
      </c>
      <c r="K392" s="1" t="s">
        <v>14</v>
      </c>
      <c r="L392">
        <v>127</v>
      </c>
      <c r="M392" s="4">
        <v>8.819444444444445E-2</v>
      </c>
      <c r="N392" s="10">
        <v>49.06</v>
      </c>
      <c r="O392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392" s="10">
        <f>Clients_chun_clean[[#This Row],[Facture_Mensuelle]]*Clients_chun_clean[[#This Row],[Remise]]</f>
        <v>4.9060000000000006</v>
      </c>
      <c r="Q392">
        <v>2</v>
      </c>
    </row>
    <row r="393" spans="1:17" x14ac:dyDescent="0.25">
      <c r="A393" s="1" t="s">
        <v>393</v>
      </c>
      <c r="B393" s="1" t="s">
        <v>437</v>
      </c>
      <c r="C393" s="1" t="s">
        <v>51</v>
      </c>
      <c r="D393" s="1" t="str">
        <f>VLOOKUP(Clients_chun_clean[[#This Row],[Province_Client]],Master_Logs_reseau_registre!B393:F1464,2,0)</f>
        <v>ANT-0458</v>
      </c>
      <c r="E393" s="1" t="s">
        <v>1508</v>
      </c>
      <c r="F393" s="1" t="s">
        <v>1507</v>
      </c>
      <c r="G393" s="1" t="s">
        <v>813</v>
      </c>
      <c r="H393">
        <v>41</v>
      </c>
      <c r="I393">
        <v>3</v>
      </c>
      <c r="J393" s="1" t="s">
        <v>1704</v>
      </c>
      <c r="K393" s="1" t="s">
        <v>19</v>
      </c>
      <c r="L393">
        <v>425</v>
      </c>
      <c r="M393" s="4">
        <v>0.2951388888888889</v>
      </c>
      <c r="N393" s="10">
        <v>42.33</v>
      </c>
      <c r="O393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393" s="10">
        <f>Clients_chun_clean[[#This Row],[Facture_Mensuelle]]*Clients_chun_clean[[#This Row],[Remise]]</f>
        <v>19.048500000000001</v>
      </c>
      <c r="Q393">
        <v>3</v>
      </c>
    </row>
    <row r="394" spans="1:17" x14ac:dyDescent="0.25">
      <c r="A394" s="1" t="s">
        <v>393</v>
      </c>
      <c r="B394" s="1" t="s">
        <v>438</v>
      </c>
      <c r="C394" s="1" t="s">
        <v>13</v>
      </c>
      <c r="D394" s="1" t="str">
        <f>VLOOKUP(Clients_chun_clean[[#This Row],[Province_Client]],Master_Logs_reseau_registre!B394:F1465,2,0)</f>
        <v>ANT-0417</v>
      </c>
      <c r="E394" s="1" t="s">
        <v>1503</v>
      </c>
      <c r="F394" s="1" t="s">
        <v>1504</v>
      </c>
      <c r="G394" s="1" t="s">
        <v>808</v>
      </c>
      <c r="H394">
        <v>97</v>
      </c>
      <c r="I394">
        <v>8</v>
      </c>
      <c r="J394" s="1" t="s">
        <v>1705</v>
      </c>
      <c r="K394" s="1" t="s">
        <v>14</v>
      </c>
      <c r="L394">
        <v>276</v>
      </c>
      <c r="M394" s="4">
        <v>0.19166666666666668</v>
      </c>
      <c r="N394" s="10">
        <v>88.35</v>
      </c>
      <c r="O394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394" s="10">
        <f>Clients_chun_clean[[#This Row],[Facture_Mensuelle]]*Clients_chun_clean[[#This Row],[Remise]]</f>
        <v>39.7575</v>
      </c>
      <c r="Q394">
        <v>0</v>
      </c>
    </row>
    <row r="395" spans="1:17" x14ac:dyDescent="0.25">
      <c r="A395" s="1" t="s">
        <v>393</v>
      </c>
      <c r="B395" s="1" t="s">
        <v>439</v>
      </c>
      <c r="C395" s="1" t="s">
        <v>60</v>
      </c>
      <c r="D395" s="1" t="str">
        <f>VLOOKUP(Clients_chun_clean[[#This Row],[Province_Client]],Master_Logs_reseau_registre!B395:F1466,2,0)</f>
        <v>ANT-0870</v>
      </c>
      <c r="E395" s="1" t="s">
        <v>1506</v>
      </c>
      <c r="F395" s="1" t="s">
        <v>1509</v>
      </c>
      <c r="G395" s="1" t="s">
        <v>808</v>
      </c>
      <c r="H395">
        <v>50</v>
      </c>
      <c r="I395">
        <v>4</v>
      </c>
      <c r="J395" s="1" t="s">
        <v>1704</v>
      </c>
      <c r="K395" s="1" t="s">
        <v>19</v>
      </c>
      <c r="L395">
        <v>435</v>
      </c>
      <c r="M395" s="4">
        <v>0.30208333333333331</v>
      </c>
      <c r="N395" s="10">
        <v>27.86</v>
      </c>
      <c r="O395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395" s="10">
        <f>Clients_chun_clean[[#This Row],[Facture_Mensuelle]]*Clients_chun_clean[[#This Row],[Remise]]</f>
        <v>12.537000000000001</v>
      </c>
      <c r="Q395">
        <v>3</v>
      </c>
    </row>
    <row r="396" spans="1:17" x14ac:dyDescent="0.25">
      <c r="A396" s="1" t="s">
        <v>393</v>
      </c>
      <c r="B396" s="1" t="s">
        <v>440</v>
      </c>
      <c r="C396" s="1" t="s">
        <v>10</v>
      </c>
      <c r="D396" s="1" t="str">
        <f>VLOOKUP(Clients_chun_clean[[#This Row],[Province_Client]],Master_Logs_reseau_registre!B396:F1467,2,0)</f>
        <v>ANT-0934</v>
      </c>
      <c r="E396" s="1" t="s">
        <v>1503</v>
      </c>
      <c r="F396" s="1" t="s">
        <v>1509</v>
      </c>
      <c r="G396" s="1" t="s">
        <v>808</v>
      </c>
      <c r="H396">
        <v>24</v>
      </c>
      <c r="I396">
        <v>2</v>
      </c>
      <c r="J396" s="1" t="s">
        <v>1704</v>
      </c>
      <c r="K396" s="1" t="s">
        <v>22</v>
      </c>
      <c r="L396">
        <v>392</v>
      </c>
      <c r="M396" s="4">
        <v>0.2722222222222222</v>
      </c>
      <c r="N396" s="10">
        <v>27.06</v>
      </c>
      <c r="O396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396" s="10">
        <f>Clients_chun_clean[[#This Row],[Facture_Mensuelle]]*Clients_chun_clean[[#This Row],[Remise]]</f>
        <v>12.177</v>
      </c>
      <c r="Q396">
        <v>1</v>
      </c>
    </row>
    <row r="397" spans="1:17" x14ac:dyDescent="0.25">
      <c r="A397" s="1" t="s">
        <v>393</v>
      </c>
      <c r="B397" s="1" t="s">
        <v>441</v>
      </c>
      <c r="C397" s="1" t="s">
        <v>40</v>
      </c>
      <c r="D397" s="1" t="str">
        <f>VLOOKUP(Clients_chun_clean[[#This Row],[Province_Client]],Master_Logs_reseau_registre!B397:F1468,2,0)</f>
        <v>ANT-0630</v>
      </c>
      <c r="E397" s="1" t="s">
        <v>1503</v>
      </c>
      <c r="F397" s="1" t="s">
        <v>1509</v>
      </c>
      <c r="G397" s="1" t="s">
        <v>808</v>
      </c>
      <c r="H397">
        <v>45</v>
      </c>
      <c r="I397">
        <v>3</v>
      </c>
      <c r="J397" s="1" t="s">
        <v>1704</v>
      </c>
      <c r="K397" s="1" t="s">
        <v>19</v>
      </c>
      <c r="L397">
        <v>439</v>
      </c>
      <c r="M397" s="4">
        <v>0.30486111111111114</v>
      </c>
      <c r="N397" s="10">
        <v>13.62</v>
      </c>
      <c r="O397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397" s="10">
        <f>Clients_chun_clean[[#This Row],[Facture_Mensuelle]]*Clients_chun_clean[[#This Row],[Remise]]</f>
        <v>6.1289999999999996</v>
      </c>
      <c r="Q397">
        <v>4</v>
      </c>
    </row>
    <row r="398" spans="1:17" x14ac:dyDescent="0.25">
      <c r="A398" s="1" t="s">
        <v>393</v>
      </c>
      <c r="B398" s="1" t="s">
        <v>442</v>
      </c>
      <c r="C398" s="1" t="s">
        <v>78</v>
      </c>
      <c r="D398" s="1" t="str">
        <f>VLOOKUP(Clients_chun_clean[[#This Row],[Province_Client]],Master_Logs_reseau_registre!B398:F1469,2,0)</f>
        <v>ANT-0986</v>
      </c>
      <c r="E398" s="1" t="s">
        <v>1506</v>
      </c>
      <c r="F398" s="1" t="s">
        <v>1509</v>
      </c>
      <c r="G398" s="1" t="s">
        <v>813</v>
      </c>
      <c r="H398">
        <v>104</v>
      </c>
      <c r="I398">
        <v>8</v>
      </c>
      <c r="J398" s="1" t="s">
        <v>1705</v>
      </c>
      <c r="K398" s="1" t="s">
        <v>14</v>
      </c>
      <c r="L398">
        <v>60</v>
      </c>
      <c r="M398" s="4">
        <v>4.1666666666666664E-2</v>
      </c>
      <c r="N398" s="10">
        <v>45.51</v>
      </c>
      <c r="O398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398" s="10">
        <f>Clients_chun_clean[[#This Row],[Facture_Mensuelle]]*Clients_chun_clean[[#This Row],[Remise]]</f>
        <v>4.5510000000000002</v>
      </c>
      <c r="Q398">
        <v>1</v>
      </c>
    </row>
    <row r="399" spans="1:17" x14ac:dyDescent="0.25">
      <c r="A399" s="1" t="s">
        <v>393</v>
      </c>
      <c r="B399" s="1" t="s">
        <v>443</v>
      </c>
      <c r="C399" s="1" t="s">
        <v>16</v>
      </c>
      <c r="D399" s="1" t="str">
        <f>VLOOKUP(Clients_chun_clean[[#This Row],[Province_Client]],Master_Logs_reseau_registre!B399:F1470,2,0)</f>
        <v>ANT-0054</v>
      </c>
      <c r="E399" s="1" t="s">
        <v>1508</v>
      </c>
      <c r="F399" s="1" t="s">
        <v>1507</v>
      </c>
      <c r="G399" s="1" t="s">
        <v>813</v>
      </c>
      <c r="H399">
        <v>95</v>
      </c>
      <c r="I399">
        <v>7</v>
      </c>
      <c r="J399" s="1" t="s">
        <v>1704</v>
      </c>
      <c r="K399" s="1" t="s">
        <v>11</v>
      </c>
      <c r="L399">
        <v>148</v>
      </c>
      <c r="M399" s="4">
        <v>0.10277777777777777</v>
      </c>
      <c r="N399" s="10">
        <v>76.95</v>
      </c>
      <c r="O399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399" s="10">
        <f>Clients_chun_clean[[#This Row],[Facture_Mensuelle]]*Clients_chun_clean[[#This Row],[Remise]]</f>
        <v>0</v>
      </c>
      <c r="Q399">
        <v>5</v>
      </c>
    </row>
    <row r="400" spans="1:17" x14ac:dyDescent="0.25">
      <c r="A400" s="1" t="s">
        <v>444</v>
      </c>
      <c r="B400" s="1" t="s">
        <v>445</v>
      </c>
      <c r="C400" s="1" t="s">
        <v>51</v>
      </c>
      <c r="D400" s="1" t="str">
        <f>VLOOKUP(Clients_chun_clean[[#This Row],[Province_Client]],Master_Logs_reseau_registre!B400:F1471,2,0)</f>
        <v>ANT-0952</v>
      </c>
      <c r="E400" s="1" t="s">
        <v>1506</v>
      </c>
      <c r="F400" s="1" t="s">
        <v>1509</v>
      </c>
      <c r="G400" s="1" t="s">
        <v>813</v>
      </c>
      <c r="H400">
        <v>83</v>
      </c>
      <c r="I400">
        <v>6</v>
      </c>
      <c r="J400" s="1" t="s">
        <v>1704</v>
      </c>
      <c r="K400" s="1" t="s">
        <v>11</v>
      </c>
      <c r="L400">
        <v>105</v>
      </c>
      <c r="M400" s="4">
        <v>7.2916666666666671E-2</v>
      </c>
      <c r="N400" s="10">
        <v>20.46</v>
      </c>
      <c r="O400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400" s="10">
        <f>Clients_chun_clean[[#This Row],[Facture_Mensuelle]]*Clients_chun_clean[[#This Row],[Remise]]</f>
        <v>0</v>
      </c>
      <c r="Q400">
        <v>1</v>
      </c>
    </row>
    <row r="401" spans="1:17" x14ac:dyDescent="0.25">
      <c r="A401" s="1" t="s">
        <v>444</v>
      </c>
      <c r="B401" s="1" t="s">
        <v>446</v>
      </c>
      <c r="C401" s="1" t="s">
        <v>67</v>
      </c>
      <c r="D401" s="1" t="str">
        <f>VLOOKUP(Clients_chun_clean[[#This Row],[Province_Client]],Master_Logs_reseau_registre!B401:F1472,2,0)</f>
        <v>ANT-0032</v>
      </c>
      <c r="E401" s="1" t="s">
        <v>1508</v>
      </c>
      <c r="F401" s="1" t="s">
        <v>1507</v>
      </c>
      <c r="G401" s="1" t="s">
        <v>813</v>
      </c>
      <c r="H401">
        <v>7</v>
      </c>
      <c r="I401">
        <v>0</v>
      </c>
      <c r="J401" s="1" t="s">
        <v>1704</v>
      </c>
      <c r="K401" s="1" t="s">
        <v>22</v>
      </c>
      <c r="L401">
        <v>94</v>
      </c>
      <c r="M401" s="4">
        <v>6.5277777777777782E-2</v>
      </c>
      <c r="N401" s="10">
        <v>68.38</v>
      </c>
      <c r="O401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401" s="10">
        <f>Clients_chun_clean[[#This Row],[Facture_Mensuelle]]*Clients_chun_clean[[#This Row],[Remise]]</f>
        <v>0</v>
      </c>
      <c r="Q401">
        <v>3</v>
      </c>
    </row>
    <row r="402" spans="1:17" x14ac:dyDescent="0.25">
      <c r="A402" s="1" t="s">
        <v>444</v>
      </c>
      <c r="B402" s="1" t="s">
        <v>447</v>
      </c>
      <c r="C402" s="1" t="s">
        <v>37</v>
      </c>
      <c r="D402" s="1" t="str">
        <f>VLOOKUP(Clients_chun_clean[[#This Row],[Province_Client]],Master_Logs_reseau_registre!B402:F1473,2,0)</f>
        <v>ANT-0768</v>
      </c>
      <c r="E402" s="1" t="s">
        <v>1506</v>
      </c>
      <c r="F402" s="1" t="s">
        <v>1507</v>
      </c>
      <c r="G402" s="1" t="s">
        <v>808</v>
      </c>
      <c r="H402">
        <v>39</v>
      </c>
      <c r="I402">
        <v>3</v>
      </c>
      <c r="J402" s="1" t="s">
        <v>1704</v>
      </c>
      <c r="K402" s="1" t="s">
        <v>11</v>
      </c>
      <c r="L402">
        <v>1</v>
      </c>
      <c r="M402" s="4">
        <v>6.9444444444444447E-4</v>
      </c>
      <c r="N402" s="10">
        <v>66.94</v>
      </c>
      <c r="O402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402" s="10">
        <f>Clients_chun_clean[[#This Row],[Facture_Mensuelle]]*Clients_chun_clean[[#This Row],[Remise]]</f>
        <v>30.123000000000001</v>
      </c>
      <c r="Q402">
        <v>5</v>
      </c>
    </row>
    <row r="403" spans="1:17" x14ac:dyDescent="0.25">
      <c r="A403" s="1" t="s">
        <v>444</v>
      </c>
      <c r="B403" s="1" t="s">
        <v>448</v>
      </c>
      <c r="C403" s="1" t="s">
        <v>57</v>
      </c>
      <c r="D403" s="1" t="str">
        <f>VLOOKUP(Clients_chun_clean[[#This Row],[Province_Client]],Master_Logs_reseau_registre!B403:F1474,2,0)</f>
        <v>ANT-0298</v>
      </c>
      <c r="E403" s="1" t="s">
        <v>1508</v>
      </c>
      <c r="F403" s="1" t="s">
        <v>1507</v>
      </c>
      <c r="G403" s="1" t="s">
        <v>808</v>
      </c>
      <c r="H403">
        <v>15</v>
      </c>
      <c r="I403">
        <v>1</v>
      </c>
      <c r="J403" s="1" t="s">
        <v>1704</v>
      </c>
      <c r="K403" s="1" t="s">
        <v>22</v>
      </c>
      <c r="L403">
        <v>81</v>
      </c>
      <c r="M403" s="4">
        <v>5.6250000000000001E-2</v>
      </c>
      <c r="N403" s="10">
        <v>97.5</v>
      </c>
      <c r="O403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403" s="10">
        <f>Clients_chun_clean[[#This Row],[Facture_Mensuelle]]*Clients_chun_clean[[#This Row],[Remise]]</f>
        <v>0</v>
      </c>
      <c r="Q403">
        <v>4</v>
      </c>
    </row>
    <row r="404" spans="1:17" x14ac:dyDescent="0.25">
      <c r="A404" s="1" t="s">
        <v>444</v>
      </c>
      <c r="B404" s="1" t="s">
        <v>449</v>
      </c>
      <c r="C404" s="1" t="s">
        <v>13</v>
      </c>
      <c r="D404" s="1" t="str">
        <f>VLOOKUP(Clients_chun_clean[[#This Row],[Province_Client]],Master_Logs_reseau_registre!B404:F1475,2,0)</f>
        <v>ANT-0417</v>
      </c>
      <c r="E404" s="1" t="s">
        <v>1503</v>
      </c>
      <c r="F404" s="1" t="s">
        <v>1504</v>
      </c>
      <c r="G404" s="1" t="s">
        <v>808</v>
      </c>
      <c r="H404">
        <v>35</v>
      </c>
      <c r="I404">
        <v>2</v>
      </c>
      <c r="J404" s="1" t="s">
        <v>1705</v>
      </c>
      <c r="K404" s="1" t="s">
        <v>14</v>
      </c>
      <c r="L404">
        <v>292</v>
      </c>
      <c r="M404" s="4">
        <v>0.20277777777777778</v>
      </c>
      <c r="N404" s="10">
        <v>39.21</v>
      </c>
      <c r="O404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404" s="10">
        <f>Clients_chun_clean[[#This Row],[Facture_Mensuelle]]*Clients_chun_clean[[#This Row],[Remise]]</f>
        <v>17.644500000000001</v>
      </c>
      <c r="Q404">
        <v>1</v>
      </c>
    </row>
    <row r="405" spans="1:17" x14ac:dyDescent="0.25">
      <c r="A405" s="1" t="s">
        <v>444</v>
      </c>
      <c r="B405" s="1" t="s">
        <v>450</v>
      </c>
      <c r="C405" s="1" t="s">
        <v>10</v>
      </c>
      <c r="D405" s="1" t="str">
        <f>VLOOKUP(Clients_chun_clean[[#This Row],[Province_Client]],Master_Logs_reseau_registre!B405:F1476,2,0)</f>
        <v>ANT-0059</v>
      </c>
      <c r="E405" s="1" t="s">
        <v>1503</v>
      </c>
      <c r="F405" s="1" t="s">
        <v>1504</v>
      </c>
      <c r="G405" s="1" t="s">
        <v>808</v>
      </c>
      <c r="H405">
        <v>47</v>
      </c>
      <c r="I405">
        <v>3</v>
      </c>
      <c r="J405" s="1" t="s">
        <v>1704</v>
      </c>
      <c r="K405" s="1" t="s">
        <v>19</v>
      </c>
      <c r="L405">
        <v>111</v>
      </c>
      <c r="M405" s="4">
        <v>7.7083333333333337E-2</v>
      </c>
      <c r="N405" s="10">
        <v>95.18</v>
      </c>
      <c r="O405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405" s="10">
        <f>Clients_chun_clean[[#This Row],[Facture_Mensuelle]]*Clients_chun_clean[[#This Row],[Remise]]</f>
        <v>0</v>
      </c>
      <c r="Q405">
        <v>0</v>
      </c>
    </row>
    <row r="406" spans="1:17" x14ac:dyDescent="0.25">
      <c r="A406" s="1" t="s">
        <v>444</v>
      </c>
      <c r="B406" s="1" t="s">
        <v>451</v>
      </c>
      <c r="C406" s="1" t="s">
        <v>33</v>
      </c>
      <c r="D406" s="1" t="str">
        <f>VLOOKUP(Clients_chun_clean[[#This Row],[Province_Client]],Master_Logs_reseau_registre!B406:F1477,2,0)</f>
        <v>ANT-0735</v>
      </c>
      <c r="E406" s="1" t="s">
        <v>1506</v>
      </c>
      <c r="F406" s="1" t="s">
        <v>1507</v>
      </c>
      <c r="G406" s="1" t="s">
        <v>813</v>
      </c>
      <c r="H406">
        <v>36</v>
      </c>
      <c r="I406">
        <v>3</v>
      </c>
      <c r="J406" s="1" t="s">
        <v>1704</v>
      </c>
      <c r="K406" s="1" t="s">
        <v>19</v>
      </c>
      <c r="L406">
        <v>303</v>
      </c>
      <c r="M406" s="4">
        <v>0.21041666666666667</v>
      </c>
      <c r="N406" s="10">
        <v>89.56</v>
      </c>
      <c r="O406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406" s="10">
        <f>Clients_chun_clean[[#This Row],[Facture_Mensuelle]]*Clients_chun_clean[[#This Row],[Remise]]</f>
        <v>40.302</v>
      </c>
      <c r="Q406">
        <v>1</v>
      </c>
    </row>
    <row r="407" spans="1:17" x14ac:dyDescent="0.25">
      <c r="A407" s="1" t="s">
        <v>444</v>
      </c>
      <c r="B407" s="1" t="s">
        <v>452</v>
      </c>
      <c r="C407" s="1" t="s">
        <v>26</v>
      </c>
      <c r="D407" s="1" t="str">
        <f>VLOOKUP(Clients_chun_clean[[#This Row],[Province_Client]],Master_Logs_reseau_registre!B407:F1478,2,0)</f>
        <v>ANT-0339</v>
      </c>
      <c r="E407" s="1" t="s">
        <v>1503</v>
      </c>
      <c r="F407" s="1" t="s">
        <v>1509</v>
      </c>
      <c r="G407" s="1" t="s">
        <v>813</v>
      </c>
      <c r="H407">
        <v>45</v>
      </c>
      <c r="I407">
        <v>3</v>
      </c>
      <c r="J407" s="1" t="s">
        <v>1704</v>
      </c>
      <c r="K407" s="1" t="s">
        <v>22</v>
      </c>
      <c r="L407">
        <v>356</v>
      </c>
      <c r="M407" s="4">
        <v>0.24722222222222223</v>
      </c>
      <c r="N407" s="10">
        <v>33.76</v>
      </c>
      <c r="O407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407" s="10">
        <f>Clients_chun_clean[[#This Row],[Facture_Mensuelle]]*Clients_chun_clean[[#This Row],[Remise]]</f>
        <v>15.192</v>
      </c>
      <c r="Q407">
        <v>0</v>
      </c>
    </row>
    <row r="408" spans="1:17" x14ac:dyDescent="0.25">
      <c r="A408" s="1" t="s">
        <v>444</v>
      </c>
      <c r="B408" s="1" t="s">
        <v>453</v>
      </c>
      <c r="C408" s="1" t="s">
        <v>37</v>
      </c>
      <c r="D408" s="1" t="str">
        <f>VLOOKUP(Clients_chun_clean[[#This Row],[Province_Client]],Master_Logs_reseau_registre!B408:F1479,2,0)</f>
        <v>ANT-0768</v>
      </c>
      <c r="E408" s="1" t="s">
        <v>1506</v>
      </c>
      <c r="F408" s="1" t="s">
        <v>1507</v>
      </c>
      <c r="G408" s="1" t="s">
        <v>813</v>
      </c>
      <c r="H408">
        <v>92</v>
      </c>
      <c r="I408">
        <v>7</v>
      </c>
      <c r="J408" s="1" t="s">
        <v>1704</v>
      </c>
      <c r="K408" s="1" t="s">
        <v>19</v>
      </c>
      <c r="L408">
        <v>4</v>
      </c>
      <c r="M408" s="4">
        <v>2.7777777777777779E-3</v>
      </c>
      <c r="N408" s="10">
        <v>22.03</v>
      </c>
      <c r="O408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408" s="10">
        <f>Clients_chun_clean[[#This Row],[Facture_Mensuelle]]*Clients_chun_clean[[#This Row],[Remise]]</f>
        <v>0</v>
      </c>
      <c r="Q408">
        <v>3</v>
      </c>
    </row>
    <row r="409" spans="1:17" x14ac:dyDescent="0.25">
      <c r="A409" s="1" t="s">
        <v>444</v>
      </c>
      <c r="B409" s="1" t="s">
        <v>454</v>
      </c>
      <c r="C409" s="1" t="s">
        <v>24</v>
      </c>
      <c r="D409" s="1" t="str">
        <f>VLOOKUP(Clients_chun_clean[[#This Row],[Province_Client]],Master_Logs_reseau_registre!B409:F1480,2,0)</f>
        <v>ANT-0790</v>
      </c>
      <c r="E409" s="1" t="s">
        <v>1503</v>
      </c>
      <c r="F409" s="1" t="s">
        <v>1504</v>
      </c>
      <c r="G409" s="1" t="s">
        <v>811</v>
      </c>
      <c r="H409">
        <v>54</v>
      </c>
      <c r="I409">
        <v>4</v>
      </c>
      <c r="J409" s="1" t="s">
        <v>1704</v>
      </c>
      <c r="K409" s="1" t="s">
        <v>19</v>
      </c>
      <c r="L409">
        <v>450</v>
      </c>
      <c r="M409" s="4">
        <v>0.3125</v>
      </c>
      <c r="N409" s="10">
        <v>90.85</v>
      </c>
      <c r="O409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409" s="10">
        <f>Clients_chun_clean[[#This Row],[Facture_Mensuelle]]*Clients_chun_clean[[#This Row],[Remise]]</f>
        <v>40.8825</v>
      </c>
      <c r="Q409">
        <v>1</v>
      </c>
    </row>
    <row r="410" spans="1:17" x14ac:dyDescent="0.25">
      <c r="A410" s="1" t="s">
        <v>444</v>
      </c>
      <c r="B410" s="1" t="s">
        <v>455</v>
      </c>
      <c r="C410" s="1" t="s">
        <v>24</v>
      </c>
      <c r="D410" s="1" t="str">
        <f>VLOOKUP(Clients_chun_clean[[#This Row],[Province_Client]],Master_Logs_reseau_registre!B410:F1481,2,0)</f>
        <v>ANT-0790</v>
      </c>
      <c r="E410" s="1" t="s">
        <v>1503</v>
      </c>
      <c r="F410" s="1" t="s">
        <v>1504</v>
      </c>
      <c r="G410" s="1" t="s">
        <v>811</v>
      </c>
      <c r="H410">
        <v>32</v>
      </c>
      <c r="I410">
        <v>2</v>
      </c>
      <c r="J410" s="1" t="s">
        <v>1704</v>
      </c>
      <c r="K410" s="1" t="s">
        <v>22</v>
      </c>
      <c r="L410">
        <v>475</v>
      </c>
      <c r="M410" s="4">
        <v>0.3298611111111111</v>
      </c>
      <c r="N410" s="10">
        <v>36.54</v>
      </c>
      <c r="O410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410" s="10">
        <f>Clients_chun_clean[[#This Row],[Facture_Mensuelle]]*Clients_chun_clean[[#This Row],[Remise]]</f>
        <v>16.443000000000001</v>
      </c>
      <c r="Q410">
        <v>3</v>
      </c>
    </row>
    <row r="411" spans="1:17" x14ac:dyDescent="0.25">
      <c r="A411" s="1" t="s">
        <v>444</v>
      </c>
      <c r="B411" s="1" t="s">
        <v>456</v>
      </c>
      <c r="C411" s="1" t="s">
        <v>51</v>
      </c>
      <c r="D411" s="1" t="str">
        <f>VLOOKUP(Clients_chun_clean[[#This Row],[Province_Client]],Master_Logs_reseau_registre!B411:F1482,2,0)</f>
        <v>ANT-0952</v>
      </c>
      <c r="E411" s="1" t="s">
        <v>1506</v>
      </c>
      <c r="F411" s="1" t="s">
        <v>1507</v>
      </c>
      <c r="G411" s="1" t="s">
        <v>813</v>
      </c>
      <c r="H411">
        <v>41</v>
      </c>
      <c r="I411">
        <v>3</v>
      </c>
      <c r="J411" s="1" t="s">
        <v>1704</v>
      </c>
      <c r="K411" s="1" t="s">
        <v>22</v>
      </c>
      <c r="L411">
        <v>404</v>
      </c>
      <c r="M411" s="4">
        <v>0.28055555555555556</v>
      </c>
      <c r="N411" s="10">
        <v>98.67</v>
      </c>
      <c r="O411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411" s="10">
        <f>Clients_chun_clean[[#This Row],[Facture_Mensuelle]]*Clients_chun_clean[[#This Row],[Remise]]</f>
        <v>44.401499999999999</v>
      </c>
      <c r="Q411">
        <v>5</v>
      </c>
    </row>
    <row r="412" spans="1:17" x14ac:dyDescent="0.25">
      <c r="A412" s="1" t="s">
        <v>444</v>
      </c>
      <c r="B412" s="1" t="s">
        <v>457</v>
      </c>
      <c r="C412" s="1" t="s">
        <v>37</v>
      </c>
      <c r="D412" s="1" t="str">
        <f>VLOOKUP(Clients_chun_clean[[#This Row],[Province_Client]],Master_Logs_reseau_registre!B412:F1483,2,0)</f>
        <v>ANT-0768</v>
      </c>
      <c r="E412" s="1" t="s">
        <v>1506</v>
      </c>
      <c r="F412" s="1" t="s">
        <v>1507</v>
      </c>
      <c r="G412" s="1" t="s">
        <v>808</v>
      </c>
      <c r="H412">
        <v>115</v>
      </c>
      <c r="I412">
        <v>9</v>
      </c>
      <c r="J412" s="1" t="s">
        <v>1705</v>
      </c>
      <c r="K412" s="1" t="s">
        <v>14</v>
      </c>
      <c r="L412">
        <v>262</v>
      </c>
      <c r="M412" s="4">
        <v>0.18194444444444444</v>
      </c>
      <c r="N412" s="10">
        <v>66.34</v>
      </c>
      <c r="O412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412" s="10">
        <f>Clients_chun_clean[[#This Row],[Facture_Mensuelle]]*Clients_chun_clean[[#This Row],[Remise]]</f>
        <v>29.853000000000002</v>
      </c>
      <c r="Q412">
        <v>3</v>
      </c>
    </row>
    <row r="413" spans="1:17" x14ac:dyDescent="0.25">
      <c r="A413" s="1" t="s">
        <v>444</v>
      </c>
      <c r="B413" s="1" t="s">
        <v>458</v>
      </c>
      <c r="C413" s="1" t="s">
        <v>18</v>
      </c>
      <c r="D413" s="1" t="str">
        <f>VLOOKUP(Clients_chun_clean[[#This Row],[Province_Client]],Master_Logs_reseau_registre!B413:F1484,2,0)</f>
        <v>ANT-0695</v>
      </c>
      <c r="E413" s="1" t="s">
        <v>1506</v>
      </c>
      <c r="F413" s="1" t="s">
        <v>1507</v>
      </c>
      <c r="G413" s="1" t="s">
        <v>808</v>
      </c>
      <c r="H413">
        <v>7</v>
      </c>
      <c r="I413">
        <v>0</v>
      </c>
      <c r="J413" s="1" t="s">
        <v>1704</v>
      </c>
      <c r="K413" s="1" t="s">
        <v>19</v>
      </c>
      <c r="L413">
        <v>233</v>
      </c>
      <c r="M413" s="4">
        <v>0.16180555555555556</v>
      </c>
      <c r="N413" s="10">
        <v>10.94</v>
      </c>
      <c r="O413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413" s="10">
        <f>Clients_chun_clean[[#This Row],[Facture_Mensuelle]]*Clients_chun_clean[[#This Row],[Remise]]</f>
        <v>0</v>
      </c>
      <c r="Q413">
        <v>0</v>
      </c>
    </row>
    <row r="414" spans="1:17" x14ac:dyDescent="0.25">
      <c r="A414" s="1" t="s">
        <v>444</v>
      </c>
      <c r="B414" s="1" t="s">
        <v>459</v>
      </c>
      <c r="C414" s="1" t="s">
        <v>73</v>
      </c>
      <c r="D414" s="1" t="str">
        <f>VLOOKUP(Clients_chun_clean[[#This Row],[Province_Client]],Master_Logs_reseau_registre!B414:F1485,2,0)</f>
        <v>ANT-0631</v>
      </c>
      <c r="E414" s="1" t="s">
        <v>1508</v>
      </c>
      <c r="F414" s="1" t="s">
        <v>1504</v>
      </c>
      <c r="G414" s="1" t="s">
        <v>813</v>
      </c>
      <c r="H414">
        <v>24</v>
      </c>
      <c r="I414">
        <v>2</v>
      </c>
      <c r="J414" s="1" t="s">
        <v>1704</v>
      </c>
      <c r="K414" s="1" t="s">
        <v>19</v>
      </c>
      <c r="L414">
        <v>257</v>
      </c>
      <c r="M414" s="4">
        <v>0.17847222222222223</v>
      </c>
      <c r="N414" s="10">
        <v>41.99</v>
      </c>
      <c r="O414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414" s="10">
        <f>Clients_chun_clean[[#This Row],[Facture_Mensuelle]]*Clients_chun_clean[[#This Row],[Remise]]</f>
        <v>18.895500000000002</v>
      </c>
      <c r="Q414">
        <v>5</v>
      </c>
    </row>
    <row r="415" spans="1:17" x14ac:dyDescent="0.25">
      <c r="A415" s="1" t="s">
        <v>444</v>
      </c>
      <c r="B415" s="1" t="s">
        <v>460</v>
      </c>
      <c r="C415" s="1" t="s">
        <v>31</v>
      </c>
      <c r="D415" s="1" t="str">
        <f>VLOOKUP(Clients_chun_clean[[#This Row],[Province_Client]],Master_Logs_reseau_registre!B415:F1486,2,0)</f>
        <v>ANT-0394</v>
      </c>
      <c r="E415" s="1" t="s">
        <v>1503</v>
      </c>
      <c r="F415" s="1" t="s">
        <v>1509</v>
      </c>
      <c r="G415" s="1" t="s">
        <v>811</v>
      </c>
      <c r="H415">
        <v>6</v>
      </c>
      <c r="I415">
        <v>0</v>
      </c>
      <c r="J415" s="1" t="s">
        <v>1704</v>
      </c>
      <c r="K415" s="1" t="s">
        <v>11</v>
      </c>
      <c r="L415">
        <v>362</v>
      </c>
      <c r="M415" s="4">
        <v>0.25138888888888888</v>
      </c>
      <c r="N415" s="10">
        <v>75.739999999999995</v>
      </c>
      <c r="O415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415" s="10">
        <f>Clients_chun_clean[[#This Row],[Facture_Mensuelle]]*Clients_chun_clean[[#This Row],[Remise]]</f>
        <v>34.082999999999998</v>
      </c>
      <c r="Q415">
        <v>4</v>
      </c>
    </row>
    <row r="416" spans="1:17" x14ac:dyDescent="0.25">
      <c r="A416" s="1" t="s">
        <v>444</v>
      </c>
      <c r="B416" s="1" t="s">
        <v>461</v>
      </c>
      <c r="C416" s="1" t="s">
        <v>29</v>
      </c>
      <c r="D416" s="1" t="str">
        <f>VLOOKUP(Clients_chun_clean[[#This Row],[Province_Client]],Master_Logs_reseau_registre!B416:F1487,2,0)</f>
        <v>ANT-0147</v>
      </c>
      <c r="E416" s="1" t="s">
        <v>1508</v>
      </c>
      <c r="F416" s="1" t="s">
        <v>1504</v>
      </c>
      <c r="G416" s="1" t="s">
        <v>813</v>
      </c>
      <c r="H416">
        <v>1</v>
      </c>
      <c r="I416">
        <v>0</v>
      </c>
      <c r="J416" s="1" t="s">
        <v>1704</v>
      </c>
      <c r="K416" s="1" t="s">
        <v>11</v>
      </c>
      <c r="L416">
        <v>368</v>
      </c>
      <c r="M416" s="4">
        <v>0.25555555555555554</v>
      </c>
      <c r="N416" s="10">
        <v>35.17</v>
      </c>
      <c r="O416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416" s="10">
        <f>Clients_chun_clean[[#This Row],[Facture_Mensuelle]]*Clients_chun_clean[[#This Row],[Remise]]</f>
        <v>15.826500000000001</v>
      </c>
      <c r="Q416">
        <v>1</v>
      </c>
    </row>
    <row r="417" spans="1:17" x14ac:dyDescent="0.25">
      <c r="A417" s="1" t="s">
        <v>444</v>
      </c>
      <c r="B417" s="1" t="s">
        <v>462</v>
      </c>
      <c r="C417" s="1" t="s">
        <v>33</v>
      </c>
      <c r="D417" s="1" t="str">
        <f>VLOOKUP(Clients_chun_clean[[#This Row],[Province_Client]],Master_Logs_reseau_registre!B417:F1488,2,0)</f>
        <v>ANT-0735</v>
      </c>
      <c r="E417" s="1" t="s">
        <v>1506</v>
      </c>
      <c r="F417" s="1" t="s">
        <v>1516</v>
      </c>
      <c r="G417" s="1" t="s">
        <v>813</v>
      </c>
      <c r="H417">
        <v>7</v>
      </c>
      <c r="I417">
        <v>0</v>
      </c>
      <c r="J417" s="1" t="s">
        <v>1705</v>
      </c>
      <c r="K417" s="1" t="s">
        <v>14</v>
      </c>
      <c r="L417">
        <v>268</v>
      </c>
      <c r="M417" s="4">
        <v>0.18611111111111112</v>
      </c>
      <c r="N417" s="10">
        <v>33.04</v>
      </c>
      <c r="O417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417" s="10">
        <f>Clients_chun_clean[[#This Row],[Facture_Mensuelle]]*Clients_chun_clean[[#This Row],[Remise]]</f>
        <v>14.868</v>
      </c>
      <c r="Q417">
        <v>5</v>
      </c>
    </row>
    <row r="418" spans="1:17" x14ac:dyDescent="0.25">
      <c r="A418" s="1" t="s">
        <v>444</v>
      </c>
      <c r="B418" s="1" t="s">
        <v>463</v>
      </c>
      <c r="C418" s="1" t="s">
        <v>89</v>
      </c>
      <c r="D418" s="1" t="str">
        <f>VLOOKUP(Clients_chun_clean[[#This Row],[Province_Client]],Master_Logs_reseau_registre!B418:F1489,2,0)</f>
        <v>ANT-0662</v>
      </c>
      <c r="E418" s="1" t="s">
        <v>1506</v>
      </c>
      <c r="F418" s="1" t="s">
        <v>1516</v>
      </c>
      <c r="G418" s="1" t="s">
        <v>813</v>
      </c>
      <c r="H418">
        <v>85</v>
      </c>
      <c r="I418">
        <v>7</v>
      </c>
      <c r="J418" s="1" t="s">
        <v>1704</v>
      </c>
      <c r="K418" s="1" t="s">
        <v>22</v>
      </c>
      <c r="L418">
        <v>132</v>
      </c>
      <c r="M418" s="4">
        <v>9.166666666666666E-2</v>
      </c>
      <c r="N418" s="10">
        <v>11.41</v>
      </c>
      <c r="O418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418" s="10">
        <f>Clients_chun_clean[[#This Row],[Facture_Mensuelle]]*Clients_chun_clean[[#This Row],[Remise]]</f>
        <v>0</v>
      </c>
      <c r="Q418">
        <v>0</v>
      </c>
    </row>
    <row r="419" spans="1:17" x14ac:dyDescent="0.25">
      <c r="A419" s="1" t="s">
        <v>444</v>
      </c>
      <c r="B419" s="1" t="s">
        <v>464</v>
      </c>
      <c r="C419" s="1" t="s">
        <v>16</v>
      </c>
      <c r="D419" s="1" t="str">
        <f>VLOOKUP(Clients_chun_clean[[#This Row],[Province_Client]],Master_Logs_reseau_registre!B419:F1490,2,0)</f>
        <v>ANT-0054</v>
      </c>
      <c r="E419" s="1" t="s">
        <v>1508</v>
      </c>
      <c r="F419" s="1" t="s">
        <v>1504</v>
      </c>
      <c r="G419" s="1" t="s">
        <v>811</v>
      </c>
      <c r="H419">
        <v>96</v>
      </c>
      <c r="I419">
        <v>8</v>
      </c>
      <c r="J419" s="1" t="s">
        <v>1704</v>
      </c>
      <c r="K419" s="1" t="s">
        <v>22</v>
      </c>
      <c r="L419">
        <v>155</v>
      </c>
      <c r="M419" s="4">
        <v>0.1076388888888889</v>
      </c>
      <c r="N419" s="10">
        <v>69.16</v>
      </c>
      <c r="O419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419" s="10">
        <f>Clients_chun_clean[[#This Row],[Facture_Mensuelle]]*Clients_chun_clean[[#This Row],[Remise]]</f>
        <v>0</v>
      </c>
      <c r="Q419">
        <v>4</v>
      </c>
    </row>
    <row r="420" spans="1:17" x14ac:dyDescent="0.25">
      <c r="A420" s="1" t="s">
        <v>444</v>
      </c>
      <c r="B420" s="1" t="s">
        <v>465</v>
      </c>
      <c r="C420" s="1" t="s">
        <v>16</v>
      </c>
      <c r="D420" s="1" t="str">
        <f>VLOOKUP(Clients_chun_clean[[#This Row],[Province_Client]],Master_Logs_reseau_registre!B420:F1491,2,0)</f>
        <v>ANT-0054</v>
      </c>
      <c r="E420" s="1" t="s">
        <v>1508</v>
      </c>
      <c r="F420" s="1" t="s">
        <v>1504</v>
      </c>
      <c r="G420" s="1" t="s">
        <v>811</v>
      </c>
      <c r="H420">
        <v>42</v>
      </c>
      <c r="I420">
        <v>3</v>
      </c>
      <c r="J420" s="1" t="s">
        <v>1704</v>
      </c>
      <c r="K420" s="1" t="s">
        <v>19</v>
      </c>
      <c r="L420">
        <v>436</v>
      </c>
      <c r="M420" s="4">
        <v>0.30277777777777776</v>
      </c>
      <c r="N420" s="10">
        <v>88.12</v>
      </c>
      <c r="O420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420" s="10">
        <f>Clients_chun_clean[[#This Row],[Facture_Mensuelle]]*Clients_chun_clean[[#This Row],[Remise]]</f>
        <v>39.654000000000003</v>
      </c>
      <c r="Q420">
        <v>0</v>
      </c>
    </row>
    <row r="421" spans="1:17" x14ac:dyDescent="0.25">
      <c r="A421" s="1" t="s">
        <v>444</v>
      </c>
      <c r="B421" s="1" t="s">
        <v>466</v>
      </c>
      <c r="C421" s="1" t="s">
        <v>44</v>
      </c>
      <c r="D421" s="1" t="str">
        <f>VLOOKUP(Clients_chun_clean[[#This Row],[Province_Client]],Master_Logs_reseau_registre!B421:F1492,2,0)</f>
        <v>ANT-0236</v>
      </c>
      <c r="E421" s="1" t="s">
        <v>1508</v>
      </c>
      <c r="F421" s="1" t="s">
        <v>1504</v>
      </c>
      <c r="G421" s="1" t="s">
        <v>811</v>
      </c>
      <c r="H421">
        <v>28</v>
      </c>
      <c r="I421">
        <v>2</v>
      </c>
      <c r="J421" s="1" t="s">
        <v>1704</v>
      </c>
      <c r="K421" s="1" t="s">
        <v>22</v>
      </c>
      <c r="L421">
        <v>112</v>
      </c>
      <c r="M421" s="4">
        <v>7.7777777777777779E-2</v>
      </c>
      <c r="N421" s="10">
        <v>94.51</v>
      </c>
      <c r="O421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421" s="10">
        <f>Clients_chun_clean[[#This Row],[Facture_Mensuelle]]*Clients_chun_clean[[#This Row],[Remise]]</f>
        <v>0</v>
      </c>
      <c r="Q421">
        <v>3</v>
      </c>
    </row>
    <row r="422" spans="1:17" x14ac:dyDescent="0.25">
      <c r="A422" s="1" t="s">
        <v>444</v>
      </c>
      <c r="B422" s="1" t="s">
        <v>467</v>
      </c>
      <c r="C422" s="1" t="s">
        <v>57</v>
      </c>
      <c r="D422" s="1" t="str">
        <f>VLOOKUP(Clients_chun_clean[[#This Row],[Province_Client]],Master_Logs_reseau_registre!B422:F1493,2,0)</f>
        <v>ANT-0298</v>
      </c>
      <c r="E422" s="1" t="s">
        <v>1508</v>
      </c>
      <c r="F422" s="1" t="s">
        <v>1504</v>
      </c>
      <c r="G422" s="1" t="s">
        <v>811</v>
      </c>
      <c r="H422">
        <v>37</v>
      </c>
      <c r="I422">
        <v>3</v>
      </c>
      <c r="J422" s="1" t="s">
        <v>1704</v>
      </c>
      <c r="K422" s="1" t="s">
        <v>22</v>
      </c>
      <c r="L422">
        <v>151</v>
      </c>
      <c r="M422" s="4">
        <v>0.10486111111111111</v>
      </c>
      <c r="N422" s="10">
        <v>62.49</v>
      </c>
      <c r="O422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422" s="10">
        <f>Clients_chun_clean[[#This Row],[Facture_Mensuelle]]*Clients_chun_clean[[#This Row],[Remise]]</f>
        <v>0</v>
      </c>
      <c r="Q422">
        <v>3</v>
      </c>
    </row>
    <row r="423" spans="1:17" x14ac:dyDescent="0.25">
      <c r="A423" s="1" t="s">
        <v>444</v>
      </c>
      <c r="B423" s="1" t="s">
        <v>468</v>
      </c>
      <c r="C423" s="1" t="s">
        <v>51</v>
      </c>
      <c r="D423" s="1" t="str">
        <f>VLOOKUP(Clients_chun_clean[[#This Row],[Province_Client]],Master_Logs_reseau_registre!B423:F1494,2,0)</f>
        <v>ANT-0952</v>
      </c>
      <c r="E423" s="1" t="s">
        <v>1506</v>
      </c>
      <c r="F423" s="1" t="s">
        <v>1507</v>
      </c>
      <c r="G423" s="1" t="s">
        <v>808</v>
      </c>
      <c r="H423">
        <v>61</v>
      </c>
      <c r="I423">
        <v>5</v>
      </c>
      <c r="J423" s="1" t="s">
        <v>1705</v>
      </c>
      <c r="K423" s="1" t="s">
        <v>14</v>
      </c>
      <c r="L423">
        <v>362</v>
      </c>
      <c r="M423" s="4">
        <v>0.25138888888888888</v>
      </c>
      <c r="N423" s="10">
        <v>75.03</v>
      </c>
      <c r="O423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423" s="10">
        <f>Clients_chun_clean[[#This Row],[Facture_Mensuelle]]*Clients_chun_clean[[#This Row],[Remise]]</f>
        <v>33.763500000000001</v>
      </c>
      <c r="Q423">
        <v>0</v>
      </c>
    </row>
    <row r="424" spans="1:17" x14ac:dyDescent="0.25">
      <c r="A424" s="1" t="s">
        <v>444</v>
      </c>
      <c r="B424" s="1" t="s">
        <v>469</v>
      </c>
      <c r="C424" s="1" t="s">
        <v>44</v>
      </c>
      <c r="D424" s="1" t="str">
        <f>VLOOKUP(Clients_chun_clean[[#This Row],[Province_Client]],Master_Logs_reseau_registre!B424:F1495,2,0)</f>
        <v>ANT-0236</v>
      </c>
      <c r="E424" s="1" t="s">
        <v>1508</v>
      </c>
      <c r="F424" s="1" t="s">
        <v>1504</v>
      </c>
      <c r="G424" s="1" t="s">
        <v>811</v>
      </c>
      <c r="H424">
        <v>36</v>
      </c>
      <c r="I424">
        <v>3</v>
      </c>
      <c r="J424" s="1" t="s">
        <v>1704</v>
      </c>
      <c r="K424" s="1" t="s">
        <v>11</v>
      </c>
      <c r="L424">
        <v>137</v>
      </c>
      <c r="M424" s="4">
        <v>9.5138888888888884E-2</v>
      </c>
      <c r="N424" s="10">
        <v>71.930000000000007</v>
      </c>
      <c r="O424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424" s="10">
        <f>Clients_chun_clean[[#This Row],[Facture_Mensuelle]]*Clients_chun_clean[[#This Row],[Remise]]</f>
        <v>32.368500000000004</v>
      </c>
      <c r="Q424">
        <v>0</v>
      </c>
    </row>
    <row r="425" spans="1:17" x14ac:dyDescent="0.25">
      <c r="A425" s="1" t="s">
        <v>444</v>
      </c>
      <c r="B425" s="1" t="s">
        <v>470</v>
      </c>
      <c r="C425" s="1" t="s">
        <v>131</v>
      </c>
      <c r="D425" s="1" t="str">
        <f>VLOOKUP(Clients_chun_clean[[#This Row],[Province_Client]],Master_Logs_reseau_registre!B425:F1496,2,0)</f>
        <v>ANT-0239</v>
      </c>
      <c r="E425" s="1" t="s">
        <v>1503</v>
      </c>
      <c r="F425" s="1" t="s">
        <v>1509</v>
      </c>
      <c r="G425" s="1" t="s">
        <v>813</v>
      </c>
      <c r="H425">
        <v>117</v>
      </c>
      <c r="I425">
        <v>9</v>
      </c>
      <c r="J425" s="1" t="s">
        <v>1704</v>
      </c>
      <c r="K425" s="1" t="s">
        <v>11</v>
      </c>
      <c r="L425">
        <v>282</v>
      </c>
      <c r="M425" s="4">
        <v>0.19583333333333333</v>
      </c>
      <c r="N425" s="10">
        <v>95.11</v>
      </c>
      <c r="O425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425" s="10">
        <f>Clients_chun_clean[[#This Row],[Facture_Mensuelle]]*Clients_chun_clean[[#This Row],[Remise]]</f>
        <v>42.799500000000002</v>
      </c>
      <c r="Q425">
        <v>0</v>
      </c>
    </row>
    <row r="426" spans="1:17" x14ac:dyDescent="0.25">
      <c r="A426" s="1" t="s">
        <v>444</v>
      </c>
      <c r="B426" s="1" t="s">
        <v>471</v>
      </c>
      <c r="C426" s="1" t="s">
        <v>62</v>
      </c>
      <c r="D426" s="1" t="str">
        <f>VLOOKUP(Clients_chun_clean[[#This Row],[Province_Client]],Master_Logs_reseau_registre!B426:F1497,2,0)</f>
        <v>ANT-0093</v>
      </c>
      <c r="E426" s="1" t="s">
        <v>1506</v>
      </c>
      <c r="F426" s="1" t="s">
        <v>1507</v>
      </c>
      <c r="G426" s="1" t="s">
        <v>808</v>
      </c>
      <c r="H426">
        <v>78</v>
      </c>
      <c r="I426">
        <v>6</v>
      </c>
      <c r="J426" s="1" t="s">
        <v>1704</v>
      </c>
      <c r="K426" s="1" t="s">
        <v>11</v>
      </c>
      <c r="L426">
        <v>60</v>
      </c>
      <c r="M426" s="4">
        <v>4.1666666666666664E-2</v>
      </c>
      <c r="N426" s="10">
        <v>33.159999999999997</v>
      </c>
      <c r="O426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426" s="10">
        <f>Clients_chun_clean[[#This Row],[Facture_Mensuelle]]*Clients_chun_clean[[#This Row],[Remise]]</f>
        <v>0</v>
      </c>
      <c r="Q426">
        <v>5</v>
      </c>
    </row>
    <row r="427" spans="1:17" x14ac:dyDescent="0.25">
      <c r="A427" s="1" t="s">
        <v>444</v>
      </c>
      <c r="B427" s="1" t="s">
        <v>472</v>
      </c>
      <c r="C427" s="1" t="s">
        <v>67</v>
      </c>
      <c r="D427" s="1" t="str">
        <f>VLOOKUP(Clients_chun_clean[[#This Row],[Province_Client]],Master_Logs_reseau_registre!B427:F1498,2,0)</f>
        <v>ANT-0484</v>
      </c>
      <c r="E427" s="1" t="s">
        <v>1506</v>
      </c>
      <c r="F427" s="1" t="s">
        <v>1507</v>
      </c>
      <c r="G427" s="1" t="s">
        <v>808</v>
      </c>
      <c r="H427">
        <v>13</v>
      </c>
      <c r="I427">
        <v>1</v>
      </c>
      <c r="J427" s="1" t="s">
        <v>1705</v>
      </c>
      <c r="K427" s="1" t="s">
        <v>14</v>
      </c>
      <c r="L427">
        <v>87</v>
      </c>
      <c r="M427" s="4">
        <v>6.0416666666666667E-2</v>
      </c>
      <c r="N427" s="10">
        <v>66.36</v>
      </c>
      <c r="O427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427" s="10">
        <f>Clients_chun_clean[[#This Row],[Facture_Mensuelle]]*Clients_chun_clean[[#This Row],[Remise]]</f>
        <v>6.6360000000000001</v>
      </c>
      <c r="Q427">
        <v>0</v>
      </c>
    </row>
    <row r="428" spans="1:17" x14ac:dyDescent="0.25">
      <c r="A428" s="1" t="s">
        <v>444</v>
      </c>
      <c r="B428" s="1" t="s">
        <v>473</v>
      </c>
      <c r="C428" s="1" t="s">
        <v>33</v>
      </c>
      <c r="D428" s="1" t="str">
        <f>VLOOKUP(Clients_chun_clean[[#This Row],[Province_Client]],Master_Logs_reseau_registre!B428:F1499,2,0)</f>
        <v>ANT-0735</v>
      </c>
      <c r="E428" s="1" t="s">
        <v>1506</v>
      </c>
      <c r="F428" s="1" t="s">
        <v>1507</v>
      </c>
      <c r="G428" s="1" t="s">
        <v>808</v>
      </c>
      <c r="H428">
        <v>56</v>
      </c>
      <c r="I428">
        <v>4</v>
      </c>
      <c r="J428" s="1" t="s">
        <v>1704</v>
      </c>
      <c r="K428" s="1" t="s">
        <v>19</v>
      </c>
      <c r="L428">
        <v>114</v>
      </c>
      <c r="M428" s="4">
        <v>7.9166666666666663E-2</v>
      </c>
      <c r="N428" s="10">
        <v>64.39</v>
      </c>
      <c r="O428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428" s="10">
        <f>Clients_chun_clean[[#This Row],[Facture_Mensuelle]]*Clients_chun_clean[[#This Row],[Remise]]</f>
        <v>0</v>
      </c>
      <c r="Q428">
        <v>1</v>
      </c>
    </row>
    <row r="429" spans="1:17" x14ac:dyDescent="0.25">
      <c r="A429" s="1" t="s">
        <v>444</v>
      </c>
      <c r="B429" s="1" t="s">
        <v>474</v>
      </c>
      <c r="C429" s="1" t="s">
        <v>44</v>
      </c>
      <c r="D429" s="1" t="str">
        <f>VLOOKUP(Clients_chun_clean[[#This Row],[Province_Client]],Master_Logs_reseau_registre!B429:F1500,2,0)</f>
        <v>ANT-0236</v>
      </c>
      <c r="E429" s="1" t="s">
        <v>1508</v>
      </c>
      <c r="F429" s="1" t="s">
        <v>1504</v>
      </c>
      <c r="G429" s="1" t="s">
        <v>811</v>
      </c>
      <c r="H429">
        <v>24</v>
      </c>
      <c r="I429">
        <v>2</v>
      </c>
      <c r="J429" s="1" t="s">
        <v>1705</v>
      </c>
      <c r="K429" s="1" t="s">
        <v>14</v>
      </c>
      <c r="L429">
        <v>23</v>
      </c>
      <c r="M429" s="4">
        <v>1.5972222222222221E-2</v>
      </c>
      <c r="N429" s="10">
        <v>28.55</v>
      </c>
      <c r="O429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429" s="10">
        <f>Clients_chun_clean[[#This Row],[Facture_Mensuelle]]*Clients_chun_clean[[#This Row],[Remise]]</f>
        <v>2.8550000000000004</v>
      </c>
      <c r="Q429">
        <v>1</v>
      </c>
    </row>
    <row r="430" spans="1:17" x14ac:dyDescent="0.25">
      <c r="A430" s="1" t="s">
        <v>444</v>
      </c>
      <c r="B430" s="1" t="s">
        <v>475</v>
      </c>
      <c r="C430" s="1" t="s">
        <v>10</v>
      </c>
      <c r="D430" s="1" t="str">
        <f>VLOOKUP(Clients_chun_clean[[#This Row],[Province_Client]],Master_Logs_reseau_registre!B430:F1501,2,0)</f>
        <v>ANT-0966</v>
      </c>
      <c r="E430" s="1" t="s">
        <v>1508</v>
      </c>
      <c r="F430" s="1" t="s">
        <v>1504</v>
      </c>
      <c r="G430" s="1" t="s">
        <v>811</v>
      </c>
      <c r="H430">
        <v>33</v>
      </c>
      <c r="I430">
        <v>2</v>
      </c>
      <c r="J430" s="1" t="s">
        <v>1704</v>
      </c>
      <c r="K430" s="1" t="s">
        <v>19</v>
      </c>
      <c r="L430">
        <v>273</v>
      </c>
      <c r="M430" s="4">
        <v>0.18958333333333333</v>
      </c>
      <c r="N430" s="10">
        <v>49.8</v>
      </c>
      <c r="O430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430" s="10">
        <f>Clients_chun_clean[[#This Row],[Facture_Mensuelle]]*Clients_chun_clean[[#This Row],[Remise]]</f>
        <v>22.41</v>
      </c>
      <c r="Q430">
        <v>0</v>
      </c>
    </row>
    <row r="431" spans="1:17" x14ac:dyDescent="0.25">
      <c r="A431" s="1" t="s">
        <v>444</v>
      </c>
      <c r="B431" s="1" t="s">
        <v>476</v>
      </c>
      <c r="C431" s="1" t="s">
        <v>64</v>
      </c>
      <c r="D431" s="1" t="str">
        <f>VLOOKUP(Clients_chun_clean[[#This Row],[Province_Client]],Master_Logs_reseau_registre!B431:F1502,2,0)</f>
        <v>ANT-0164</v>
      </c>
      <c r="E431" s="1" t="s">
        <v>1503</v>
      </c>
      <c r="F431" s="1" t="s">
        <v>1509</v>
      </c>
      <c r="G431" s="1" t="s">
        <v>813</v>
      </c>
      <c r="H431">
        <v>63</v>
      </c>
      <c r="I431">
        <v>5</v>
      </c>
      <c r="J431" s="1" t="s">
        <v>1705</v>
      </c>
      <c r="K431" s="1" t="s">
        <v>14</v>
      </c>
      <c r="L431">
        <v>121</v>
      </c>
      <c r="M431" s="4">
        <v>8.4027777777777785E-2</v>
      </c>
      <c r="N431" s="10">
        <v>39.18</v>
      </c>
      <c r="O431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431" s="10">
        <f>Clients_chun_clean[[#This Row],[Facture_Mensuelle]]*Clients_chun_clean[[#This Row],[Remise]]</f>
        <v>3.9180000000000001</v>
      </c>
      <c r="Q431">
        <v>2</v>
      </c>
    </row>
    <row r="432" spans="1:17" x14ac:dyDescent="0.25">
      <c r="A432" s="1" t="s">
        <v>444</v>
      </c>
      <c r="B432" s="1" t="s">
        <v>477</v>
      </c>
      <c r="C432" s="1" t="s">
        <v>31</v>
      </c>
      <c r="D432" s="1" t="str">
        <f>VLOOKUP(Clients_chun_clean[[#This Row],[Province_Client]],Master_Logs_reseau_registre!B432:F1503,2,0)</f>
        <v>ANT-0394</v>
      </c>
      <c r="E432" s="1" t="s">
        <v>1503</v>
      </c>
      <c r="F432" s="1" t="s">
        <v>1509</v>
      </c>
      <c r="G432" s="1" t="s">
        <v>813</v>
      </c>
      <c r="H432">
        <v>47</v>
      </c>
      <c r="I432">
        <v>3</v>
      </c>
      <c r="J432" s="1" t="s">
        <v>1705</v>
      </c>
      <c r="K432" s="1" t="s">
        <v>14</v>
      </c>
      <c r="L432">
        <v>149</v>
      </c>
      <c r="M432" s="4">
        <v>0.10347222222222222</v>
      </c>
      <c r="N432" s="10">
        <v>28.35</v>
      </c>
      <c r="O432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432" s="10">
        <f>Clients_chun_clean[[#This Row],[Facture_Mensuelle]]*Clients_chun_clean[[#This Row],[Remise]]</f>
        <v>2.8350000000000004</v>
      </c>
      <c r="Q432">
        <v>1</v>
      </c>
    </row>
    <row r="433" spans="1:17" x14ac:dyDescent="0.25">
      <c r="A433" s="1" t="s">
        <v>444</v>
      </c>
      <c r="B433" s="1" t="s">
        <v>478</v>
      </c>
      <c r="C433" s="1" t="s">
        <v>33</v>
      </c>
      <c r="D433" s="1" t="str">
        <f>VLOOKUP(Clients_chun_clean[[#This Row],[Province_Client]],Master_Logs_reseau_registre!B433:F1504,2,0)</f>
        <v>ANT-0735</v>
      </c>
      <c r="E433" s="1" t="s">
        <v>1506</v>
      </c>
      <c r="F433" s="1" t="s">
        <v>1507</v>
      </c>
      <c r="G433" s="1" t="s">
        <v>808</v>
      </c>
      <c r="H433">
        <v>43</v>
      </c>
      <c r="I433">
        <v>3</v>
      </c>
      <c r="J433" s="1" t="s">
        <v>1704</v>
      </c>
      <c r="K433" s="1" t="s">
        <v>19</v>
      </c>
      <c r="L433">
        <v>20</v>
      </c>
      <c r="M433" s="4">
        <v>1.3888888888888888E-2</v>
      </c>
      <c r="N433" s="10">
        <v>66.680000000000007</v>
      </c>
      <c r="O433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433" s="10">
        <f>Clients_chun_clean[[#This Row],[Facture_Mensuelle]]*Clients_chun_clean[[#This Row],[Remise]]</f>
        <v>0</v>
      </c>
      <c r="Q433">
        <v>5</v>
      </c>
    </row>
    <row r="434" spans="1:17" x14ac:dyDescent="0.25">
      <c r="A434" s="1" t="s">
        <v>444</v>
      </c>
      <c r="B434" s="1" t="s">
        <v>479</v>
      </c>
      <c r="C434" s="1" t="s">
        <v>40</v>
      </c>
      <c r="D434" s="1" t="str">
        <f>VLOOKUP(Clients_chun_clean[[#This Row],[Province_Client]],Master_Logs_reseau_registre!B434:F1505,2,0)</f>
        <v>ANT-0183</v>
      </c>
      <c r="E434" s="1" t="s">
        <v>1503</v>
      </c>
      <c r="F434" s="1" t="s">
        <v>1509</v>
      </c>
      <c r="G434" s="1" t="s">
        <v>813</v>
      </c>
      <c r="H434">
        <v>39</v>
      </c>
      <c r="I434">
        <v>3</v>
      </c>
      <c r="J434" s="1" t="s">
        <v>1704</v>
      </c>
      <c r="K434" s="1" t="s">
        <v>22</v>
      </c>
      <c r="L434">
        <v>327</v>
      </c>
      <c r="M434" s="4">
        <v>0.22708333333333333</v>
      </c>
      <c r="N434" s="10">
        <v>87.24</v>
      </c>
      <c r="O434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434" s="10">
        <f>Clients_chun_clean[[#This Row],[Facture_Mensuelle]]*Clients_chun_clean[[#This Row],[Remise]]</f>
        <v>39.257999999999996</v>
      </c>
      <c r="Q434">
        <v>4</v>
      </c>
    </row>
    <row r="435" spans="1:17" x14ac:dyDescent="0.25">
      <c r="A435" s="1" t="s">
        <v>444</v>
      </c>
      <c r="B435" s="1" t="s">
        <v>480</v>
      </c>
      <c r="C435" s="1" t="s">
        <v>62</v>
      </c>
      <c r="D435" s="1" t="str">
        <f>VLOOKUP(Clients_chun_clean[[#This Row],[Province_Client]],Master_Logs_reseau_registre!B435:F1506,2,0)</f>
        <v>ANT-0093</v>
      </c>
      <c r="E435" s="1" t="s">
        <v>1506</v>
      </c>
      <c r="F435" s="1" t="s">
        <v>1507</v>
      </c>
      <c r="G435" s="1" t="s">
        <v>808</v>
      </c>
      <c r="H435">
        <v>15</v>
      </c>
      <c r="I435">
        <v>1</v>
      </c>
      <c r="J435" s="1" t="s">
        <v>1704</v>
      </c>
      <c r="K435" s="1" t="s">
        <v>11</v>
      </c>
      <c r="L435">
        <v>75</v>
      </c>
      <c r="M435" s="4">
        <v>5.2083333333333336E-2</v>
      </c>
      <c r="N435" s="10">
        <v>45.59</v>
      </c>
      <c r="O435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435" s="10">
        <f>Clients_chun_clean[[#This Row],[Facture_Mensuelle]]*Clients_chun_clean[[#This Row],[Remise]]</f>
        <v>20.515500000000003</v>
      </c>
      <c r="Q435">
        <v>0</v>
      </c>
    </row>
    <row r="436" spans="1:17" x14ac:dyDescent="0.25">
      <c r="A436" s="1" t="s">
        <v>444</v>
      </c>
      <c r="B436" s="1" t="s">
        <v>481</v>
      </c>
      <c r="C436" s="1" t="s">
        <v>131</v>
      </c>
      <c r="D436" s="1" t="str">
        <f>VLOOKUP(Clients_chun_clean[[#This Row],[Province_Client]],Master_Logs_reseau_registre!B436:F1507,2,0)</f>
        <v>ANT-0239</v>
      </c>
      <c r="E436" s="1" t="s">
        <v>1503</v>
      </c>
      <c r="F436" s="1" t="s">
        <v>1509</v>
      </c>
      <c r="G436" s="1" t="s">
        <v>813</v>
      </c>
      <c r="H436">
        <v>13</v>
      </c>
      <c r="I436">
        <v>1</v>
      </c>
      <c r="J436" s="1" t="s">
        <v>1704</v>
      </c>
      <c r="K436" s="1" t="s">
        <v>22</v>
      </c>
      <c r="L436">
        <v>482</v>
      </c>
      <c r="M436" s="4">
        <v>0.3347222222222222</v>
      </c>
      <c r="N436" s="10">
        <v>50.15</v>
      </c>
      <c r="O436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436" s="10">
        <f>Clients_chun_clean[[#This Row],[Facture_Mensuelle]]*Clients_chun_clean[[#This Row],[Remise]]</f>
        <v>22.567499999999999</v>
      </c>
      <c r="Q436">
        <v>0</v>
      </c>
    </row>
    <row r="437" spans="1:17" x14ac:dyDescent="0.25">
      <c r="A437" s="1" t="s">
        <v>444</v>
      </c>
      <c r="B437" s="1" t="s">
        <v>482</v>
      </c>
      <c r="C437" s="1" t="s">
        <v>10</v>
      </c>
      <c r="D437" s="1" t="str">
        <f>VLOOKUP(Clients_chun_clean[[#This Row],[Province_Client]],Master_Logs_reseau_registre!B437:F1508,2,0)</f>
        <v>ANT-0966</v>
      </c>
      <c r="E437" s="1" t="s">
        <v>1508</v>
      </c>
      <c r="F437" s="1" t="s">
        <v>1504</v>
      </c>
      <c r="G437" s="1" t="s">
        <v>811</v>
      </c>
      <c r="H437">
        <v>86</v>
      </c>
      <c r="I437">
        <v>7</v>
      </c>
      <c r="J437" s="1" t="s">
        <v>1704</v>
      </c>
      <c r="K437" s="1" t="s">
        <v>11</v>
      </c>
      <c r="L437">
        <v>452</v>
      </c>
      <c r="M437" s="4">
        <v>0.31388888888888888</v>
      </c>
      <c r="N437" s="10">
        <v>75.680000000000007</v>
      </c>
      <c r="O437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437" s="10">
        <f>Clients_chun_clean[[#This Row],[Facture_Mensuelle]]*Clients_chun_clean[[#This Row],[Remise]]</f>
        <v>34.056000000000004</v>
      </c>
      <c r="Q437">
        <v>0</v>
      </c>
    </row>
    <row r="438" spans="1:17" x14ac:dyDescent="0.25">
      <c r="A438" s="1" t="s">
        <v>444</v>
      </c>
      <c r="B438" s="1" t="s">
        <v>483</v>
      </c>
      <c r="C438" s="1" t="s">
        <v>73</v>
      </c>
      <c r="D438" s="1" t="str">
        <f>VLOOKUP(Clients_chun_clean[[#This Row],[Province_Client]],Master_Logs_reseau_registre!B438:F1509,2,0)</f>
        <v>ANT-0631</v>
      </c>
      <c r="E438" s="1" t="s">
        <v>1508</v>
      </c>
      <c r="F438" s="1" t="s">
        <v>1504</v>
      </c>
      <c r="G438" s="1" t="s">
        <v>808</v>
      </c>
      <c r="H438">
        <v>2</v>
      </c>
      <c r="I438">
        <v>0</v>
      </c>
      <c r="J438" s="1" t="s">
        <v>1704</v>
      </c>
      <c r="K438" s="1" t="s">
        <v>19</v>
      </c>
      <c r="L438">
        <v>142</v>
      </c>
      <c r="M438" s="4">
        <v>9.8611111111111108E-2</v>
      </c>
      <c r="N438" s="10">
        <v>49.05</v>
      </c>
      <c r="O438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438" s="10">
        <f>Clients_chun_clean[[#This Row],[Facture_Mensuelle]]*Clients_chun_clean[[#This Row],[Remise]]</f>
        <v>0</v>
      </c>
      <c r="Q438">
        <v>4</v>
      </c>
    </row>
    <row r="439" spans="1:17" x14ac:dyDescent="0.25">
      <c r="A439" s="1" t="s">
        <v>444</v>
      </c>
      <c r="B439" s="1" t="s">
        <v>484</v>
      </c>
      <c r="C439" s="1" t="s">
        <v>35</v>
      </c>
      <c r="D439" s="1" t="str">
        <f>VLOOKUP(Clients_chun_clean[[#This Row],[Province_Client]],Master_Logs_reseau_registre!B439:F1510,2,0)</f>
        <v>ANT-0255</v>
      </c>
      <c r="E439" s="1" t="s">
        <v>1503</v>
      </c>
      <c r="F439" s="1" t="s">
        <v>1509</v>
      </c>
      <c r="G439" s="1" t="s">
        <v>813</v>
      </c>
      <c r="H439">
        <v>88</v>
      </c>
      <c r="I439">
        <v>7</v>
      </c>
      <c r="J439" s="1" t="s">
        <v>1704</v>
      </c>
      <c r="K439" s="1" t="s">
        <v>19</v>
      </c>
      <c r="L439">
        <v>474</v>
      </c>
      <c r="M439" s="4">
        <v>0.32916666666666666</v>
      </c>
      <c r="N439" s="10">
        <v>23.35</v>
      </c>
      <c r="O439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439" s="10">
        <f>Clients_chun_clean[[#This Row],[Facture_Mensuelle]]*Clients_chun_clean[[#This Row],[Remise]]</f>
        <v>10.5075</v>
      </c>
      <c r="Q439">
        <v>5</v>
      </c>
    </row>
    <row r="440" spans="1:17" x14ac:dyDescent="0.25">
      <c r="A440" s="1" t="s">
        <v>444</v>
      </c>
      <c r="B440" s="1" t="s">
        <v>485</v>
      </c>
      <c r="C440" s="1" t="s">
        <v>37</v>
      </c>
      <c r="D440" s="1" t="str">
        <f>VLOOKUP(Clients_chun_clean[[#This Row],[Province_Client]],Master_Logs_reseau_registre!B440:F1511,2,0)</f>
        <v>ANT-0900</v>
      </c>
      <c r="E440" s="1" t="s">
        <v>1506</v>
      </c>
      <c r="F440" s="1" t="s">
        <v>1507</v>
      </c>
      <c r="G440" s="1" t="s">
        <v>808</v>
      </c>
      <c r="H440">
        <v>71</v>
      </c>
      <c r="I440">
        <v>5</v>
      </c>
      <c r="J440" s="1" t="s">
        <v>1704</v>
      </c>
      <c r="K440" s="1" t="s">
        <v>22</v>
      </c>
      <c r="L440">
        <v>68</v>
      </c>
      <c r="M440" s="4">
        <v>4.7222222222222221E-2</v>
      </c>
      <c r="N440" s="10">
        <v>53.11</v>
      </c>
      <c r="O440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440" s="10">
        <f>Clients_chun_clean[[#This Row],[Facture_Mensuelle]]*Clients_chun_clean[[#This Row],[Remise]]</f>
        <v>0</v>
      </c>
      <c r="Q440">
        <v>2</v>
      </c>
    </row>
    <row r="441" spans="1:17" x14ac:dyDescent="0.25">
      <c r="A441" s="1" t="s">
        <v>444</v>
      </c>
      <c r="B441" s="1" t="s">
        <v>486</v>
      </c>
      <c r="C441" s="1" t="s">
        <v>16</v>
      </c>
      <c r="D441" s="1" t="str">
        <f>VLOOKUP(Clients_chun_clean[[#This Row],[Province_Client]],Master_Logs_reseau_registre!B441:F1512,2,0)</f>
        <v>ANT-0054</v>
      </c>
      <c r="E441" s="1" t="s">
        <v>1508</v>
      </c>
      <c r="F441" s="1" t="s">
        <v>1504</v>
      </c>
      <c r="G441" s="1" t="s">
        <v>808</v>
      </c>
      <c r="H441">
        <v>99</v>
      </c>
      <c r="I441">
        <v>8</v>
      </c>
      <c r="J441" s="1" t="s">
        <v>1705</v>
      </c>
      <c r="K441" s="1" t="s">
        <v>14</v>
      </c>
      <c r="L441">
        <v>138</v>
      </c>
      <c r="M441" s="4">
        <v>9.583333333333334E-2</v>
      </c>
      <c r="N441" s="10">
        <v>54.64</v>
      </c>
      <c r="O441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441" s="10">
        <f>Clients_chun_clean[[#This Row],[Facture_Mensuelle]]*Clients_chun_clean[[#This Row],[Remise]]</f>
        <v>5.4640000000000004</v>
      </c>
      <c r="Q441">
        <v>5</v>
      </c>
    </row>
    <row r="442" spans="1:17" x14ac:dyDescent="0.25">
      <c r="A442" s="1" t="s">
        <v>444</v>
      </c>
      <c r="B442" s="1" t="s">
        <v>487</v>
      </c>
      <c r="C442" s="1" t="s">
        <v>57</v>
      </c>
      <c r="D442" s="1" t="str">
        <f>VLOOKUP(Clients_chun_clean[[#This Row],[Province_Client]],Master_Logs_reseau_registre!B442:F1513,2,0)</f>
        <v>ANT-0592</v>
      </c>
      <c r="E442" s="1" t="s">
        <v>1503</v>
      </c>
      <c r="F442" s="1" t="s">
        <v>1509</v>
      </c>
      <c r="G442" s="1" t="s">
        <v>813</v>
      </c>
      <c r="H442">
        <v>111</v>
      </c>
      <c r="I442">
        <v>9</v>
      </c>
      <c r="J442" s="1" t="s">
        <v>1705</v>
      </c>
      <c r="K442" s="1" t="s">
        <v>14</v>
      </c>
      <c r="L442">
        <v>447</v>
      </c>
      <c r="M442" s="4">
        <v>0.31041666666666667</v>
      </c>
      <c r="N442" s="10">
        <v>51.35</v>
      </c>
      <c r="O442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442" s="10">
        <f>Clients_chun_clean[[#This Row],[Facture_Mensuelle]]*Clients_chun_clean[[#This Row],[Remise]]</f>
        <v>23.107500000000002</v>
      </c>
      <c r="Q442">
        <v>0</v>
      </c>
    </row>
    <row r="443" spans="1:17" x14ac:dyDescent="0.25">
      <c r="A443" s="1" t="s">
        <v>444</v>
      </c>
      <c r="B443" s="1" t="s">
        <v>488</v>
      </c>
      <c r="C443" s="1" t="s">
        <v>57</v>
      </c>
      <c r="D443" s="1" t="str">
        <f>VLOOKUP(Clients_chun_clean[[#This Row],[Province_Client]],Master_Logs_reseau_registre!B443:F1514,2,0)</f>
        <v>ANT-0592</v>
      </c>
      <c r="E443" s="1" t="s">
        <v>1503</v>
      </c>
      <c r="F443" s="1" t="s">
        <v>1509</v>
      </c>
      <c r="G443" s="1" t="s">
        <v>813</v>
      </c>
      <c r="H443">
        <v>17</v>
      </c>
      <c r="I443">
        <v>1</v>
      </c>
      <c r="J443" s="1" t="s">
        <v>1704</v>
      </c>
      <c r="K443" s="1" t="s">
        <v>19</v>
      </c>
      <c r="L443">
        <v>404</v>
      </c>
      <c r="M443" s="4">
        <v>0.28055555555555556</v>
      </c>
      <c r="N443" s="10">
        <v>83.4</v>
      </c>
      <c r="O443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443" s="10">
        <f>Clients_chun_clean[[#This Row],[Facture_Mensuelle]]*Clients_chun_clean[[#This Row],[Remise]]</f>
        <v>37.53</v>
      </c>
      <c r="Q443">
        <v>1</v>
      </c>
    </row>
    <row r="444" spans="1:17" x14ac:dyDescent="0.25">
      <c r="A444" s="1" t="s">
        <v>444</v>
      </c>
      <c r="B444" s="1" t="s">
        <v>489</v>
      </c>
      <c r="C444" s="1" t="s">
        <v>78</v>
      </c>
      <c r="D444" s="1" t="str">
        <f>VLOOKUP(Clients_chun_clean[[#This Row],[Province_Client]],Master_Logs_reseau_registre!B444:F1515,2,0)</f>
        <v>ANT-0986</v>
      </c>
      <c r="E444" s="1" t="s">
        <v>1506</v>
      </c>
      <c r="F444" s="1" t="s">
        <v>1507</v>
      </c>
      <c r="G444" s="1" t="s">
        <v>808</v>
      </c>
      <c r="H444">
        <v>43</v>
      </c>
      <c r="I444">
        <v>3</v>
      </c>
      <c r="J444" s="1" t="s">
        <v>1704</v>
      </c>
      <c r="K444" s="1" t="s">
        <v>22</v>
      </c>
      <c r="L444">
        <v>26</v>
      </c>
      <c r="M444" s="4">
        <v>1.8055555555555554E-2</v>
      </c>
      <c r="N444" s="10">
        <v>25.85</v>
      </c>
      <c r="O444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444" s="10">
        <f>Clients_chun_clean[[#This Row],[Facture_Mensuelle]]*Clients_chun_clean[[#This Row],[Remise]]</f>
        <v>0</v>
      </c>
      <c r="Q444">
        <v>1</v>
      </c>
    </row>
    <row r="445" spans="1:17" x14ac:dyDescent="0.25">
      <c r="A445" s="1" t="s">
        <v>444</v>
      </c>
      <c r="B445" s="1" t="s">
        <v>490</v>
      </c>
      <c r="C445" s="1" t="s">
        <v>10</v>
      </c>
      <c r="D445" s="1" t="str">
        <f>VLOOKUP(Clients_chun_clean[[#This Row],[Province_Client]],Master_Logs_reseau_registre!B445:F1516,2,0)</f>
        <v>ANT-0966</v>
      </c>
      <c r="E445" s="1" t="s">
        <v>1508</v>
      </c>
      <c r="F445" s="1" t="s">
        <v>1504</v>
      </c>
      <c r="G445" s="1" t="s">
        <v>811</v>
      </c>
      <c r="H445">
        <v>47</v>
      </c>
      <c r="I445">
        <v>3</v>
      </c>
      <c r="J445" s="1" t="s">
        <v>1705</v>
      </c>
      <c r="K445" s="1" t="s">
        <v>14</v>
      </c>
      <c r="L445">
        <v>328</v>
      </c>
      <c r="M445" s="4">
        <v>0.22777777777777777</v>
      </c>
      <c r="N445" s="10">
        <v>61.27</v>
      </c>
      <c r="O445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445" s="10">
        <f>Clients_chun_clean[[#This Row],[Facture_Mensuelle]]*Clients_chun_clean[[#This Row],[Remise]]</f>
        <v>27.5715</v>
      </c>
      <c r="Q445">
        <v>3</v>
      </c>
    </row>
    <row r="446" spans="1:17" x14ac:dyDescent="0.25">
      <c r="A446" s="1" t="s">
        <v>444</v>
      </c>
      <c r="B446" s="1" t="s">
        <v>491</v>
      </c>
      <c r="C446" s="1" t="s">
        <v>26</v>
      </c>
      <c r="D446" s="1" t="str">
        <f>VLOOKUP(Clients_chun_clean[[#This Row],[Province_Client]],Master_Logs_reseau_registre!B446:F1517,2,0)</f>
        <v>ANT-0339</v>
      </c>
      <c r="E446" s="1" t="s">
        <v>1503</v>
      </c>
      <c r="F446" s="1" t="s">
        <v>1509</v>
      </c>
      <c r="G446" s="1" t="s">
        <v>813</v>
      </c>
      <c r="H446">
        <v>95</v>
      </c>
      <c r="I446">
        <v>7</v>
      </c>
      <c r="J446" s="1" t="s">
        <v>1705</v>
      </c>
      <c r="K446" s="1" t="s">
        <v>14</v>
      </c>
      <c r="L446">
        <v>127</v>
      </c>
      <c r="M446" s="4">
        <v>8.819444444444445E-2</v>
      </c>
      <c r="N446" s="10">
        <v>94.9</v>
      </c>
      <c r="O446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446" s="10">
        <f>Clients_chun_clean[[#This Row],[Facture_Mensuelle]]*Clients_chun_clean[[#This Row],[Remise]]</f>
        <v>9.49</v>
      </c>
      <c r="Q446">
        <v>4</v>
      </c>
    </row>
    <row r="447" spans="1:17" x14ac:dyDescent="0.25">
      <c r="A447" s="1" t="s">
        <v>444</v>
      </c>
      <c r="B447" s="1" t="s">
        <v>492</v>
      </c>
      <c r="C447" s="1" t="s">
        <v>62</v>
      </c>
      <c r="D447" s="1" t="str">
        <f>VLOOKUP(Clients_chun_clean[[#This Row],[Province_Client]],Master_Logs_reseau_registre!B447:F1518,2,0)</f>
        <v>ANT-0093</v>
      </c>
      <c r="E447" s="1" t="s">
        <v>1506</v>
      </c>
      <c r="F447" s="1" t="s">
        <v>1516</v>
      </c>
      <c r="G447" s="1" t="s">
        <v>808</v>
      </c>
      <c r="H447">
        <v>104</v>
      </c>
      <c r="I447">
        <v>8</v>
      </c>
      <c r="J447" s="1" t="s">
        <v>1705</v>
      </c>
      <c r="K447" s="1" t="s">
        <v>14</v>
      </c>
      <c r="L447">
        <v>421</v>
      </c>
      <c r="M447" s="4">
        <v>0.29236111111111113</v>
      </c>
      <c r="N447" s="10">
        <v>26.24</v>
      </c>
      <c r="O447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447" s="10">
        <f>Clients_chun_clean[[#This Row],[Facture_Mensuelle]]*Clients_chun_clean[[#This Row],[Remise]]</f>
        <v>11.808</v>
      </c>
      <c r="Q447">
        <v>3</v>
      </c>
    </row>
    <row r="448" spans="1:17" x14ac:dyDescent="0.25">
      <c r="A448" s="1" t="s">
        <v>444</v>
      </c>
      <c r="B448" s="1" t="s">
        <v>493</v>
      </c>
      <c r="C448" s="1" t="s">
        <v>73</v>
      </c>
      <c r="D448" s="1" t="str">
        <f>VLOOKUP(Clients_chun_clean[[#This Row],[Province_Client]],Master_Logs_reseau_registre!B448:F1519,2,0)</f>
        <v>ANT-0007</v>
      </c>
      <c r="E448" s="1" t="s">
        <v>1503</v>
      </c>
      <c r="F448" s="1" t="s">
        <v>1516</v>
      </c>
      <c r="G448" s="1" t="s">
        <v>808</v>
      </c>
      <c r="H448">
        <v>47</v>
      </c>
      <c r="I448">
        <v>3</v>
      </c>
      <c r="J448" s="1" t="s">
        <v>1705</v>
      </c>
      <c r="K448" s="1" t="s">
        <v>14</v>
      </c>
      <c r="L448">
        <v>107</v>
      </c>
      <c r="M448" s="4">
        <v>7.4305555555555555E-2</v>
      </c>
      <c r="N448" s="10">
        <v>35.380000000000003</v>
      </c>
      <c r="O448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448" s="10">
        <f>Clients_chun_clean[[#This Row],[Facture_Mensuelle]]*Clients_chun_clean[[#This Row],[Remise]]</f>
        <v>3.5380000000000003</v>
      </c>
      <c r="Q448">
        <v>1</v>
      </c>
    </row>
    <row r="449" spans="1:17" x14ac:dyDescent="0.25">
      <c r="A449" s="1" t="s">
        <v>444</v>
      </c>
      <c r="B449" s="1" t="s">
        <v>494</v>
      </c>
      <c r="C449" s="1" t="s">
        <v>10</v>
      </c>
      <c r="D449" s="1" t="str">
        <f>VLOOKUP(Clients_chun_clean[[#This Row],[Province_Client]],Master_Logs_reseau_registre!B449:F1520,2,0)</f>
        <v>ANT-0966</v>
      </c>
      <c r="E449" s="1" t="s">
        <v>1508</v>
      </c>
      <c r="F449" s="1" t="s">
        <v>1504</v>
      </c>
      <c r="G449" s="1" t="s">
        <v>811</v>
      </c>
      <c r="H449">
        <v>96</v>
      </c>
      <c r="I449">
        <v>8</v>
      </c>
      <c r="J449" s="1" t="s">
        <v>1704</v>
      </c>
      <c r="K449" s="1" t="s">
        <v>11</v>
      </c>
      <c r="L449">
        <v>273</v>
      </c>
      <c r="M449" s="4">
        <v>0.18958333333333333</v>
      </c>
      <c r="N449" s="10">
        <v>37.909999999999997</v>
      </c>
      <c r="O449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449" s="10">
        <f>Clients_chun_clean[[#This Row],[Facture_Mensuelle]]*Clients_chun_clean[[#This Row],[Remise]]</f>
        <v>17.0595</v>
      </c>
      <c r="Q449">
        <v>2</v>
      </c>
    </row>
    <row r="450" spans="1:17" x14ac:dyDescent="0.25">
      <c r="A450" s="1" t="s">
        <v>495</v>
      </c>
      <c r="B450" s="1" t="s">
        <v>496</v>
      </c>
      <c r="C450" s="1" t="s">
        <v>60</v>
      </c>
      <c r="D450" s="1" t="str">
        <f>VLOOKUP(Clients_chun_clean[[#This Row],[Province_Client]],Master_Logs_reseau_registre!B450:F1521,2,0)</f>
        <v>ANT-0103</v>
      </c>
      <c r="E450" s="1" t="s">
        <v>1503</v>
      </c>
      <c r="F450" s="1" t="s">
        <v>1516</v>
      </c>
      <c r="G450" s="1" t="s">
        <v>808</v>
      </c>
      <c r="H450">
        <v>43</v>
      </c>
      <c r="I450">
        <v>3</v>
      </c>
      <c r="J450" s="1" t="s">
        <v>1704</v>
      </c>
      <c r="K450" s="1" t="s">
        <v>11</v>
      </c>
      <c r="L450">
        <v>193</v>
      </c>
      <c r="M450" s="4">
        <v>0.13402777777777777</v>
      </c>
      <c r="N450" s="10">
        <v>35.81</v>
      </c>
      <c r="O450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450" s="10">
        <f>Clients_chun_clean[[#This Row],[Facture_Mensuelle]]*Clients_chun_clean[[#This Row],[Remise]]</f>
        <v>16.114500000000003</v>
      </c>
      <c r="Q450">
        <v>0</v>
      </c>
    </row>
    <row r="451" spans="1:17" x14ac:dyDescent="0.25">
      <c r="A451" s="1" t="s">
        <v>495</v>
      </c>
      <c r="B451" s="1" t="s">
        <v>497</v>
      </c>
      <c r="C451" s="1" t="s">
        <v>37</v>
      </c>
      <c r="D451" s="1" t="str">
        <f>VLOOKUP(Clients_chun_clean[[#This Row],[Province_Client]],Master_Logs_reseau_registre!B451:F1522,2,0)</f>
        <v>ANT-0900</v>
      </c>
      <c r="E451" s="1" t="s">
        <v>1506</v>
      </c>
      <c r="F451" s="1" t="s">
        <v>1504</v>
      </c>
      <c r="G451" s="1" t="s">
        <v>811</v>
      </c>
      <c r="H451">
        <v>77</v>
      </c>
      <c r="I451">
        <v>6</v>
      </c>
      <c r="J451" s="1" t="s">
        <v>1704</v>
      </c>
      <c r="K451" s="1" t="s">
        <v>22</v>
      </c>
      <c r="L451">
        <v>375</v>
      </c>
      <c r="M451" s="4">
        <v>0.26041666666666669</v>
      </c>
      <c r="N451" s="10">
        <v>24.03</v>
      </c>
      <c r="O451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451" s="10">
        <f>Clients_chun_clean[[#This Row],[Facture_Mensuelle]]*Clients_chun_clean[[#This Row],[Remise]]</f>
        <v>10.813500000000001</v>
      </c>
      <c r="Q451">
        <v>1</v>
      </c>
    </row>
    <row r="452" spans="1:17" x14ac:dyDescent="0.25">
      <c r="A452" s="1" t="s">
        <v>495</v>
      </c>
      <c r="B452" s="1" t="s">
        <v>498</v>
      </c>
      <c r="C452" s="1" t="s">
        <v>67</v>
      </c>
      <c r="D452" s="1" t="str">
        <f>VLOOKUP(Clients_chun_clean[[#This Row],[Province_Client]],Master_Logs_reseau_registre!B452:F1523,2,0)</f>
        <v>ANT-0484</v>
      </c>
      <c r="E452" s="1" t="s">
        <v>1506</v>
      </c>
      <c r="F452" s="1" t="s">
        <v>1504</v>
      </c>
      <c r="G452" s="1" t="s">
        <v>811</v>
      </c>
      <c r="H452">
        <v>24</v>
      </c>
      <c r="I452">
        <v>2</v>
      </c>
      <c r="J452" s="1" t="s">
        <v>1704</v>
      </c>
      <c r="K452" s="1" t="s">
        <v>19</v>
      </c>
      <c r="L452">
        <v>13</v>
      </c>
      <c r="M452" s="4">
        <v>9.0277777777777769E-3</v>
      </c>
      <c r="N452" s="10">
        <v>89.3</v>
      </c>
      <c r="O452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452" s="10">
        <f>Clients_chun_clean[[#This Row],[Facture_Mensuelle]]*Clients_chun_clean[[#This Row],[Remise]]</f>
        <v>0</v>
      </c>
      <c r="Q452">
        <v>2</v>
      </c>
    </row>
    <row r="453" spans="1:17" x14ac:dyDescent="0.25">
      <c r="A453" s="1" t="s">
        <v>495</v>
      </c>
      <c r="B453" s="1" t="s">
        <v>499</v>
      </c>
      <c r="C453" s="1" t="s">
        <v>16</v>
      </c>
      <c r="D453" s="1" t="str">
        <f>VLOOKUP(Clients_chun_clean[[#This Row],[Province_Client]],Master_Logs_reseau_registre!B453:F1524,2,0)</f>
        <v>ANT-0054</v>
      </c>
      <c r="E453" s="1" t="s">
        <v>1508</v>
      </c>
      <c r="F453" s="1" t="s">
        <v>1504</v>
      </c>
      <c r="G453" s="1" t="s">
        <v>811</v>
      </c>
      <c r="H453">
        <v>87</v>
      </c>
      <c r="I453">
        <v>7</v>
      </c>
      <c r="J453" s="1" t="s">
        <v>1704</v>
      </c>
      <c r="K453" s="1" t="s">
        <v>11</v>
      </c>
      <c r="L453">
        <v>356</v>
      </c>
      <c r="M453" s="4">
        <v>0.24722222222222223</v>
      </c>
      <c r="N453" s="10">
        <v>12.89</v>
      </c>
      <c r="O453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453" s="10">
        <f>Clients_chun_clean[[#This Row],[Facture_Mensuelle]]*Clients_chun_clean[[#This Row],[Remise]]</f>
        <v>5.8005000000000004</v>
      </c>
      <c r="Q453">
        <v>0</v>
      </c>
    </row>
    <row r="454" spans="1:17" x14ac:dyDescent="0.25">
      <c r="A454" s="1" t="s">
        <v>495</v>
      </c>
      <c r="B454" s="1" t="s">
        <v>500</v>
      </c>
      <c r="C454" s="1" t="s">
        <v>60</v>
      </c>
      <c r="D454" s="1" t="str">
        <f>VLOOKUP(Clients_chun_clean[[#This Row],[Province_Client]],Master_Logs_reseau_registre!B454:F1525,2,0)</f>
        <v>ANT-0103</v>
      </c>
      <c r="E454" s="1" t="s">
        <v>1503</v>
      </c>
      <c r="F454" s="1" t="s">
        <v>1509</v>
      </c>
      <c r="G454" s="1" t="s">
        <v>813</v>
      </c>
      <c r="H454">
        <v>55</v>
      </c>
      <c r="I454">
        <v>4</v>
      </c>
      <c r="J454" s="1" t="s">
        <v>1704</v>
      </c>
      <c r="K454" s="1" t="s">
        <v>22</v>
      </c>
      <c r="L454">
        <v>494</v>
      </c>
      <c r="M454" s="4">
        <v>0.34305555555555556</v>
      </c>
      <c r="N454" s="10">
        <v>77.599999999999994</v>
      </c>
      <c r="O454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454" s="10">
        <f>Clients_chun_clean[[#This Row],[Facture_Mensuelle]]*Clients_chun_clean[[#This Row],[Remise]]</f>
        <v>34.92</v>
      </c>
      <c r="Q454">
        <v>4</v>
      </c>
    </row>
    <row r="455" spans="1:17" x14ac:dyDescent="0.25">
      <c r="A455" s="1" t="s">
        <v>495</v>
      </c>
      <c r="B455" s="1" t="s">
        <v>501</v>
      </c>
      <c r="C455" s="1" t="s">
        <v>51</v>
      </c>
      <c r="D455" s="1" t="str">
        <f>VLOOKUP(Clients_chun_clean[[#This Row],[Province_Client]],Master_Logs_reseau_registre!B455:F1526,2,0)</f>
        <v>ANT-0952</v>
      </c>
      <c r="E455" s="1" t="s">
        <v>1506</v>
      </c>
      <c r="F455" s="1" t="s">
        <v>1504</v>
      </c>
      <c r="G455" s="1" t="s">
        <v>811</v>
      </c>
      <c r="H455">
        <v>20</v>
      </c>
      <c r="I455">
        <v>1</v>
      </c>
      <c r="J455" s="1" t="s">
        <v>1704</v>
      </c>
      <c r="K455" s="1" t="s">
        <v>22</v>
      </c>
      <c r="L455">
        <v>217</v>
      </c>
      <c r="M455" s="4">
        <v>0.15069444444444444</v>
      </c>
      <c r="N455" s="10">
        <v>55.3</v>
      </c>
      <c r="O455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455" s="10">
        <f>Clients_chun_clean[[#This Row],[Facture_Mensuelle]]*Clients_chun_clean[[#This Row],[Remise]]</f>
        <v>0</v>
      </c>
      <c r="Q455">
        <v>4</v>
      </c>
    </row>
    <row r="456" spans="1:17" x14ac:dyDescent="0.25">
      <c r="A456" s="1" t="s">
        <v>495</v>
      </c>
      <c r="B456" s="1" t="s">
        <v>502</v>
      </c>
      <c r="C456" s="1" t="s">
        <v>64</v>
      </c>
      <c r="D456" s="1" t="str">
        <f>VLOOKUP(Clients_chun_clean[[#This Row],[Province_Client]],Master_Logs_reseau_registre!B456:F1527,2,0)</f>
        <v>ANT-0164</v>
      </c>
      <c r="E456" s="1" t="s">
        <v>1503</v>
      </c>
      <c r="F456" s="1" t="s">
        <v>1509</v>
      </c>
      <c r="G456" s="1" t="s">
        <v>813</v>
      </c>
      <c r="H456">
        <v>115</v>
      </c>
      <c r="I456">
        <v>9</v>
      </c>
      <c r="J456" s="1" t="s">
        <v>1705</v>
      </c>
      <c r="K456" s="1" t="s">
        <v>14</v>
      </c>
      <c r="L456">
        <v>190</v>
      </c>
      <c r="M456" s="4">
        <v>0.13194444444444445</v>
      </c>
      <c r="N456" s="10">
        <v>10.98</v>
      </c>
      <c r="O456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456" s="10">
        <f>Clients_chun_clean[[#This Row],[Facture_Mensuelle]]*Clients_chun_clean[[#This Row],[Remise]]</f>
        <v>1.0980000000000001</v>
      </c>
      <c r="Q456">
        <v>0</v>
      </c>
    </row>
    <row r="457" spans="1:17" x14ac:dyDescent="0.25">
      <c r="A457" s="1" t="s">
        <v>495</v>
      </c>
      <c r="B457" s="1" t="s">
        <v>503</v>
      </c>
      <c r="C457" s="1" t="s">
        <v>62</v>
      </c>
      <c r="D457" s="1" t="str">
        <f>VLOOKUP(Clients_chun_clean[[#This Row],[Province_Client]],Master_Logs_reseau_registre!B457:F1528,2,0)</f>
        <v>ANT-0093</v>
      </c>
      <c r="E457" s="1" t="s">
        <v>1506</v>
      </c>
      <c r="F457" s="1" t="s">
        <v>1504</v>
      </c>
      <c r="G457" s="1" t="s">
        <v>811</v>
      </c>
      <c r="H457">
        <v>86</v>
      </c>
      <c r="I457">
        <v>7</v>
      </c>
      <c r="J457" s="1" t="s">
        <v>1704</v>
      </c>
      <c r="K457" s="1" t="s">
        <v>11</v>
      </c>
      <c r="L457">
        <v>27</v>
      </c>
      <c r="M457" s="4">
        <v>1.8749999999999999E-2</v>
      </c>
      <c r="N457" s="10">
        <v>84.94</v>
      </c>
      <c r="O457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457" s="10">
        <f>Clients_chun_clean[[#This Row],[Facture_Mensuelle]]*Clients_chun_clean[[#This Row],[Remise]]</f>
        <v>0</v>
      </c>
      <c r="Q457">
        <v>4</v>
      </c>
    </row>
    <row r="458" spans="1:17" x14ac:dyDescent="0.25">
      <c r="A458" s="1" t="s">
        <v>495</v>
      </c>
      <c r="B458" s="1" t="s">
        <v>504</v>
      </c>
      <c r="C458" s="1" t="s">
        <v>51</v>
      </c>
      <c r="D458" s="1" t="str">
        <f>VLOOKUP(Clients_chun_clean[[#This Row],[Province_Client]],Master_Logs_reseau_registre!B458:F1529,2,0)</f>
        <v>ANT-0952</v>
      </c>
      <c r="E458" s="1" t="s">
        <v>1506</v>
      </c>
      <c r="F458" s="1" t="s">
        <v>1504</v>
      </c>
      <c r="G458" s="1" t="s">
        <v>813</v>
      </c>
      <c r="H458">
        <v>88</v>
      </c>
      <c r="I458">
        <v>7</v>
      </c>
      <c r="J458" s="1" t="s">
        <v>1704</v>
      </c>
      <c r="K458" s="1" t="s">
        <v>11</v>
      </c>
      <c r="L458">
        <v>359</v>
      </c>
      <c r="M458" s="4">
        <v>0.24930555555555556</v>
      </c>
      <c r="N458" s="10">
        <v>71.19</v>
      </c>
      <c r="O458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458" s="10">
        <f>Clients_chun_clean[[#This Row],[Facture_Mensuelle]]*Clients_chun_clean[[#This Row],[Remise]]</f>
        <v>32.035499999999999</v>
      </c>
      <c r="Q458">
        <v>3</v>
      </c>
    </row>
    <row r="459" spans="1:17" x14ac:dyDescent="0.25">
      <c r="A459" s="1" t="s">
        <v>495</v>
      </c>
      <c r="B459" s="1" t="s">
        <v>505</v>
      </c>
      <c r="C459" s="1" t="s">
        <v>60</v>
      </c>
      <c r="D459" s="1" t="str">
        <f>VLOOKUP(Clients_chun_clean[[#This Row],[Province_Client]],Master_Logs_reseau_registre!B459:F1530,2,0)</f>
        <v>ANT-0103</v>
      </c>
      <c r="E459" s="1" t="s">
        <v>1503</v>
      </c>
      <c r="F459" s="1" t="s">
        <v>1504</v>
      </c>
      <c r="G459" s="1" t="s">
        <v>813</v>
      </c>
      <c r="H459">
        <v>39</v>
      </c>
      <c r="I459">
        <v>3</v>
      </c>
      <c r="J459" s="1" t="s">
        <v>1705</v>
      </c>
      <c r="K459" s="1" t="s">
        <v>14</v>
      </c>
      <c r="L459">
        <v>54</v>
      </c>
      <c r="M459" s="4">
        <v>3.7499999999999999E-2</v>
      </c>
      <c r="N459" s="10">
        <v>88.84</v>
      </c>
      <c r="O459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459" s="10">
        <f>Clients_chun_clean[[#This Row],[Facture_Mensuelle]]*Clients_chun_clean[[#This Row],[Remise]]</f>
        <v>8.8840000000000003</v>
      </c>
      <c r="Q459">
        <v>0</v>
      </c>
    </row>
    <row r="460" spans="1:17" x14ac:dyDescent="0.25">
      <c r="A460" s="1" t="s">
        <v>495</v>
      </c>
      <c r="B460" s="1" t="s">
        <v>506</v>
      </c>
      <c r="C460" s="1" t="s">
        <v>35</v>
      </c>
      <c r="D460" s="1" t="str">
        <f>VLOOKUP(Clients_chun_clean[[#This Row],[Province_Client]],Master_Logs_reseau_registre!B460:F1531,2,0)</f>
        <v>ANT-0205</v>
      </c>
      <c r="E460" s="1" t="s">
        <v>1506</v>
      </c>
      <c r="F460" s="1" t="s">
        <v>1504</v>
      </c>
      <c r="G460" s="1" t="s">
        <v>813</v>
      </c>
      <c r="H460">
        <v>80</v>
      </c>
      <c r="I460">
        <v>6</v>
      </c>
      <c r="J460" s="1" t="s">
        <v>1705</v>
      </c>
      <c r="K460" s="1" t="s">
        <v>14</v>
      </c>
      <c r="L460">
        <v>339</v>
      </c>
      <c r="M460" s="4">
        <v>0.23541666666666666</v>
      </c>
      <c r="N460" s="10">
        <v>59.87</v>
      </c>
      <c r="O460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460" s="10">
        <f>Clients_chun_clean[[#This Row],[Facture_Mensuelle]]*Clients_chun_clean[[#This Row],[Remise]]</f>
        <v>26.941499999999998</v>
      </c>
      <c r="Q460">
        <v>0</v>
      </c>
    </row>
    <row r="461" spans="1:17" x14ac:dyDescent="0.25">
      <c r="A461" s="1" t="s">
        <v>495</v>
      </c>
      <c r="B461" s="1" t="s">
        <v>507</v>
      </c>
      <c r="C461" s="1" t="s">
        <v>51</v>
      </c>
      <c r="D461" s="1" t="str">
        <f>VLOOKUP(Clients_chun_clean[[#This Row],[Province_Client]],Master_Logs_reseau_registre!B461:F1532,2,0)</f>
        <v>ANT-0952</v>
      </c>
      <c r="E461" s="1" t="s">
        <v>1506</v>
      </c>
      <c r="F461" s="1" t="s">
        <v>1507</v>
      </c>
      <c r="G461" s="1" t="s">
        <v>811</v>
      </c>
      <c r="H461">
        <v>105</v>
      </c>
      <c r="I461">
        <v>8</v>
      </c>
      <c r="J461" s="1" t="s">
        <v>1705</v>
      </c>
      <c r="K461" s="1" t="s">
        <v>14</v>
      </c>
      <c r="L461">
        <v>297</v>
      </c>
      <c r="M461" s="4">
        <v>0.20624999999999999</v>
      </c>
      <c r="N461" s="10">
        <v>84.66</v>
      </c>
      <c r="O461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461" s="10">
        <f>Clients_chun_clean[[#This Row],[Facture_Mensuelle]]*Clients_chun_clean[[#This Row],[Remise]]</f>
        <v>38.097000000000001</v>
      </c>
      <c r="Q461">
        <v>2</v>
      </c>
    </row>
    <row r="462" spans="1:17" x14ac:dyDescent="0.25">
      <c r="A462" s="1" t="s">
        <v>495</v>
      </c>
      <c r="B462" s="1" t="s">
        <v>508</v>
      </c>
      <c r="C462" s="1" t="s">
        <v>73</v>
      </c>
      <c r="D462" s="1" t="str">
        <f>VLOOKUP(Clients_chun_clean[[#This Row],[Province_Client]],Master_Logs_reseau_registre!B462:F1533,2,0)</f>
        <v>ANT-0007</v>
      </c>
      <c r="E462" s="1" t="s">
        <v>1503</v>
      </c>
      <c r="F462" s="1" t="s">
        <v>1504</v>
      </c>
      <c r="G462" s="1" t="s">
        <v>813</v>
      </c>
      <c r="H462">
        <v>37</v>
      </c>
      <c r="I462">
        <v>3</v>
      </c>
      <c r="J462" s="1" t="s">
        <v>1705</v>
      </c>
      <c r="K462" s="1" t="s">
        <v>14</v>
      </c>
      <c r="L462">
        <v>37</v>
      </c>
      <c r="M462" s="4">
        <v>2.5694444444444443E-2</v>
      </c>
      <c r="N462" s="10">
        <v>92.72</v>
      </c>
      <c r="O462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462" s="10">
        <f>Clients_chun_clean[[#This Row],[Facture_Mensuelle]]*Clients_chun_clean[[#This Row],[Remise]]</f>
        <v>9.2720000000000002</v>
      </c>
      <c r="Q462">
        <v>0</v>
      </c>
    </row>
    <row r="463" spans="1:17" x14ac:dyDescent="0.25">
      <c r="A463" s="1" t="s">
        <v>495</v>
      </c>
      <c r="B463" s="1" t="s">
        <v>509</v>
      </c>
      <c r="C463" s="1" t="s">
        <v>10</v>
      </c>
      <c r="D463" s="1" t="str">
        <f>VLOOKUP(Clients_chun_clean[[#This Row],[Province_Client]],Master_Logs_reseau_registre!B463:F1534,2,0)</f>
        <v>ANT-0966</v>
      </c>
      <c r="E463" s="1" t="s">
        <v>1508</v>
      </c>
      <c r="F463" s="1" t="s">
        <v>1504</v>
      </c>
      <c r="G463" s="1" t="s">
        <v>813</v>
      </c>
      <c r="H463">
        <v>45</v>
      </c>
      <c r="I463">
        <v>3</v>
      </c>
      <c r="J463" s="1" t="s">
        <v>1704</v>
      </c>
      <c r="K463" s="1" t="s">
        <v>11</v>
      </c>
      <c r="L463">
        <v>244</v>
      </c>
      <c r="M463" s="4">
        <v>0.16944444444444445</v>
      </c>
      <c r="N463" s="10">
        <v>55.17</v>
      </c>
      <c r="O463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463" s="10">
        <f>Clients_chun_clean[[#This Row],[Facture_Mensuelle]]*Clients_chun_clean[[#This Row],[Remise]]</f>
        <v>24.826500000000003</v>
      </c>
      <c r="Q463">
        <v>2</v>
      </c>
    </row>
    <row r="464" spans="1:17" x14ac:dyDescent="0.25">
      <c r="A464" s="1" t="s">
        <v>495</v>
      </c>
      <c r="B464" s="1" t="s">
        <v>510</v>
      </c>
      <c r="C464" s="1" t="s">
        <v>44</v>
      </c>
      <c r="D464" s="1" t="str">
        <f>VLOOKUP(Clients_chun_clean[[#This Row],[Province_Client]],Master_Logs_reseau_registre!B464:F1535,2,0)</f>
        <v>ANT-0236</v>
      </c>
      <c r="E464" s="1" t="s">
        <v>1508</v>
      </c>
      <c r="F464" s="1" t="s">
        <v>1504</v>
      </c>
      <c r="G464" s="1" t="s">
        <v>813</v>
      </c>
      <c r="H464">
        <v>113</v>
      </c>
      <c r="I464">
        <v>9</v>
      </c>
      <c r="J464" s="1" t="s">
        <v>1704</v>
      </c>
      <c r="K464" s="1" t="s">
        <v>22</v>
      </c>
      <c r="L464">
        <v>428</v>
      </c>
      <c r="M464" s="4">
        <v>0.29722222222222222</v>
      </c>
      <c r="N464" s="10">
        <v>73.84</v>
      </c>
      <c r="O464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464" s="10">
        <f>Clients_chun_clean[[#This Row],[Facture_Mensuelle]]*Clients_chun_clean[[#This Row],[Remise]]</f>
        <v>33.228000000000002</v>
      </c>
      <c r="Q464">
        <v>0</v>
      </c>
    </row>
    <row r="465" spans="1:17" x14ac:dyDescent="0.25">
      <c r="A465" s="1" t="s">
        <v>495</v>
      </c>
      <c r="B465" s="1" t="s">
        <v>511</v>
      </c>
      <c r="C465" s="1" t="s">
        <v>64</v>
      </c>
      <c r="D465" s="1" t="str">
        <f>VLOOKUP(Clients_chun_clean[[#This Row],[Province_Client]],Master_Logs_reseau_registre!B465:F1536,2,0)</f>
        <v>ANT-0690</v>
      </c>
      <c r="E465" s="1" t="s">
        <v>1508</v>
      </c>
      <c r="F465" s="1" t="s">
        <v>1504</v>
      </c>
      <c r="G465" s="1" t="s">
        <v>813</v>
      </c>
      <c r="H465">
        <v>14</v>
      </c>
      <c r="I465">
        <v>1</v>
      </c>
      <c r="J465" s="1" t="s">
        <v>1704</v>
      </c>
      <c r="K465" s="1" t="s">
        <v>22</v>
      </c>
      <c r="L465">
        <v>304</v>
      </c>
      <c r="M465" s="4">
        <v>0.21111111111111111</v>
      </c>
      <c r="N465" s="10">
        <v>48.13</v>
      </c>
      <c r="O465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465" s="10">
        <f>Clients_chun_clean[[#This Row],[Facture_Mensuelle]]*Clients_chun_clean[[#This Row],[Remise]]</f>
        <v>21.6585</v>
      </c>
      <c r="Q465">
        <v>2</v>
      </c>
    </row>
    <row r="466" spans="1:17" x14ac:dyDescent="0.25">
      <c r="A466" s="1" t="s">
        <v>495</v>
      </c>
      <c r="B466" s="1" t="s">
        <v>512</v>
      </c>
      <c r="C466" s="1" t="s">
        <v>57</v>
      </c>
      <c r="D466" s="1" t="str">
        <f>VLOOKUP(Clients_chun_clean[[#This Row],[Province_Client]],Master_Logs_reseau_registre!B466:F1537,2,0)</f>
        <v>ANT-0162</v>
      </c>
      <c r="E466" s="1" t="s">
        <v>1506</v>
      </c>
      <c r="F466" s="1" t="s">
        <v>1516</v>
      </c>
      <c r="G466" s="1" t="s">
        <v>808</v>
      </c>
      <c r="H466">
        <v>35</v>
      </c>
      <c r="I466">
        <v>2</v>
      </c>
      <c r="J466" s="1" t="s">
        <v>1705</v>
      </c>
      <c r="K466" s="1" t="s">
        <v>14</v>
      </c>
      <c r="L466">
        <v>445</v>
      </c>
      <c r="M466" s="4">
        <v>0.30902777777777779</v>
      </c>
      <c r="N466" s="10">
        <v>24.11</v>
      </c>
      <c r="O466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466" s="10">
        <f>Clients_chun_clean[[#This Row],[Facture_Mensuelle]]*Clients_chun_clean[[#This Row],[Remise]]</f>
        <v>10.849500000000001</v>
      </c>
      <c r="Q466">
        <v>2</v>
      </c>
    </row>
    <row r="467" spans="1:17" x14ac:dyDescent="0.25">
      <c r="A467" s="1" t="s">
        <v>495</v>
      </c>
      <c r="B467" s="1" t="s">
        <v>513</v>
      </c>
      <c r="C467" s="1" t="s">
        <v>64</v>
      </c>
      <c r="D467" s="1" t="str">
        <f>VLOOKUP(Clients_chun_clean[[#This Row],[Province_Client]],Master_Logs_reseau_registre!B467:F1538,2,0)</f>
        <v>ANT-0690</v>
      </c>
      <c r="E467" s="1" t="s">
        <v>1508</v>
      </c>
      <c r="F467" s="1" t="s">
        <v>1504</v>
      </c>
      <c r="G467" s="1" t="s">
        <v>813</v>
      </c>
      <c r="H467">
        <v>118</v>
      </c>
      <c r="I467">
        <v>9</v>
      </c>
      <c r="J467" s="1" t="s">
        <v>1705</v>
      </c>
      <c r="K467" s="1" t="s">
        <v>14</v>
      </c>
      <c r="L467">
        <v>80</v>
      </c>
      <c r="M467" s="4">
        <v>5.5555555555555552E-2</v>
      </c>
      <c r="N467" s="10">
        <v>97.58</v>
      </c>
      <c r="O467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467" s="10">
        <f>Clients_chun_clean[[#This Row],[Facture_Mensuelle]]*Clients_chun_clean[[#This Row],[Remise]]</f>
        <v>9.7580000000000009</v>
      </c>
      <c r="Q467">
        <v>3</v>
      </c>
    </row>
    <row r="468" spans="1:17" x14ac:dyDescent="0.25">
      <c r="A468" s="1" t="s">
        <v>495</v>
      </c>
      <c r="B468" s="1" t="s">
        <v>514</v>
      </c>
      <c r="C468" s="1" t="s">
        <v>57</v>
      </c>
      <c r="D468" s="1" t="str">
        <f>VLOOKUP(Clients_chun_clean[[#This Row],[Province_Client]],Master_Logs_reseau_registre!B468:F1539,2,0)</f>
        <v>ANT-0162</v>
      </c>
      <c r="E468" s="1" t="s">
        <v>1506</v>
      </c>
      <c r="F468" s="1" t="s">
        <v>1516</v>
      </c>
      <c r="G468" s="1" t="s">
        <v>808</v>
      </c>
      <c r="H468">
        <v>64</v>
      </c>
      <c r="I468">
        <v>5</v>
      </c>
      <c r="J468" s="1" t="s">
        <v>1705</v>
      </c>
      <c r="K468" s="1" t="s">
        <v>14</v>
      </c>
      <c r="L468">
        <v>15</v>
      </c>
      <c r="M468" s="4">
        <v>1.0416666666666666E-2</v>
      </c>
      <c r="N468" s="10">
        <v>56.94</v>
      </c>
      <c r="O468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468" s="10">
        <f>Clients_chun_clean[[#This Row],[Facture_Mensuelle]]*Clients_chun_clean[[#This Row],[Remise]]</f>
        <v>5.694</v>
      </c>
      <c r="Q468">
        <v>4</v>
      </c>
    </row>
    <row r="469" spans="1:17" x14ac:dyDescent="0.25">
      <c r="A469" s="1" t="s">
        <v>495</v>
      </c>
      <c r="B469" s="1" t="s">
        <v>515</v>
      </c>
      <c r="C469" s="1" t="s">
        <v>10</v>
      </c>
      <c r="D469" s="1" t="str">
        <f>VLOOKUP(Clients_chun_clean[[#This Row],[Province_Client]],Master_Logs_reseau_registre!B469:F1540,2,0)</f>
        <v>ANT-0966</v>
      </c>
      <c r="E469" s="1" t="s">
        <v>1508</v>
      </c>
      <c r="F469" s="1" t="s">
        <v>1504</v>
      </c>
      <c r="G469" s="1" t="s">
        <v>813</v>
      </c>
      <c r="H469">
        <v>85</v>
      </c>
      <c r="I469">
        <v>7</v>
      </c>
      <c r="J469" s="1" t="s">
        <v>1705</v>
      </c>
      <c r="K469" s="1" t="s">
        <v>14</v>
      </c>
      <c r="L469">
        <v>75</v>
      </c>
      <c r="M469" s="4">
        <v>5.2083333333333336E-2</v>
      </c>
      <c r="N469" s="10">
        <v>98.01</v>
      </c>
      <c r="O469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469" s="10">
        <f>Clients_chun_clean[[#This Row],[Facture_Mensuelle]]*Clients_chun_clean[[#This Row],[Remise]]</f>
        <v>9.8010000000000019</v>
      </c>
      <c r="Q469">
        <v>1</v>
      </c>
    </row>
    <row r="470" spans="1:17" x14ac:dyDescent="0.25">
      <c r="A470" s="1" t="s">
        <v>495</v>
      </c>
      <c r="B470" s="1" t="s">
        <v>516</v>
      </c>
      <c r="C470" s="1" t="s">
        <v>131</v>
      </c>
      <c r="D470" s="1" t="str">
        <f>VLOOKUP(Clients_chun_clean[[#This Row],[Province_Client]],Master_Logs_reseau_registre!B470:F1541,2,0)</f>
        <v>ANT-0239</v>
      </c>
      <c r="E470" s="1" t="s">
        <v>1503</v>
      </c>
      <c r="F470" s="1" t="s">
        <v>1504</v>
      </c>
      <c r="G470" s="1" t="s">
        <v>813</v>
      </c>
      <c r="H470">
        <v>48</v>
      </c>
      <c r="I470">
        <v>4</v>
      </c>
      <c r="J470" s="1" t="s">
        <v>1704</v>
      </c>
      <c r="K470" s="1" t="s">
        <v>22</v>
      </c>
      <c r="L470">
        <v>187</v>
      </c>
      <c r="M470" s="4">
        <v>0.12986111111111112</v>
      </c>
      <c r="N470" s="10">
        <v>21.26</v>
      </c>
      <c r="O470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470" s="10">
        <f>Clients_chun_clean[[#This Row],[Facture_Mensuelle]]*Clients_chun_clean[[#This Row],[Remise]]</f>
        <v>0</v>
      </c>
      <c r="Q470">
        <v>2</v>
      </c>
    </row>
    <row r="471" spans="1:17" x14ac:dyDescent="0.25">
      <c r="A471" s="1" t="s">
        <v>495</v>
      </c>
      <c r="B471" s="1" t="s">
        <v>517</v>
      </c>
      <c r="C471" s="1" t="s">
        <v>44</v>
      </c>
      <c r="D471" s="1" t="str">
        <f>VLOOKUP(Clients_chun_clean[[#This Row],[Province_Client]],Master_Logs_reseau_registre!B471:F1542,2,0)</f>
        <v>ANT-0236</v>
      </c>
      <c r="E471" s="1" t="s">
        <v>1508</v>
      </c>
      <c r="F471" s="1" t="s">
        <v>1504</v>
      </c>
      <c r="G471" s="1" t="s">
        <v>813</v>
      </c>
      <c r="H471">
        <v>120</v>
      </c>
      <c r="I471">
        <v>10</v>
      </c>
      <c r="J471" s="1" t="s">
        <v>1705</v>
      </c>
      <c r="K471" s="1" t="s">
        <v>14</v>
      </c>
      <c r="L471">
        <v>72</v>
      </c>
      <c r="M471" s="4">
        <v>0.05</v>
      </c>
      <c r="N471" s="10">
        <v>29.07</v>
      </c>
      <c r="O471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471" s="10">
        <f>Clients_chun_clean[[#This Row],[Facture_Mensuelle]]*Clients_chun_clean[[#This Row],[Remise]]</f>
        <v>2.907</v>
      </c>
      <c r="Q471">
        <v>3</v>
      </c>
    </row>
    <row r="472" spans="1:17" x14ac:dyDescent="0.25">
      <c r="A472" s="1" t="s">
        <v>495</v>
      </c>
      <c r="B472" s="1" t="s">
        <v>518</v>
      </c>
      <c r="C472" s="1" t="s">
        <v>21</v>
      </c>
      <c r="D472" s="1" t="str">
        <f>VLOOKUP(Clients_chun_clean[[#This Row],[Province_Client]],Master_Logs_reseau_registre!B472:F1543,2,0)</f>
        <v>ANT-0472</v>
      </c>
      <c r="E472" s="1" t="s">
        <v>1506</v>
      </c>
      <c r="F472" s="1" t="s">
        <v>1516</v>
      </c>
      <c r="G472" s="1" t="s">
        <v>808</v>
      </c>
      <c r="H472">
        <v>34</v>
      </c>
      <c r="I472">
        <v>2</v>
      </c>
      <c r="J472" s="1" t="s">
        <v>1704</v>
      </c>
      <c r="K472" s="1" t="s">
        <v>19</v>
      </c>
      <c r="L472">
        <v>40</v>
      </c>
      <c r="M472" s="4">
        <v>2.7777777777777776E-2</v>
      </c>
      <c r="N472" s="10">
        <v>65.709999999999994</v>
      </c>
      <c r="O472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472" s="10">
        <f>Clients_chun_clean[[#This Row],[Facture_Mensuelle]]*Clients_chun_clean[[#This Row],[Remise]]</f>
        <v>0</v>
      </c>
      <c r="Q472">
        <v>5</v>
      </c>
    </row>
    <row r="473" spans="1:17" x14ac:dyDescent="0.25">
      <c r="A473" s="1" t="s">
        <v>495</v>
      </c>
      <c r="B473" s="1" t="s">
        <v>519</v>
      </c>
      <c r="C473" s="1" t="s">
        <v>16</v>
      </c>
      <c r="D473" s="1" t="str">
        <f>VLOOKUP(Clients_chun_clean[[#This Row],[Province_Client]],Master_Logs_reseau_registre!B473:F1544,2,0)</f>
        <v>ANT-0054</v>
      </c>
      <c r="E473" s="1" t="s">
        <v>1508</v>
      </c>
      <c r="F473" s="1" t="s">
        <v>1504</v>
      </c>
      <c r="G473" s="1" t="s">
        <v>813</v>
      </c>
      <c r="H473">
        <v>104</v>
      </c>
      <c r="I473">
        <v>8</v>
      </c>
      <c r="J473" s="1" t="s">
        <v>1705</v>
      </c>
      <c r="K473" s="1" t="s">
        <v>14</v>
      </c>
      <c r="L473">
        <v>125</v>
      </c>
      <c r="M473" s="4">
        <v>8.6805555555555552E-2</v>
      </c>
      <c r="N473" s="10">
        <v>29.7</v>
      </c>
      <c r="O473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473" s="10">
        <f>Clients_chun_clean[[#This Row],[Facture_Mensuelle]]*Clients_chun_clean[[#This Row],[Remise]]</f>
        <v>2.97</v>
      </c>
      <c r="Q473">
        <v>2</v>
      </c>
    </row>
    <row r="474" spans="1:17" x14ac:dyDescent="0.25">
      <c r="A474" s="1" t="s">
        <v>495</v>
      </c>
      <c r="B474" s="1" t="s">
        <v>520</v>
      </c>
      <c r="C474" s="1" t="s">
        <v>35</v>
      </c>
      <c r="D474" s="1" t="str">
        <f>VLOOKUP(Clients_chun_clean[[#This Row],[Province_Client]],Master_Logs_reseau_registre!B474:F1545,2,0)</f>
        <v>ANT-0205</v>
      </c>
      <c r="E474" s="1" t="s">
        <v>1506</v>
      </c>
      <c r="F474" s="1" t="s">
        <v>1516</v>
      </c>
      <c r="G474" s="1" t="s">
        <v>808</v>
      </c>
      <c r="H474">
        <v>117</v>
      </c>
      <c r="I474">
        <v>9</v>
      </c>
      <c r="J474" s="1" t="s">
        <v>1704</v>
      </c>
      <c r="K474" s="1" t="s">
        <v>22</v>
      </c>
      <c r="L474">
        <v>39</v>
      </c>
      <c r="M474" s="4">
        <v>2.7083333333333334E-2</v>
      </c>
      <c r="N474" s="10">
        <v>26.53</v>
      </c>
      <c r="O474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474" s="10">
        <f>Clients_chun_clean[[#This Row],[Facture_Mensuelle]]*Clients_chun_clean[[#This Row],[Remise]]</f>
        <v>0</v>
      </c>
      <c r="Q474">
        <v>1</v>
      </c>
    </row>
    <row r="475" spans="1:17" x14ac:dyDescent="0.25">
      <c r="A475" s="1" t="s">
        <v>495</v>
      </c>
      <c r="B475" s="1" t="s">
        <v>521</v>
      </c>
      <c r="C475" s="1" t="s">
        <v>57</v>
      </c>
      <c r="D475" s="1" t="str">
        <f>VLOOKUP(Clients_chun_clean[[#This Row],[Province_Client]],Master_Logs_reseau_registre!B475:F1546,2,0)</f>
        <v>ANT-0162</v>
      </c>
      <c r="E475" s="1" t="s">
        <v>1506</v>
      </c>
      <c r="F475" s="1" t="s">
        <v>1516</v>
      </c>
      <c r="G475" s="1" t="s">
        <v>808</v>
      </c>
      <c r="H475">
        <v>92</v>
      </c>
      <c r="I475">
        <v>7</v>
      </c>
      <c r="J475" s="1" t="s">
        <v>1704</v>
      </c>
      <c r="K475" s="1" t="s">
        <v>19</v>
      </c>
      <c r="L475">
        <v>6</v>
      </c>
      <c r="M475" s="4">
        <v>4.1666666666666666E-3</v>
      </c>
      <c r="N475" s="10">
        <v>77.14</v>
      </c>
      <c r="O475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475" s="10">
        <f>Clients_chun_clean[[#This Row],[Facture_Mensuelle]]*Clients_chun_clean[[#This Row],[Remise]]</f>
        <v>0</v>
      </c>
      <c r="Q475">
        <v>5</v>
      </c>
    </row>
    <row r="476" spans="1:17" x14ac:dyDescent="0.25">
      <c r="A476" s="1" t="s">
        <v>495</v>
      </c>
      <c r="B476" s="1" t="s">
        <v>522</v>
      </c>
      <c r="C476" s="1" t="s">
        <v>13</v>
      </c>
      <c r="D476" s="1" t="str">
        <f>VLOOKUP(Clients_chun_clean[[#This Row],[Province_Client]],Master_Logs_reseau_registre!B476:F1547,2,0)</f>
        <v>ANT-0417</v>
      </c>
      <c r="E476" s="1" t="s">
        <v>1503</v>
      </c>
      <c r="F476" s="1" t="s">
        <v>1504</v>
      </c>
      <c r="G476" s="1" t="s">
        <v>813</v>
      </c>
      <c r="H476">
        <v>103</v>
      </c>
      <c r="I476">
        <v>8</v>
      </c>
      <c r="J476" s="1" t="s">
        <v>1704</v>
      </c>
      <c r="K476" s="1" t="s">
        <v>22</v>
      </c>
      <c r="L476">
        <v>291</v>
      </c>
      <c r="M476" s="4">
        <v>0.20208333333333334</v>
      </c>
      <c r="N476" s="10">
        <v>60.34</v>
      </c>
      <c r="O476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476" s="10">
        <f>Clients_chun_clean[[#This Row],[Facture_Mensuelle]]*Clients_chun_clean[[#This Row],[Remise]]</f>
        <v>27.153000000000002</v>
      </c>
      <c r="Q476">
        <v>5</v>
      </c>
    </row>
    <row r="477" spans="1:17" x14ac:dyDescent="0.25">
      <c r="A477" s="1" t="s">
        <v>495</v>
      </c>
      <c r="B477" s="1" t="s">
        <v>523</v>
      </c>
      <c r="C477" s="1" t="s">
        <v>131</v>
      </c>
      <c r="D477" s="1" t="str">
        <f>VLOOKUP(Clients_chun_clean[[#This Row],[Province_Client]],Master_Logs_reseau_registre!B477:F1548,2,0)</f>
        <v>ANT-0239</v>
      </c>
      <c r="E477" s="1" t="s">
        <v>1503</v>
      </c>
      <c r="F477" s="1" t="s">
        <v>1504</v>
      </c>
      <c r="G477" s="1" t="s">
        <v>813</v>
      </c>
      <c r="H477">
        <v>10</v>
      </c>
      <c r="I477">
        <v>0</v>
      </c>
      <c r="J477" s="1" t="s">
        <v>1704</v>
      </c>
      <c r="K477" s="1" t="s">
        <v>11</v>
      </c>
      <c r="L477">
        <v>425</v>
      </c>
      <c r="M477" s="4">
        <v>0.2951388888888889</v>
      </c>
      <c r="N477" s="10">
        <v>85.75</v>
      </c>
      <c r="O477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477" s="10">
        <f>Clients_chun_clean[[#This Row],[Facture_Mensuelle]]*Clients_chun_clean[[#This Row],[Remise]]</f>
        <v>38.587499999999999</v>
      </c>
      <c r="Q477">
        <v>0</v>
      </c>
    </row>
    <row r="478" spans="1:17" x14ac:dyDescent="0.25">
      <c r="A478" s="1" t="s">
        <v>495</v>
      </c>
      <c r="B478" s="1" t="s">
        <v>524</v>
      </c>
      <c r="C478" s="1" t="s">
        <v>13</v>
      </c>
      <c r="D478" s="1" t="str">
        <f>VLOOKUP(Clients_chun_clean[[#This Row],[Province_Client]],Master_Logs_reseau_registre!B478:F1549,2,0)</f>
        <v>ANT-0417</v>
      </c>
      <c r="E478" s="1" t="s">
        <v>1503</v>
      </c>
      <c r="F478" s="1" t="s">
        <v>1504</v>
      </c>
      <c r="G478" s="1" t="s">
        <v>813</v>
      </c>
      <c r="H478">
        <v>101</v>
      </c>
      <c r="I478">
        <v>8</v>
      </c>
      <c r="J478" s="1" t="s">
        <v>1704</v>
      </c>
      <c r="K478" s="1" t="s">
        <v>19</v>
      </c>
      <c r="L478">
        <v>416</v>
      </c>
      <c r="M478" s="4">
        <v>0.28888888888888886</v>
      </c>
      <c r="N478" s="10">
        <v>83.49</v>
      </c>
      <c r="O478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478" s="10">
        <f>Clients_chun_clean[[#This Row],[Facture_Mensuelle]]*Clients_chun_clean[[#This Row],[Remise]]</f>
        <v>37.570499999999996</v>
      </c>
      <c r="Q478">
        <v>2</v>
      </c>
    </row>
    <row r="479" spans="1:17" x14ac:dyDescent="0.25">
      <c r="A479" s="1" t="s">
        <v>495</v>
      </c>
      <c r="B479" s="1" t="s">
        <v>525</v>
      </c>
      <c r="C479" s="1" t="s">
        <v>37</v>
      </c>
      <c r="D479" s="1" t="str">
        <f>VLOOKUP(Clients_chun_clean[[#This Row],[Province_Client]],Master_Logs_reseau_registre!B479:F1550,2,0)</f>
        <v>ANT-0900</v>
      </c>
      <c r="E479" s="1" t="s">
        <v>1506</v>
      </c>
      <c r="F479" s="1" t="s">
        <v>1507</v>
      </c>
      <c r="G479" s="1" t="s">
        <v>808</v>
      </c>
      <c r="H479">
        <v>1</v>
      </c>
      <c r="I479">
        <v>0</v>
      </c>
      <c r="J479" s="1" t="s">
        <v>1704</v>
      </c>
      <c r="K479" s="1" t="s">
        <v>22</v>
      </c>
      <c r="L479">
        <v>213</v>
      </c>
      <c r="M479" s="4">
        <v>0.14791666666666667</v>
      </c>
      <c r="N479" s="10">
        <v>52.16</v>
      </c>
      <c r="O479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479" s="10">
        <f>Clients_chun_clean[[#This Row],[Facture_Mensuelle]]*Clients_chun_clean[[#This Row],[Remise]]</f>
        <v>0</v>
      </c>
      <c r="Q479">
        <v>3</v>
      </c>
    </row>
    <row r="480" spans="1:17" x14ac:dyDescent="0.25">
      <c r="A480" s="1" t="s">
        <v>495</v>
      </c>
      <c r="B480" s="1" t="s">
        <v>526</v>
      </c>
      <c r="C480" s="1" t="s">
        <v>51</v>
      </c>
      <c r="D480" s="1" t="str">
        <f>VLOOKUP(Clients_chun_clean[[#This Row],[Province_Client]],Master_Logs_reseau_registre!B480:F1551,2,0)</f>
        <v>ANT-0952</v>
      </c>
      <c r="E480" s="1" t="s">
        <v>1506</v>
      </c>
      <c r="F480" s="1" t="s">
        <v>1507</v>
      </c>
      <c r="G480" s="1" t="s">
        <v>808</v>
      </c>
      <c r="H480">
        <v>111</v>
      </c>
      <c r="I480">
        <v>9</v>
      </c>
      <c r="J480" s="1" t="s">
        <v>1704</v>
      </c>
      <c r="K480" s="1" t="s">
        <v>19</v>
      </c>
      <c r="L480">
        <v>76</v>
      </c>
      <c r="M480" s="4">
        <v>5.2777777777777778E-2</v>
      </c>
      <c r="N480" s="10">
        <v>38.19</v>
      </c>
      <c r="O480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480" s="10">
        <f>Clients_chun_clean[[#This Row],[Facture_Mensuelle]]*Clients_chun_clean[[#This Row],[Remise]]</f>
        <v>0</v>
      </c>
      <c r="Q480">
        <v>5</v>
      </c>
    </row>
    <row r="481" spans="1:17" x14ac:dyDescent="0.25">
      <c r="A481" s="1" t="s">
        <v>495</v>
      </c>
      <c r="B481" s="1" t="s">
        <v>527</v>
      </c>
      <c r="C481" s="1" t="s">
        <v>26</v>
      </c>
      <c r="D481" s="1" t="str">
        <f>VLOOKUP(Clients_chun_clean[[#This Row],[Province_Client]],Master_Logs_reseau_registre!B481:F1552,2,0)</f>
        <v>ANT-0339</v>
      </c>
      <c r="E481" s="1" t="s">
        <v>1503</v>
      </c>
      <c r="F481" s="1" t="s">
        <v>1507</v>
      </c>
      <c r="G481" s="1" t="s">
        <v>808</v>
      </c>
      <c r="H481">
        <v>120</v>
      </c>
      <c r="I481">
        <v>10</v>
      </c>
      <c r="J481" s="1" t="s">
        <v>1704</v>
      </c>
      <c r="K481" s="1" t="s">
        <v>11</v>
      </c>
      <c r="L481">
        <v>391</v>
      </c>
      <c r="M481" s="4">
        <v>0.27152777777777776</v>
      </c>
      <c r="N481" s="10">
        <v>67.77</v>
      </c>
      <c r="O481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481" s="10">
        <f>Clients_chun_clean[[#This Row],[Facture_Mensuelle]]*Clients_chun_clean[[#This Row],[Remise]]</f>
        <v>30.496499999999997</v>
      </c>
      <c r="Q481">
        <v>4</v>
      </c>
    </row>
    <row r="482" spans="1:17" x14ac:dyDescent="0.25">
      <c r="A482" s="1" t="s">
        <v>495</v>
      </c>
      <c r="B482" s="1" t="s">
        <v>528</v>
      </c>
      <c r="C482" s="1" t="s">
        <v>29</v>
      </c>
      <c r="D482" s="1" t="str">
        <f>VLOOKUP(Clients_chun_clean[[#This Row],[Province_Client]],Master_Logs_reseau_registre!B482:F1553,2,0)</f>
        <v>ANT-0295</v>
      </c>
      <c r="E482" s="1" t="s">
        <v>1503</v>
      </c>
      <c r="F482" s="1" t="s">
        <v>1507</v>
      </c>
      <c r="G482" s="1" t="s">
        <v>808</v>
      </c>
      <c r="H482">
        <v>20</v>
      </c>
      <c r="I482">
        <v>1</v>
      </c>
      <c r="J482" s="1" t="s">
        <v>1705</v>
      </c>
      <c r="K482" s="1" t="s">
        <v>14</v>
      </c>
      <c r="L482">
        <v>93</v>
      </c>
      <c r="M482" s="4">
        <v>6.458333333333334E-2</v>
      </c>
      <c r="N482" s="10">
        <v>84.45</v>
      </c>
      <c r="O482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482" s="10">
        <f>Clients_chun_clean[[#This Row],[Facture_Mensuelle]]*Clients_chun_clean[[#This Row],[Remise]]</f>
        <v>8.4450000000000003</v>
      </c>
      <c r="Q482">
        <v>0</v>
      </c>
    </row>
    <row r="483" spans="1:17" x14ac:dyDescent="0.25">
      <c r="A483" s="1" t="s">
        <v>495</v>
      </c>
      <c r="B483" s="1" t="s">
        <v>529</v>
      </c>
      <c r="C483" s="1" t="s">
        <v>51</v>
      </c>
      <c r="D483" s="1" t="str">
        <f>VLOOKUP(Clients_chun_clean[[#This Row],[Province_Client]],Master_Logs_reseau_registre!B483:F1554,2,0)</f>
        <v>ANT-0952</v>
      </c>
      <c r="E483" s="1" t="s">
        <v>1506</v>
      </c>
      <c r="F483" s="1" t="s">
        <v>1507</v>
      </c>
      <c r="G483" s="1" t="s">
        <v>808</v>
      </c>
      <c r="H483">
        <v>100</v>
      </c>
      <c r="I483">
        <v>8</v>
      </c>
      <c r="J483" s="1" t="s">
        <v>1704</v>
      </c>
      <c r="K483" s="1" t="s">
        <v>22</v>
      </c>
      <c r="L483">
        <v>240</v>
      </c>
      <c r="M483" s="4">
        <v>0.16666666666666666</v>
      </c>
      <c r="N483" s="10">
        <v>24.83</v>
      </c>
      <c r="O483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483" s="10">
        <f>Clients_chun_clean[[#This Row],[Facture_Mensuelle]]*Clients_chun_clean[[#This Row],[Remise]]</f>
        <v>11.173499999999999</v>
      </c>
      <c r="Q483">
        <v>4</v>
      </c>
    </row>
    <row r="484" spans="1:17" x14ac:dyDescent="0.25">
      <c r="A484" s="1" t="s">
        <v>495</v>
      </c>
      <c r="B484" s="1" t="s">
        <v>530</v>
      </c>
      <c r="C484" s="1" t="s">
        <v>57</v>
      </c>
      <c r="D484" s="1" t="str">
        <f>VLOOKUP(Clients_chun_clean[[#This Row],[Province_Client]],Master_Logs_reseau_registre!B484:F1555,2,0)</f>
        <v>ANT-0162</v>
      </c>
      <c r="E484" s="1" t="s">
        <v>1506</v>
      </c>
      <c r="F484" s="1" t="s">
        <v>1507</v>
      </c>
      <c r="G484" s="1" t="s">
        <v>808</v>
      </c>
      <c r="H484">
        <v>84</v>
      </c>
      <c r="I484">
        <v>7</v>
      </c>
      <c r="J484" s="1" t="s">
        <v>1704</v>
      </c>
      <c r="K484" s="1" t="s">
        <v>19</v>
      </c>
      <c r="L484">
        <v>380</v>
      </c>
      <c r="M484" s="4">
        <v>0.2638888888888889</v>
      </c>
      <c r="N484" s="10">
        <v>82.3</v>
      </c>
      <c r="O484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484" s="10">
        <f>Clients_chun_clean[[#This Row],[Facture_Mensuelle]]*Clients_chun_clean[[#This Row],[Remise]]</f>
        <v>37.034999999999997</v>
      </c>
      <c r="Q484">
        <v>1</v>
      </c>
    </row>
    <row r="485" spans="1:17" x14ac:dyDescent="0.25">
      <c r="A485" s="1" t="s">
        <v>495</v>
      </c>
      <c r="B485" s="1" t="s">
        <v>531</v>
      </c>
      <c r="C485" s="1" t="s">
        <v>51</v>
      </c>
      <c r="D485" s="1" t="str">
        <f>VLOOKUP(Clients_chun_clean[[#This Row],[Province_Client]],Master_Logs_reseau_registre!B485:F1556,2,0)</f>
        <v>ANT-0952</v>
      </c>
      <c r="E485" s="1" t="s">
        <v>1506</v>
      </c>
      <c r="F485" s="1" t="s">
        <v>1507</v>
      </c>
      <c r="G485" s="1" t="s">
        <v>808</v>
      </c>
      <c r="H485">
        <v>19</v>
      </c>
      <c r="I485">
        <v>1</v>
      </c>
      <c r="J485" s="1" t="s">
        <v>1704</v>
      </c>
      <c r="K485" s="1" t="s">
        <v>19</v>
      </c>
      <c r="L485">
        <v>71</v>
      </c>
      <c r="M485" s="4">
        <v>4.9305555555555554E-2</v>
      </c>
      <c r="N485" s="10">
        <v>68.2</v>
      </c>
      <c r="O485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485" s="10">
        <f>Clients_chun_clean[[#This Row],[Facture_Mensuelle]]*Clients_chun_clean[[#This Row],[Remise]]</f>
        <v>0</v>
      </c>
      <c r="Q485">
        <v>0</v>
      </c>
    </row>
    <row r="486" spans="1:17" x14ac:dyDescent="0.25">
      <c r="A486" s="1" t="s">
        <v>495</v>
      </c>
      <c r="B486" s="1" t="s">
        <v>532</v>
      </c>
      <c r="C486" s="1" t="s">
        <v>35</v>
      </c>
      <c r="D486" s="1" t="str">
        <f>VLOOKUP(Clients_chun_clean[[#This Row],[Province_Client]],Master_Logs_reseau_registre!B486:F1557,2,0)</f>
        <v>ANT-0205</v>
      </c>
      <c r="E486" s="1" t="s">
        <v>1506</v>
      </c>
      <c r="F486" s="1" t="s">
        <v>1504</v>
      </c>
      <c r="G486" s="1" t="s">
        <v>808</v>
      </c>
      <c r="H486">
        <v>41</v>
      </c>
      <c r="I486">
        <v>3</v>
      </c>
      <c r="J486" s="1" t="s">
        <v>1704</v>
      </c>
      <c r="K486" s="1" t="s">
        <v>11</v>
      </c>
      <c r="L486">
        <v>383</v>
      </c>
      <c r="M486" s="4">
        <v>0.26597222222222222</v>
      </c>
      <c r="N486" s="10">
        <v>27.53</v>
      </c>
      <c r="O486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486" s="10">
        <f>Clients_chun_clean[[#This Row],[Facture_Mensuelle]]*Clients_chun_clean[[#This Row],[Remise]]</f>
        <v>12.388500000000001</v>
      </c>
      <c r="Q486">
        <v>4</v>
      </c>
    </row>
    <row r="487" spans="1:17" x14ac:dyDescent="0.25">
      <c r="A487" s="1" t="s">
        <v>495</v>
      </c>
      <c r="B487" s="1" t="s">
        <v>533</v>
      </c>
      <c r="C487" s="1" t="s">
        <v>21</v>
      </c>
      <c r="D487" s="1" t="str">
        <f>VLOOKUP(Clients_chun_clean[[#This Row],[Province_Client]],Master_Logs_reseau_registre!B487:F1558,2,0)</f>
        <v>ANT-0472</v>
      </c>
      <c r="E487" s="1" t="s">
        <v>1506</v>
      </c>
      <c r="F487" s="1" t="s">
        <v>1507</v>
      </c>
      <c r="G487" s="1" t="s">
        <v>813</v>
      </c>
      <c r="H487">
        <v>19</v>
      </c>
      <c r="I487">
        <v>1</v>
      </c>
      <c r="J487" s="1" t="s">
        <v>1704</v>
      </c>
      <c r="K487" s="1" t="s">
        <v>11</v>
      </c>
      <c r="L487">
        <v>270</v>
      </c>
      <c r="M487" s="4">
        <v>0.1875</v>
      </c>
      <c r="N487" s="10">
        <v>19.760000000000002</v>
      </c>
      <c r="O487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487" s="10">
        <f>Clients_chun_clean[[#This Row],[Facture_Mensuelle]]*Clients_chun_clean[[#This Row],[Remise]]</f>
        <v>8.8920000000000012</v>
      </c>
      <c r="Q487">
        <v>3</v>
      </c>
    </row>
    <row r="488" spans="1:17" x14ac:dyDescent="0.25">
      <c r="A488" s="1" t="s">
        <v>495</v>
      </c>
      <c r="B488" s="1" t="s">
        <v>534</v>
      </c>
      <c r="C488" s="1" t="s">
        <v>40</v>
      </c>
      <c r="D488" s="1" t="str">
        <f>VLOOKUP(Clients_chun_clean[[#This Row],[Province_Client]],Master_Logs_reseau_registre!B488:F1559,2,0)</f>
        <v>ANT-0183</v>
      </c>
      <c r="E488" s="1" t="s">
        <v>1503</v>
      </c>
      <c r="F488" s="1" t="s">
        <v>1504</v>
      </c>
      <c r="G488" s="1" t="s">
        <v>811</v>
      </c>
      <c r="H488">
        <v>50</v>
      </c>
      <c r="I488">
        <v>4</v>
      </c>
      <c r="J488" s="1" t="s">
        <v>1704</v>
      </c>
      <c r="K488" s="1" t="s">
        <v>22</v>
      </c>
      <c r="L488">
        <v>357</v>
      </c>
      <c r="M488" s="4">
        <v>0.24791666666666667</v>
      </c>
      <c r="N488" s="10">
        <v>17</v>
      </c>
      <c r="O488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488" s="10">
        <f>Clients_chun_clean[[#This Row],[Facture_Mensuelle]]*Clients_chun_clean[[#This Row],[Remise]]</f>
        <v>7.65</v>
      </c>
      <c r="Q488">
        <v>3</v>
      </c>
    </row>
    <row r="489" spans="1:17" x14ac:dyDescent="0.25">
      <c r="A489" s="1" t="s">
        <v>495</v>
      </c>
      <c r="B489" s="1" t="s">
        <v>535</v>
      </c>
      <c r="C489" s="1" t="s">
        <v>31</v>
      </c>
      <c r="D489" s="1" t="str">
        <f>VLOOKUP(Clients_chun_clean[[#This Row],[Province_Client]],Master_Logs_reseau_registre!B489:F1560,2,0)</f>
        <v>ANT-0131</v>
      </c>
      <c r="E489" s="1" t="s">
        <v>1503</v>
      </c>
      <c r="F489" s="1" t="s">
        <v>1504</v>
      </c>
      <c r="G489" s="1" t="s">
        <v>811</v>
      </c>
      <c r="H489">
        <v>58</v>
      </c>
      <c r="I489">
        <v>4</v>
      </c>
      <c r="J489" s="1" t="s">
        <v>1704</v>
      </c>
      <c r="K489" s="1" t="s">
        <v>11</v>
      </c>
      <c r="L489">
        <v>485</v>
      </c>
      <c r="M489" s="4">
        <v>0.33680555555555558</v>
      </c>
      <c r="N489" s="10">
        <v>64.290000000000006</v>
      </c>
      <c r="O489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489" s="10">
        <f>Clients_chun_clean[[#This Row],[Facture_Mensuelle]]*Clients_chun_clean[[#This Row],[Remise]]</f>
        <v>28.930500000000002</v>
      </c>
      <c r="Q489">
        <v>4</v>
      </c>
    </row>
    <row r="490" spans="1:17" x14ac:dyDescent="0.25">
      <c r="A490" s="1" t="s">
        <v>495</v>
      </c>
      <c r="B490" s="1" t="s">
        <v>536</v>
      </c>
      <c r="C490" s="1" t="s">
        <v>78</v>
      </c>
      <c r="D490" s="1" t="str">
        <f>VLOOKUP(Clients_chun_clean[[#This Row],[Province_Client]],Master_Logs_reseau_registre!B490:F1561,2,0)</f>
        <v>ANT-0407</v>
      </c>
      <c r="E490" s="1" t="s">
        <v>1503</v>
      </c>
      <c r="F490" s="1" t="s">
        <v>1507</v>
      </c>
      <c r="G490" s="1" t="s">
        <v>813</v>
      </c>
      <c r="H490">
        <v>93</v>
      </c>
      <c r="I490">
        <v>7</v>
      </c>
      <c r="J490" s="1" t="s">
        <v>1705</v>
      </c>
      <c r="K490" s="1" t="s">
        <v>14</v>
      </c>
      <c r="L490">
        <v>153</v>
      </c>
      <c r="M490" s="4">
        <v>0.10625</v>
      </c>
      <c r="N490" s="10">
        <v>86.19</v>
      </c>
      <c r="O490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490" s="10">
        <f>Clients_chun_clean[[#This Row],[Facture_Mensuelle]]*Clients_chun_clean[[#This Row],[Remise]]</f>
        <v>8.6189999999999998</v>
      </c>
      <c r="Q490">
        <v>0</v>
      </c>
    </row>
    <row r="491" spans="1:17" x14ac:dyDescent="0.25">
      <c r="A491" s="1" t="s">
        <v>495</v>
      </c>
      <c r="B491" s="1" t="s">
        <v>537</v>
      </c>
      <c r="C491" s="1" t="s">
        <v>51</v>
      </c>
      <c r="D491" s="1" t="str">
        <f>VLOOKUP(Clients_chun_clean[[#This Row],[Province_Client]],Master_Logs_reseau_registre!B491:F1562,2,0)</f>
        <v>ANT-0952</v>
      </c>
      <c r="E491" s="1" t="s">
        <v>1506</v>
      </c>
      <c r="F491" s="1" t="s">
        <v>1507</v>
      </c>
      <c r="G491" s="1" t="s">
        <v>813</v>
      </c>
      <c r="H491">
        <v>102</v>
      </c>
      <c r="I491">
        <v>8</v>
      </c>
      <c r="J491" s="1" t="s">
        <v>1704</v>
      </c>
      <c r="K491" s="1" t="s">
        <v>22</v>
      </c>
      <c r="L491">
        <v>240</v>
      </c>
      <c r="M491" s="4">
        <v>0.16666666666666666</v>
      </c>
      <c r="N491" s="10">
        <v>12.52</v>
      </c>
      <c r="O491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491" s="10">
        <f>Clients_chun_clean[[#This Row],[Facture_Mensuelle]]*Clients_chun_clean[[#This Row],[Remise]]</f>
        <v>5.6340000000000003</v>
      </c>
      <c r="Q491">
        <v>2</v>
      </c>
    </row>
    <row r="492" spans="1:17" x14ac:dyDescent="0.25">
      <c r="A492" s="1" t="s">
        <v>495</v>
      </c>
      <c r="B492" s="1" t="s">
        <v>538</v>
      </c>
      <c r="C492" s="1" t="s">
        <v>21</v>
      </c>
      <c r="D492" s="1" t="str">
        <f>VLOOKUP(Clients_chun_clean[[#This Row],[Province_Client]],Master_Logs_reseau_registre!B492:F1563,2,0)</f>
        <v>ANT-0472</v>
      </c>
      <c r="E492" s="1" t="s">
        <v>1506</v>
      </c>
      <c r="F492" s="1" t="s">
        <v>1507</v>
      </c>
      <c r="G492" s="1" t="s">
        <v>813</v>
      </c>
      <c r="H492">
        <v>101</v>
      </c>
      <c r="I492">
        <v>8</v>
      </c>
      <c r="J492" s="1" t="s">
        <v>1705</v>
      </c>
      <c r="K492" s="1" t="s">
        <v>14</v>
      </c>
      <c r="L492">
        <v>210</v>
      </c>
      <c r="M492" s="4">
        <v>0.14583333333333334</v>
      </c>
      <c r="N492" s="10">
        <v>35.4</v>
      </c>
      <c r="O492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492" s="10">
        <f>Clients_chun_clean[[#This Row],[Facture_Mensuelle]]*Clients_chun_clean[[#This Row],[Remise]]</f>
        <v>3.54</v>
      </c>
      <c r="Q492">
        <v>1</v>
      </c>
    </row>
    <row r="493" spans="1:17" x14ac:dyDescent="0.25">
      <c r="A493" s="1" t="s">
        <v>495</v>
      </c>
      <c r="B493" s="1" t="s">
        <v>539</v>
      </c>
      <c r="C493" s="1" t="s">
        <v>40</v>
      </c>
      <c r="D493" s="1" t="str">
        <f>VLOOKUP(Clients_chun_clean[[#This Row],[Province_Client]],Master_Logs_reseau_registre!B493:F1564,2,0)</f>
        <v>ANT-0183</v>
      </c>
      <c r="E493" s="1" t="s">
        <v>1503</v>
      </c>
      <c r="F493" s="1" t="s">
        <v>1507</v>
      </c>
      <c r="G493" s="1" t="s">
        <v>813</v>
      </c>
      <c r="H493">
        <v>62</v>
      </c>
      <c r="I493">
        <v>5</v>
      </c>
      <c r="J493" s="1" t="s">
        <v>1704</v>
      </c>
      <c r="K493" s="1" t="s">
        <v>22</v>
      </c>
      <c r="L493">
        <v>369</v>
      </c>
      <c r="M493" s="4">
        <v>0.25624999999999998</v>
      </c>
      <c r="N493" s="10">
        <v>58.74</v>
      </c>
      <c r="O493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493" s="10">
        <f>Clients_chun_clean[[#This Row],[Facture_Mensuelle]]*Clients_chun_clean[[#This Row],[Remise]]</f>
        <v>26.433</v>
      </c>
      <c r="Q493">
        <v>1</v>
      </c>
    </row>
    <row r="494" spans="1:17" x14ac:dyDescent="0.25">
      <c r="A494" s="1" t="s">
        <v>495</v>
      </c>
      <c r="B494" s="1" t="s">
        <v>540</v>
      </c>
      <c r="C494" s="1" t="s">
        <v>62</v>
      </c>
      <c r="D494" s="1" t="str">
        <f>VLOOKUP(Clients_chun_clean[[#This Row],[Province_Client]],Master_Logs_reseau_registre!B494:F1565,2,0)</f>
        <v>ANT-0668</v>
      </c>
      <c r="E494" s="1" t="s">
        <v>1503</v>
      </c>
      <c r="F494" s="1" t="s">
        <v>1507</v>
      </c>
      <c r="G494" s="1" t="s">
        <v>811</v>
      </c>
      <c r="H494">
        <v>105</v>
      </c>
      <c r="I494">
        <v>8</v>
      </c>
      <c r="J494" s="1" t="s">
        <v>1704</v>
      </c>
      <c r="K494" s="1" t="s">
        <v>22</v>
      </c>
      <c r="L494">
        <v>172</v>
      </c>
      <c r="M494" s="4">
        <v>0.11944444444444445</v>
      </c>
      <c r="N494" s="10">
        <v>15.88</v>
      </c>
      <c r="O494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494" s="10">
        <f>Clients_chun_clean[[#This Row],[Facture_Mensuelle]]*Clients_chun_clean[[#This Row],[Remise]]</f>
        <v>0</v>
      </c>
      <c r="Q494">
        <v>5</v>
      </c>
    </row>
    <row r="495" spans="1:17" x14ac:dyDescent="0.25">
      <c r="A495" s="1" t="s">
        <v>495</v>
      </c>
      <c r="B495" s="1" t="s">
        <v>541</v>
      </c>
      <c r="C495" s="1" t="s">
        <v>31</v>
      </c>
      <c r="D495" s="1" t="str">
        <f>VLOOKUP(Clients_chun_clean[[#This Row],[Province_Client]],Master_Logs_reseau_registre!B495:F1566,2,0)</f>
        <v>ANT-0131</v>
      </c>
      <c r="E495" s="1" t="s">
        <v>1503</v>
      </c>
      <c r="F495" s="1" t="s">
        <v>1507</v>
      </c>
      <c r="G495" s="1" t="s">
        <v>811</v>
      </c>
      <c r="H495">
        <v>9</v>
      </c>
      <c r="I495">
        <v>0</v>
      </c>
      <c r="J495" s="1" t="s">
        <v>1704</v>
      </c>
      <c r="K495" s="1" t="s">
        <v>22</v>
      </c>
      <c r="L495">
        <v>227</v>
      </c>
      <c r="M495" s="4">
        <v>0.15763888888888888</v>
      </c>
      <c r="N495" s="10">
        <v>63.74</v>
      </c>
      <c r="O495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495" s="10">
        <f>Clients_chun_clean[[#This Row],[Facture_Mensuelle]]*Clients_chun_clean[[#This Row],[Remise]]</f>
        <v>0</v>
      </c>
      <c r="Q495">
        <v>3</v>
      </c>
    </row>
    <row r="496" spans="1:17" x14ac:dyDescent="0.25">
      <c r="A496" s="1" t="s">
        <v>495</v>
      </c>
      <c r="B496" s="1" t="s">
        <v>542</v>
      </c>
      <c r="C496" s="1" t="s">
        <v>44</v>
      </c>
      <c r="D496" s="1" t="str">
        <f>VLOOKUP(Clients_chun_clean[[#This Row],[Province_Client]],Master_Logs_reseau_registre!B496:F1567,2,0)</f>
        <v>ANT-0236</v>
      </c>
      <c r="E496" s="1" t="s">
        <v>1508</v>
      </c>
      <c r="F496" s="1" t="s">
        <v>1504</v>
      </c>
      <c r="G496" s="1" t="s">
        <v>811</v>
      </c>
      <c r="H496">
        <v>15</v>
      </c>
      <c r="I496">
        <v>1</v>
      </c>
      <c r="J496" s="1" t="s">
        <v>1704</v>
      </c>
      <c r="K496" s="1" t="s">
        <v>19</v>
      </c>
      <c r="L496">
        <v>400</v>
      </c>
      <c r="M496" s="4">
        <v>0.27777777777777779</v>
      </c>
      <c r="N496" s="10">
        <v>78.09</v>
      </c>
      <c r="O496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496" s="10">
        <f>Clients_chun_clean[[#This Row],[Facture_Mensuelle]]*Clients_chun_clean[[#This Row],[Remise]]</f>
        <v>35.140500000000003</v>
      </c>
      <c r="Q496">
        <v>0</v>
      </c>
    </row>
    <row r="497" spans="1:17" x14ac:dyDescent="0.25">
      <c r="A497" s="1" t="s">
        <v>495</v>
      </c>
      <c r="B497" s="1" t="s">
        <v>543</v>
      </c>
      <c r="C497" s="1" t="s">
        <v>29</v>
      </c>
      <c r="D497" s="1" t="str">
        <f>VLOOKUP(Clients_chun_clean[[#This Row],[Province_Client]],Master_Logs_reseau_registre!B497:F1568,2,0)</f>
        <v>ANT-0295</v>
      </c>
      <c r="E497" s="1" t="s">
        <v>1503</v>
      </c>
      <c r="F497" s="1" t="s">
        <v>1509</v>
      </c>
      <c r="G497" s="1" t="s">
        <v>813</v>
      </c>
      <c r="H497">
        <v>74</v>
      </c>
      <c r="I497">
        <v>6</v>
      </c>
      <c r="J497" s="1" t="s">
        <v>1704</v>
      </c>
      <c r="K497" s="1" t="s">
        <v>22</v>
      </c>
      <c r="L497">
        <v>330</v>
      </c>
      <c r="M497" s="4">
        <v>0.22916666666666666</v>
      </c>
      <c r="N497" s="10">
        <v>37.82</v>
      </c>
      <c r="O497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497" s="10">
        <f>Clients_chun_clean[[#This Row],[Facture_Mensuelle]]*Clients_chun_clean[[#This Row],[Remise]]</f>
        <v>17.019000000000002</v>
      </c>
      <c r="Q497">
        <v>5</v>
      </c>
    </row>
    <row r="498" spans="1:17" x14ac:dyDescent="0.25">
      <c r="A498" s="1" t="s">
        <v>495</v>
      </c>
      <c r="B498" s="1" t="s">
        <v>544</v>
      </c>
      <c r="C498" s="1" t="s">
        <v>10</v>
      </c>
      <c r="D498" s="1" t="str">
        <f>VLOOKUP(Clients_chun_clean[[#This Row],[Province_Client]],Master_Logs_reseau_registre!B498:F1569,2,0)</f>
        <v>ANT-0966</v>
      </c>
      <c r="E498" s="1" t="s">
        <v>1508</v>
      </c>
      <c r="F498" s="1" t="s">
        <v>1504</v>
      </c>
      <c r="G498" s="1" t="s">
        <v>811</v>
      </c>
      <c r="H498">
        <v>55</v>
      </c>
      <c r="I498">
        <v>4</v>
      </c>
      <c r="J498" s="1" t="s">
        <v>1704</v>
      </c>
      <c r="K498" s="1" t="s">
        <v>19</v>
      </c>
      <c r="L498">
        <v>355</v>
      </c>
      <c r="M498" s="4">
        <v>0.24652777777777779</v>
      </c>
      <c r="N498" s="10">
        <v>59.65</v>
      </c>
      <c r="O498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498" s="10">
        <f>Clients_chun_clean[[#This Row],[Facture_Mensuelle]]*Clients_chun_clean[[#This Row],[Remise]]</f>
        <v>26.842500000000001</v>
      </c>
      <c r="Q498">
        <v>0</v>
      </c>
    </row>
    <row r="499" spans="1:17" x14ac:dyDescent="0.25">
      <c r="A499" s="1" t="s">
        <v>495</v>
      </c>
      <c r="B499" s="1" t="s">
        <v>545</v>
      </c>
      <c r="C499" s="1" t="s">
        <v>73</v>
      </c>
      <c r="D499" s="1" t="str">
        <f>VLOOKUP(Clients_chun_clean[[#This Row],[Province_Client]],Master_Logs_reseau_registre!B499:F1570,2,0)</f>
        <v>ANT-0007</v>
      </c>
      <c r="E499" s="1" t="s">
        <v>1503</v>
      </c>
      <c r="F499" s="1" t="s">
        <v>1509</v>
      </c>
      <c r="G499" s="1" t="s">
        <v>813</v>
      </c>
      <c r="H499">
        <v>94</v>
      </c>
      <c r="I499">
        <v>7</v>
      </c>
      <c r="J499" s="1" t="s">
        <v>1704</v>
      </c>
      <c r="K499" s="1" t="s">
        <v>22</v>
      </c>
      <c r="L499">
        <v>6</v>
      </c>
      <c r="M499" s="4">
        <v>4.1666666666666666E-3</v>
      </c>
      <c r="N499" s="10">
        <v>67.459999999999994</v>
      </c>
      <c r="O499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499" s="10">
        <f>Clients_chun_clean[[#This Row],[Facture_Mensuelle]]*Clients_chun_clean[[#This Row],[Remise]]</f>
        <v>0</v>
      </c>
      <c r="Q499">
        <v>5</v>
      </c>
    </row>
    <row r="500" spans="1:17" x14ac:dyDescent="0.25">
      <c r="A500" s="1" t="s">
        <v>546</v>
      </c>
      <c r="B500" s="1" t="s">
        <v>547</v>
      </c>
      <c r="C500" s="1" t="s">
        <v>16</v>
      </c>
      <c r="D500" s="1" t="str">
        <f>VLOOKUP(Clients_chun_clean[[#This Row],[Province_Client]],Master_Logs_reseau_registre!B500:F1571,2,0)</f>
        <v>ANT-0855</v>
      </c>
      <c r="E500" s="1" t="s">
        <v>1503</v>
      </c>
      <c r="F500" s="1" t="s">
        <v>1509</v>
      </c>
      <c r="G500" s="1" t="s">
        <v>813</v>
      </c>
      <c r="H500">
        <v>120</v>
      </c>
      <c r="I500">
        <v>10</v>
      </c>
      <c r="J500" s="1" t="s">
        <v>1704</v>
      </c>
      <c r="K500" s="1" t="s">
        <v>19</v>
      </c>
      <c r="L500">
        <v>27</v>
      </c>
      <c r="M500" s="4">
        <v>1.8749999999999999E-2</v>
      </c>
      <c r="N500" s="10">
        <v>24.46</v>
      </c>
      <c r="O500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500" s="10">
        <f>Clients_chun_clean[[#This Row],[Facture_Mensuelle]]*Clients_chun_clean[[#This Row],[Remise]]</f>
        <v>0</v>
      </c>
      <c r="Q500">
        <v>3</v>
      </c>
    </row>
    <row r="501" spans="1:17" x14ac:dyDescent="0.25">
      <c r="A501" s="1" t="s">
        <v>546</v>
      </c>
      <c r="B501" s="1" t="s">
        <v>548</v>
      </c>
      <c r="C501" s="1" t="s">
        <v>44</v>
      </c>
      <c r="D501" s="1" t="str">
        <f>VLOOKUP(Clients_chun_clean[[#This Row],[Province_Client]],Master_Logs_reseau_registre!B501:F1572,2,0)</f>
        <v>ANT-0236</v>
      </c>
      <c r="E501" s="1" t="s">
        <v>1508</v>
      </c>
      <c r="F501" s="1" t="s">
        <v>1507</v>
      </c>
      <c r="G501" s="1" t="s">
        <v>808</v>
      </c>
      <c r="H501">
        <v>38</v>
      </c>
      <c r="I501">
        <v>3</v>
      </c>
      <c r="J501" s="1" t="s">
        <v>1704</v>
      </c>
      <c r="K501" s="1" t="s">
        <v>19</v>
      </c>
      <c r="L501">
        <v>108</v>
      </c>
      <c r="M501" s="4">
        <v>7.4999999999999997E-2</v>
      </c>
      <c r="N501" s="10">
        <v>72.7</v>
      </c>
      <c r="O501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501" s="10">
        <f>Clients_chun_clean[[#This Row],[Facture_Mensuelle]]*Clients_chun_clean[[#This Row],[Remise]]</f>
        <v>0</v>
      </c>
      <c r="Q501">
        <v>3</v>
      </c>
    </row>
    <row r="502" spans="1:17" x14ac:dyDescent="0.25">
      <c r="A502" s="1" t="s">
        <v>546</v>
      </c>
      <c r="B502" s="1" t="s">
        <v>549</v>
      </c>
      <c r="C502" s="1" t="s">
        <v>137</v>
      </c>
      <c r="D502" s="1" t="str">
        <f>VLOOKUP(Clients_chun_clean[[#This Row],[Province_Client]],Master_Logs_reseau_registre!B502:F1573,2,0)</f>
        <v>ANT-0515</v>
      </c>
      <c r="E502" s="1" t="s">
        <v>1506</v>
      </c>
      <c r="F502" s="1" t="s">
        <v>1516</v>
      </c>
      <c r="G502" s="1" t="s">
        <v>808</v>
      </c>
      <c r="H502">
        <v>21</v>
      </c>
      <c r="I502">
        <v>1</v>
      </c>
      <c r="J502" s="1" t="s">
        <v>1704</v>
      </c>
      <c r="K502" s="1" t="s">
        <v>22</v>
      </c>
      <c r="L502">
        <v>444</v>
      </c>
      <c r="M502" s="4">
        <v>0.30833333333333335</v>
      </c>
      <c r="N502" s="10">
        <v>41.92</v>
      </c>
      <c r="O502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502" s="10">
        <f>Clients_chun_clean[[#This Row],[Facture_Mensuelle]]*Clients_chun_clean[[#This Row],[Remise]]</f>
        <v>18.864000000000001</v>
      </c>
      <c r="Q502">
        <v>3</v>
      </c>
    </row>
    <row r="503" spans="1:17" x14ac:dyDescent="0.25">
      <c r="A503" s="1" t="s">
        <v>546</v>
      </c>
      <c r="B503" s="1" t="s">
        <v>550</v>
      </c>
      <c r="C503" s="1" t="s">
        <v>37</v>
      </c>
      <c r="D503" s="1" t="str">
        <f>VLOOKUP(Clients_chun_clean[[#This Row],[Province_Client]],Master_Logs_reseau_registre!B503:F1574,2,0)</f>
        <v>ANT-0357</v>
      </c>
      <c r="E503" s="1" t="s">
        <v>1503</v>
      </c>
      <c r="F503" s="1" t="s">
        <v>1509</v>
      </c>
      <c r="G503" s="1" t="s">
        <v>813</v>
      </c>
      <c r="H503">
        <v>9</v>
      </c>
      <c r="I503">
        <v>0</v>
      </c>
      <c r="J503" s="1" t="s">
        <v>1704</v>
      </c>
      <c r="K503" s="1" t="s">
        <v>19</v>
      </c>
      <c r="L503">
        <v>11</v>
      </c>
      <c r="M503" s="4">
        <v>7.6388888888888886E-3</v>
      </c>
      <c r="N503" s="10">
        <v>72.36</v>
      </c>
      <c r="O503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503" s="10">
        <f>Clients_chun_clean[[#This Row],[Facture_Mensuelle]]*Clients_chun_clean[[#This Row],[Remise]]</f>
        <v>0</v>
      </c>
      <c r="Q503">
        <v>2</v>
      </c>
    </row>
    <row r="504" spans="1:17" x14ac:dyDescent="0.25">
      <c r="A504" s="1" t="s">
        <v>546</v>
      </c>
      <c r="B504" s="1" t="s">
        <v>551</v>
      </c>
      <c r="C504" s="1" t="s">
        <v>29</v>
      </c>
      <c r="D504" s="1" t="str">
        <f>VLOOKUP(Clients_chun_clean[[#This Row],[Province_Client]],Master_Logs_reseau_registre!B504:F1575,2,0)</f>
        <v>ANT-0295</v>
      </c>
      <c r="E504" s="1" t="s">
        <v>1503</v>
      </c>
      <c r="F504" s="1" t="s">
        <v>1509</v>
      </c>
      <c r="G504" s="1" t="s">
        <v>813</v>
      </c>
      <c r="H504">
        <v>36</v>
      </c>
      <c r="I504">
        <v>3</v>
      </c>
      <c r="J504" s="1" t="s">
        <v>1704</v>
      </c>
      <c r="K504" s="1" t="s">
        <v>22</v>
      </c>
      <c r="L504">
        <v>487</v>
      </c>
      <c r="M504" s="4">
        <v>0.33819444444444446</v>
      </c>
      <c r="N504" s="10">
        <v>45.02</v>
      </c>
      <c r="O504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504" s="10">
        <f>Clients_chun_clean[[#This Row],[Facture_Mensuelle]]*Clients_chun_clean[[#This Row],[Remise]]</f>
        <v>20.259</v>
      </c>
      <c r="Q504">
        <v>2</v>
      </c>
    </row>
    <row r="505" spans="1:17" x14ac:dyDescent="0.25">
      <c r="A505" s="1" t="s">
        <v>546</v>
      </c>
      <c r="B505" s="1" t="s">
        <v>552</v>
      </c>
      <c r="C505" s="1" t="s">
        <v>73</v>
      </c>
      <c r="D505" s="1" t="str">
        <f>VLOOKUP(Clients_chun_clean[[#This Row],[Province_Client]],Master_Logs_reseau_registre!B505:F1576,2,0)</f>
        <v>ANT-0007</v>
      </c>
      <c r="E505" s="1" t="s">
        <v>1503</v>
      </c>
      <c r="F505" s="1" t="s">
        <v>1509</v>
      </c>
      <c r="G505" s="1" t="s">
        <v>811</v>
      </c>
      <c r="H505">
        <v>74</v>
      </c>
      <c r="I505">
        <v>6</v>
      </c>
      <c r="J505" s="1" t="s">
        <v>1704</v>
      </c>
      <c r="K505" s="1" t="s">
        <v>19</v>
      </c>
      <c r="L505">
        <v>388</v>
      </c>
      <c r="M505" s="4">
        <v>0.26944444444444443</v>
      </c>
      <c r="N505" s="10">
        <v>10.89</v>
      </c>
      <c r="O505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505" s="10">
        <f>Clients_chun_clean[[#This Row],[Facture_Mensuelle]]*Clients_chun_clean[[#This Row],[Remise]]</f>
        <v>4.9005000000000001</v>
      </c>
      <c r="Q505">
        <v>4</v>
      </c>
    </row>
    <row r="506" spans="1:17" x14ac:dyDescent="0.25">
      <c r="A506" s="1" t="s">
        <v>546</v>
      </c>
      <c r="B506" s="1" t="s">
        <v>553</v>
      </c>
      <c r="C506" s="1" t="s">
        <v>73</v>
      </c>
      <c r="D506" s="1" t="str">
        <f>VLOOKUP(Clients_chun_clean[[#This Row],[Province_Client]],Master_Logs_reseau_registre!B506:F1577,2,0)</f>
        <v>ANT-0007</v>
      </c>
      <c r="E506" s="1" t="s">
        <v>1503</v>
      </c>
      <c r="F506" s="1" t="s">
        <v>1509</v>
      </c>
      <c r="G506" s="1" t="s">
        <v>811</v>
      </c>
      <c r="H506">
        <v>47</v>
      </c>
      <c r="I506">
        <v>3</v>
      </c>
      <c r="J506" s="1" t="s">
        <v>1704</v>
      </c>
      <c r="K506" s="1" t="s">
        <v>11</v>
      </c>
      <c r="L506">
        <v>350</v>
      </c>
      <c r="M506" s="4">
        <v>0.24305555555555555</v>
      </c>
      <c r="N506" s="10">
        <v>80.48</v>
      </c>
      <c r="O506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506" s="10">
        <f>Clients_chun_clean[[#This Row],[Facture_Mensuelle]]*Clients_chun_clean[[#This Row],[Remise]]</f>
        <v>36.216000000000001</v>
      </c>
      <c r="Q506">
        <v>3</v>
      </c>
    </row>
    <row r="507" spans="1:17" x14ac:dyDescent="0.25">
      <c r="A507" s="1" t="s">
        <v>546</v>
      </c>
      <c r="B507" s="1" t="s">
        <v>554</v>
      </c>
      <c r="C507" s="1" t="s">
        <v>18</v>
      </c>
      <c r="D507" s="1" t="str">
        <f>VLOOKUP(Clients_chun_clean[[#This Row],[Province_Client]],Master_Logs_reseau_registre!B507:F1578,2,0)</f>
        <v>ANT-0588</v>
      </c>
      <c r="E507" s="1" t="s">
        <v>1508</v>
      </c>
      <c r="F507" s="1" t="s">
        <v>1504</v>
      </c>
      <c r="G507" s="1" t="s">
        <v>811</v>
      </c>
      <c r="H507">
        <v>46</v>
      </c>
      <c r="I507">
        <v>3</v>
      </c>
      <c r="J507" s="1" t="s">
        <v>1705</v>
      </c>
      <c r="K507" s="1" t="s">
        <v>14</v>
      </c>
      <c r="L507">
        <v>216</v>
      </c>
      <c r="M507" s="4">
        <v>0.15</v>
      </c>
      <c r="N507" s="10">
        <v>63.74</v>
      </c>
      <c r="O507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507" s="10">
        <f>Clients_chun_clean[[#This Row],[Facture_Mensuelle]]*Clients_chun_clean[[#This Row],[Remise]]</f>
        <v>6.3740000000000006</v>
      </c>
      <c r="Q507">
        <v>4</v>
      </c>
    </row>
    <row r="508" spans="1:17" x14ac:dyDescent="0.25">
      <c r="A508" s="1" t="s">
        <v>546</v>
      </c>
      <c r="B508" s="1" t="s">
        <v>555</v>
      </c>
      <c r="C508" s="1" t="s">
        <v>31</v>
      </c>
      <c r="D508" s="1" t="str">
        <f>VLOOKUP(Clients_chun_clean[[#This Row],[Province_Client]],Master_Logs_reseau_registre!B508:F1579,2,0)</f>
        <v>ANT-0131</v>
      </c>
      <c r="E508" s="1" t="s">
        <v>1503</v>
      </c>
      <c r="F508" s="1" t="s">
        <v>1516</v>
      </c>
      <c r="G508" s="1" t="s">
        <v>813</v>
      </c>
      <c r="H508">
        <v>12</v>
      </c>
      <c r="I508">
        <v>1</v>
      </c>
      <c r="J508" s="1" t="s">
        <v>1704</v>
      </c>
      <c r="K508" s="1" t="s">
        <v>22</v>
      </c>
      <c r="L508">
        <v>138</v>
      </c>
      <c r="M508" s="4">
        <v>9.583333333333334E-2</v>
      </c>
      <c r="N508" s="10">
        <v>17</v>
      </c>
      <c r="O508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508" s="10">
        <f>Clients_chun_clean[[#This Row],[Facture_Mensuelle]]*Clients_chun_clean[[#This Row],[Remise]]</f>
        <v>0</v>
      </c>
      <c r="Q508">
        <v>2</v>
      </c>
    </row>
    <row r="509" spans="1:17" x14ac:dyDescent="0.25">
      <c r="A509" s="1" t="s">
        <v>546</v>
      </c>
      <c r="B509" s="1" t="s">
        <v>556</v>
      </c>
      <c r="C509" s="1" t="s">
        <v>16</v>
      </c>
      <c r="D509" s="1" t="str">
        <f>VLOOKUP(Clients_chun_clean[[#This Row],[Province_Client]],Master_Logs_reseau_registre!B509:F1580,2,0)</f>
        <v>ANT-0855</v>
      </c>
      <c r="E509" s="1" t="s">
        <v>1503</v>
      </c>
      <c r="F509" s="1" t="s">
        <v>1516</v>
      </c>
      <c r="G509" s="1" t="s">
        <v>813</v>
      </c>
      <c r="H509">
        <v>10</v>
      </c>
      <c r="I509">
        <v>0</v>
      </c>
      <c r="J509" s="1" t="s">
        <v>1705</v>
      </c>
      <c r="K509" s="1" t="s">
        <v>14</v>
      </c>
      <c r="L509">
        <v>129</v>
      </c>
      <c r="M509" s="4">
        <v>8.9583333333333334E-2</v>
      </c>
      <c r="N509" s="10">
        <v>70.12</v>
      </c>
      <c r="O509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509" s="10">
        <f>Clients_chun_clean[[#This Row],[Facture_Mensuelle]]*Clients_chun_clean[[#This Row],[Remise]]</f>
        <v>7.0120000000000005</v>
      </c>
      <c r="Q509">
        <v>0</v>
      </c>
    </row>
    <row r="510" spans="1:17" x14ac:dyDescent="0.25">
      <c r="A510" s="1" t="s">
        <v>546</v>
      </c>
      <c r="B510" s="1" t="s">
        <v>557</v>
      </c>
      <c r="C510" s="1" t="s">
        <v>73</v>
      </c>
      <c r="D510" s="1" t="str">
        <f>VLOOKUP(Clients_chun_clean[[#This Row],[Province_Client]],Master_Logs_reseau_registre!B510:F1581,2,0)</f>
        <v>ANT-0007</v>
      </c>
      <c r="E510" s="1" t="s">
        <v>1503</v>
      </c>
      <c r="F510" s="1" t="s">
        <v>1516</v>
      </c>
      <c r="G510" s="1" t="s">
        <v>813</v>
      </c>
      <c r="H510">
        <v>23</v>
      </c>
      <c r="I510">
        <v>1</v>
      </c>
      <c r="J510" s="1" t="s">
        <v>1704</v>
      </c>
      <c r="K510" s="1" t="s">
        <v>19</v>
      </c>
      <c r="L510">
        <v>325</v>
      </c>
      <c r="M510" s="4">
        <v>0.22569444444444445</v>
      </c>
      <c r="N510" s="10">
        <v>65.489999999999995</v>
      </c>
      <c r="O510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510" s="10">
        <f>Clients_chun_clean[[#This Row],[Facture_Mensuelle]]*Clients_chun_clean[[#This Row],[Remise]]</f>
        <v>29.470499999999998</v>
      </c>
      <c r="Q510">
        <v>1</v>
      </c>
    </row>
    <row r="511" spans="1:17" x14ac:dyDescent="0.25">
      <c r="A511" s="1" t="s">
        <v>546</v>
      </c>
      <c r="B511" s="1" t="s">
        <v>558</v>
      </c>
      <c r="C511" s="1" t="s">
        <v>137</v>
      </c>
      <c r="D511" s="1" t="str">
        <f>VLOOKUP(Clients_chun_clean[[#This Row],[Province_Client]],Master_Logs_reseau_registre!B511:F1582,2,0)</f>
        <v>ANT-0515</v>
      </c>
      <c r="E511" s="1" t="s">
        <v>1506</v>
      </c>
      <c r="F511" s="1" t="s">
        <v>1509</v>
      </c>
      <c r="G511" s="1" t="s">
        <v>811</v>
      </c>
      <c r="H511">
        <v>91</v>
      </c>
      <c r="I511">
        <v>7</v>
      </c>
      <c r="J511" s="1" t="s">
        <v>1704</v>
      </c>
      <c r="K511" s="1" t="s">
        <v>22</v>
      </c>
      <c r="L511">
        <v>90</v>
      </c>
      <c r="M511" s="4">
        <v>6.25E-2</v>
      </c>
      <c r="N511" s="10">
        <v>39.14</v>
      </c>
      <c r="O511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511" s="10">
        <f>Clients_chun_clean[[#This Row],[Facture_Mensuelle]]*Clients_chun_clean[[#This Row],[Remise]]</f>
        <v>0</v>
      </c>
      <c r="Q511">
        <v>3</v>
      </c>
    </row>
    <row r="512" spans="1:17" x14ac:dyDescent="0.25">
      <c r="A512" s="1" t="s">
        <v>546</v>
      </c>
      <c r="B512" s="1" t="s">
        <v>559</v>
      </c>
      <c r="C512" s="1" t="s">
        <v>78</v>
      </c>
      <c r="D512" s="1" t="str">
        <f>VLOOKUP(Clients_chun_clean[[#This Row],[Province_Client]],Master_Logs_reseau_registre!B512:F1583,2,0)</f>
        <v>ANT-0407</v>
      </c>
      <c r="E512" s="1" t="s">
        <v>1503</v>
      </c>
      <c r="F512" s="1" t="s">
        <v>1516</v>
      </c>
      <c r="G512" s="1" t="s">
        <v>813</v>
      </c>
      <c r="H512">
        <v>99</v>
      </c>
      <c r="I512">
        <v>8</v>
      </c>
      <c r="J512" s="1" t="s">
        <v>1705</v>
      </c>
      <c r="K512" s="1" t="s">
        <v>14</v>
      </c>
      <c r="L512">
        <v>42</v>
      </c>
      <c r="M512" s="4">
        <v>2.9166666666666667E-2</v>
      </c>
      <c r="N512" s="10">
        <v>98.77</v>
      </c>
      <c r="O512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512" s="10">
        <f>Clients_chun_clean[[#This Row],[Facture_Mensuelle]]*Clients_chun_clean[[#This Row],[Remise]]</f>
        <v>9.8770000000000007</v>
      </c>
      <c r="Q512">
        <v>3</v>
      </c>
    </row>
    <row r="513" spans="1:17" x14ac:dyDescent="0.25">
      <c r="A513" s="1" t="s">
        <v>546</v>
      </c>
      <c r="B513" s="1" t="s">
        <v>560</v>
      </c>
      <c r="C513" s="1" t="s">
        <v>127</v>
      </c>
      <c r="D513" s="1" t="str">
        <f>VLOOKUP(Clients_chun_clean[[#This Row],[Province_Client]],Master_Logs_reseau_registre!B513:F1584,2,0)</f>
        <v>ANT-0670</v>
      </c>
      <c r="E513" s="1" t="s">
        <v>1503</v>
      </c>
      <c r="F513" s="1" t="s">
        <v>1516</v>
      </c>
      <c r="G513" s="1" t="s">
        <v>813</v>
      </c>
      <c r="H513">
        <v>59</v>
      </c>
      <c r="I513">
        <v>4</v>
      </c>
      <c r="J513" s="1" t="s">
        <v>1705</v>
      </c>
      <c r="K513" s="1" t="s">
        <v>14</v>
      </c>
      <c r="L513">
        <v>72</v>
      </c>
      <c r="M513" s="4">
        <v>0.05</v>
      </c>
      <c r="N513" s="10">
        <v>94.51</v>
      </c>
      <c r="O513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513" s="10">
        <f>Clients_chun_clean[[#This Row],[Facture_Mensuelle]]*Clients_chun_clean[[#This Row],[Remise]]</f>
        <v>9.4510000000000005</v>
      </c>
      <c r="Q513">
        <v>2</v>
      </c>
    </row>
    <row r="514" spans="1:17" x14ac:dyDescent="0.25">
      <c r="A514" s="1" t="s">
        <v>546</v>
      </c>
      <c r="B514" s="1" t="s">
        <v>561</v>
      </c>
      <c r="C514" s="1" t="s">
        <v>24</v>
      </c>
      <c r="D514" s="1" t="str">
        <f>VLOOKUP(Clients_chun_clean[[#This Row],[Province_Client]],Master_Logs_reseau_registre!B514:F1585,2,0)</f>
        <v>ANT-0558</v>
      </c>
      <c r="E514" s="1" t="s">
        <v>1506</v>
      </c>
      <c r="F514" s="1" t="s">
        <v>1507</v>
      </c>
      <c r="G514" s="1" t="s">
        <v>811</v>
      </c>
      <c r="H514">
        <v>34</v>
      </c>
      <c r="I514">
        <v>2</v>
      </c>
      <c r="J514" s="1" t="s">
        <v>1704</v>
      </c>
      <c r="K514" s="1" t="s">
        <v>19</v>
      </c>
      <c r="L514">
        <v>35</v>
      </c>
      <c r="M514" s="4">
        <v>2.4305555555555556E-2</v>
      </c>
      <c r="N514" s="10">
        <v>76.86</v>
      </c>
      <c r="O514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514" s="10">
        <f>Clients_chun_clean[[#This Row],[Facture_Mensuelle]]*Clients_chun_clean[[#This Row],[Remise]]</f>
        <v>0</v>
      </c>
      <c r="Q514">
        <v>1</v>
      </c>
    </row>
    <row r="515" spans="1:17" x14ac:dyDescent="0.25">
      <c r="A515" s="1" t="s">
        <v>546</v>
      </c>
      <c r="B515" s="1" t="s">
        <v>562</v>
      </c>
      <c r="C515" s="1" t="s">
        <v>44</v>
      </c>
      <c r="D515" s="1" t="str">
        <f>VLOOKUP(Clients_chun_clean[[#This Row],[Province_Client]],Master_Logs_reseau_registre!B515:F1586,2,0)</f>
        <v>ANT-0236</v>
      </c>
      <c r="E515" s="1" t="s">
        <v>1508</v>
      </c>
      <c r="F515" s="1" t="s">
        <v>1504</v>
      </c>
      <c r="G515" s="1" t="s">
        <v>811</v>
      </c>
      <c r="H515">
        <v>61</v>
      </c>
      <c r="I515">
        <v>5</v>
      </c>
      <c r="J515" s="1" t="s">
        <v>1704</v>
      </c>
      <c r="K515" s="1" t="s">
        <v>11</v>
      </c>
      <c r="L515">
        <v>140</v>
      </c>
      <c r="M515" s="4">
        <v>9.7222222222222224E-2</v>
      </c>
      <c r="N515" s="10">
        <v>76.3</v>
      </c>
      <c r="O515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515" s="10">
        <f>Clients_chun_clean[[#This Row],[Facture_Mensuelle]]*Clients_chun_clean[[#This Row],[Remise]]</f>
        <v>0</v>
      </c>
      <c r="Q515">
        <v>4</v>
      </c>
    </row>
    <row r="516" spans="1:17" x14ac:dyDescent="0.25">
      <c r="A516" s="1" t="s">
        <v>546</v>
      </c>
      <c r="B516" s="1" t="s">
        <v>563</v>
      </c>
      <c r="C516" s="1" t="s">
        <v>78</v>
      </c>
      <c r="D516" s="1" t="str">
        <f>VLOOKUP(Clients_chun_clean[[#This Row],[Province_Client]],Master_Logs_reseau_registre!B516:F1587,2,0)</f>
        <v>ANT-0407</v>
      </c>
      <c r="E516" s="1" t="s">
        <v>1503</v>
      </c>
      <c r="F516" s="1" t="s">
        <v>1516</v>
      </c>
      <c r="G516" s="1" t="s">
        <v>811</v>
      </c>
      <c r="H516">
        <v>33</v>
      </c>
      <c r="I516">
        <v>2</v>
      </c>
      <c r="J516" s="1" t="s">
        <v>1705</v>
      </c>
      <c r="K516" s="1" t="s">
        <v>14</v>
      </c>
      <c r="L516">
        <v>207</v>
      </c>
      <c r="M516" s="4">
        <v>0.14374999999999999</v>
      </c>
      <c r="N516" s="10">
        <v>38.49</v>
      </c>
      <c r="O516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516" s="10">
        <f>Clients_chun_clean[[#This Row],[Facture_Mensuelle]]*Clients_chun_clean[[#This Row],[Remise]]</f>
        <v>3.8490000000000002</v>
      </c>
      <c r="Q516">
        <v>4</v>
      </c>
    </row>
    <row r="517" spans="1:17" x14ac:dyDescent="0.25">
      <c r="A517" s="1" t="s">
        <v>546</v>
      </c>
      <c r="B517" s="1" t="s">
        <v>564</v>
      </c>
      <c r="C517" s="1" t="s">
        <v>35</v>
      </c>
      <c r="D517" s="1" t="str">
        <f>VLOOKUP(Clients_chun_clean[[#This Row],[Province_Client]],Master_Logs_reseau_registre!B517:F1588,2,0)</f>
        <v>ANT-0205</v>
      </c>
      <c r="E517" s="1" t="s">
        <v>1506</v>
      </c>
      <c r="F517" s="1" t="s">
        <v>1507</v>
      </c>
      <c r="G517" s="1" t="s">
        <v>811</v>
      </c>
      <c r="H517">
        <v>98</v>
      </c>
      <c r="I517">
        <v>8</v>
      </c>
      <c r="J517" s="1" t="s">
        <v>1705</v>
      </c>
      <c r="K517" s="1" t="s">
        <v>14</v>
      </c>
      <c r="L517">
        <v>41</v>
      </c>
      <c r="M517" s="4">
        <v>2.8472222222222222E-2</v>
      </c>
      <c r="N517" s="10">
        <v>23.55</v>
      </c>
      <c r="O517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517" s="10">
        <f>Clients_chun_clean[[#This Row],[Facture_Mensuelle]]*Clients_chun_clean[[#This Row],[Remise]]</f>
        <v>2.355</v>
      </c>
      <c r="Q517">
        <v>1</v>
      </c>
    </row>
    <row r="518" spans="1:17" x14ac:dyDescent="0.25">
      <c r="A518" s="1" t="s">
        <v>546</v>
      </c>
      <c r="B518" s="1" t="s">
        <v>565</v>
      </c>
      <c r="C518" s="1" t="s">
        <v>21</v>
      </c>
      <c r="D518" s="1" t="str">
        <f>VLOOKUP(Clients_chun_clean[[#This Row],[Province_Client]],Master_Logs_reseau_registre!B518:F1589,2,0)</f>
        <v>ANT-0472</v>
      </c>
      <c r="E518" s="1" t="s">
        <v>1506</v>
      </c>
      <c r="F518" s="1" t="s">
        <v>1507</v>
      </c>
      <c r="G518" s="1" t="s">
        <v>811</v>
      </c>
      <c r="H518">
        <v>113</v>
      </c>
      <c r="I518">
        <v>9</v>
      </c>
      <c r="J518" s="1" t="s">
        <v>1705</v>
      </c>
      <c r="K518" s="1" t="s">
        <v>14</v>
      </c>
      <c r="L518">
        <v>152</v>
      </c>
      <c r="M518" s="4">
        <v>0.10555555555555556</v>
      </c>
      <c r="N518" s="10">
        <v>51.28</v>
      </c>
      <c r="O518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518" s="10">
        <f>Clients_chun_clean[[#This Row],[Facture_Mensuelle]]*Clients_chun_clean[[#This Row],[Remise]]</f>
        <v>5.1280000000000001</v>
      </c>
      <c r="Q518">
        <v>4</v>
      </c>
    </row>
    <row r="519" spans="1:17" x14ac:dyDescent="0.25">
      <c r="A519" s="1" t="s">
        <v>546</v>
      </c>
      <c r="B519" s="1" t="s">
        <v>566</v>
      </c>
      <c r="C519" s="1" t="s">
        <v>31</v>
      </c>
      <c r="D519" s="1" t="str">
        <f>VLOOKUP(Clients_chun_clean[[#This Row],[Province_Client]],Master_Logs_reseau_registre!B519:F1590,2,0)</f>
        <v>ANT-0131</v>
      </c>
      <c r="E519" s="1" t="s">
        <v>1503</v>
      </c>
      <c r="F519" s="1" t="s">
        <v>1507</v>
      </c>
      <c r="G519" s="1" t="s">
        <v>811</v>
      </c>
      <c r="H519">
        <v>57</v>
      </c>
      <c r="I519">
        <v>4</v>
      </c>
      <c r="J519" s="1" t="s">
        <v>1704</v>
      </c>
      <c r="K519" s="1" t="s">
        <v>19</v>
      </c>
      <c r="L519">
        <v>447</v>
      </c>
      <c r="M519" s="4">
        <v>0.31041666666666667</v>
      </c>
      <c r="N519" s="10">
        <v>23.27</v>
      </c>
      <c r="O519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519" s="10">
        <f>Clients_chun_clean[[#This Row],[Facture_Mensuelle]]*Clients_chun_clean[[#This Row],[Remise]]</f>
        <v>10.471500000000001</v>
      </c>
      <c r="Q519">
        <v>3</v>
      </c>
    </row>
    <row r="520" spans="1:17" x14ac:dyDescent="0.25">
      <c r="A520" s="1" t="s">
        <v>546</v>
      </c>
      <c r="B520" s="1" t="s">
        <v>567</v>
      </c>
      <c r="C520" s="1" t="s">
        <v>10</v>
      </c>
      <c r="D520" s="1" t="str">
        <f>VLOOKUP(Clients_chun_clean[[#This Row],[Province_Client]],Master_Logs_reseau_registre!B520:F1591,2,0)</f>
        <v>ANT-0966</v>
      </c>
      <c r="E520" s="1" t="s">
        <v>1508</v>
      </c>
      <c r="F520" s="1" t="s">
        <v>1516</v>
      </c>
      <c r="G520" s="1" t="s">
        <v>808</v>
      </c>
      <c r="H520">
        <v>84</v>
      </c>
      <c r="I520">
        <v>7</v>
      </c>
      <c r="J520" s="1" t="s">
        <v>1704</v>
      </c>
      <c r="K520" s="1" t="s">
        <v>19</v>
      </c>
      <c r="L520">
        <v>364</v>
      </c>
      <c r="M520" s="4">
        <v>0.25277777777777777</v>
      </c>
      <c r="N520" s="10">
        <v>87.79</v>
      </c>
      <c r="O520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520" s="10">
        <f>Clients_chun_clean[[#This Row],[Facture_Mensuelle]]*Clients_chun_clean[[#This Row],[Remise]]</f>
        <v>39.505500000000005</v>
      </c>
      <c r="Q520">
        <v>3</v>
      </c>
    </row>
    <row r="521" spans="1:17" x14ac:dyDescent="0.25">
      <c r="A521" s="1" t="s">
        <v>546</v>
      </c>
      <c r="B521" s="1" t="s">
        <v>568</v>
      </c>
      <c r="C521" s="1" t="s">
        <v>62</v>
      </c>
      <c r="D521" s="1" t="str">
        <f>VLOOKUP(Clients_chun_clean[[#This Row],[Province_Client]],Master_Logs_reseau_registre!B521:F1592,2,0)</f>
        <v>ANT-0737</v>
      </c>
      <c r="E521" s="1" t="s">
        <v>1503</v>
      </c>
      <c r="F521" s="1" t="s">
        <v>1516</v>
      </c>
      <c r="G521" s="1" t="s">
        <v>808</v>
      </c>
      <c r="H521">
        <v>119</v>
      </c>
      <c r="I521">
        <v>9</v>
      </c>
      <c r="J521" s="1" t="s">
        <v>1704</v>
      </c>
      <c r="K521" s="1" t="s">
        <v>22</v>
      </c>
      <c r="L521">
        <v>231</v>
      </c>
      <c r="M521" s="4">
        <v>0.16041666666666668</v>
      </c>
      <c r="N521" s="10">
        <v>20.22</v>
      </c>
      <c r="O521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521" s="10">
        <f>Clients_chun_clean[[#This Row],[Facture_Mensuelle]]*Clients_chun_clean[[#This Row],[Remise]]</f>
        <v>0</v>
      </c>
      <c r="Q521">
        <v>2</v>
      </c>
    </row>
    <row r="522" spans="1:17" x14ac:dyDescent="0.25">
      <c r="A522" s="1" t="s">
        <v>546</v>
      </c>
      <c r="B522" s="1" t="s">
        <v>569</v>
      </c>
      <c r="C522" s="1" t="s">
        <v>37</v>
      </c>
      <c r="D522" s="1" t="str">
        <f>VLOOKUP(Clients_chun_clean[[#This Row],[Province_Client]],Master_Logs_reseau_registre!B522:F1593,2,0)</f>
        <v>ANT-0357</v>
      </c>
      <c r="E522" s="1" t="s">
        <v>1503</v>
      </c>
      <c r="F522" s="1" t="s">
        <v>1516</v>
      </c>
      <c r="G522" s="1" t="s">
        <v>808</v>
      </c>
      <c r="H522">
        <v>18</v>
      </c>
      <c r="I522">
        <v>1</v>
      </c>
      <c r="J522" s="1" t="s">
        <v>1704</v>
      </c>
      <c r="K522" s="1" t="s">
        <v>19</v>
      </c>
      <c r="L522">
        <v>446</v>
      </c>
      <c r="M522" s="4">
        <v>0.30972222222222223</v>
      </c>
      <c r="N522" s="10">
        <v>97.3</v>
      </c>
      <c r="O522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522" s="10">
        <f>Clients_chun_clean[[#This Row],[Facture_Mensuelle]]*Clients_chun_clean[[#This Row],[Remise]]</f>
        <v>43.784999999999997</v>
      </c>
      <c r="Q522">
        <v>5</v>
      </c>
    </row>
    <row r="523" spans="1:17" x14ac:dyDescent="0.25">
      <c r="A523" s="1" t="s">
        <v>546</v>
      </c>
      <c r="B523" s="1" t="s">
        <v>570</v>
      </c>
      <c r="C523" s="1" t="s">
        <v>137</v>
      </c>
      <c r="D523" s="1" t="str">
        <f>VLOOKUP(Clients_chun_clean[[#This Row],[Province_Client]],Master_Logs_reseau_registre!B523:F1594,2,0)</f>
        <v>ANT-0515</v>
      </c>
      <c r="E523" s="1" t="s">
        <v>1506</v>
      </c>
      <c r="F523" s="1" t="s">
        <v>1507</v>
      </c>
      <c r="G523" s="1" t="s">
        <v>811</v>
      </c>
      <c r="H523">
        <v>16</v>
      </c>
      <c r="I523">
        <v>1</v>
      </c>
      <c r="J523" s="1" t="s">
        <v>1705</v>
      </c>
      <c r="K523" s="1" t="s">
        <v>14</v>
      </c>
      <c r="L523">
        <v>214</v>
      </c>
      <c r="M523" s="4">
        <v>0.14861111111111111</v>
      </c>
      <c r="N523" s="10">
        <v>46.57</v>
      </c>
      <c r="O523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523" s="10">
        <f>Clients_chun_clean[[#This Row],[Facture_Mensuelle]]*Clients_chun_clean[[#This Row],[Remise]]</f>
        <v>4.657</v>
      </c>
      <c r="Q523">
        <v>5</v>
      </c>
    </row>
    <row r="524" spans="1:17" x14ac:dyDescent="0.25">
      <c r="A524" s="1" t="s">
        <v>546</v>
      </c>
      <c r="B524" s="1" t="s">
        <v>571</v>
      </c>
      <c r="C524" s="1" t="s">
        <v>13</v>
      </c>
      <c r="D524" s="1" t="str">
        <f>VLOOKUP(Clients_chun_clean[[#This Row],[Province_Client]],Master_Logs_reseau_registre!B524:F1595,2,0)</f>
        <v>ANT-0551</v>
      </c>
      <c r="E524" s="1" t="s">
        <v>1503</v>
      </c>
      <c r="F524" s="1" t="s">
        <v>1504</v>
      </c>
      <c r="G524" s="1" t="s">
        <v>808</v>
      </c>
      <c r="H524">
        <v>73</v>
      </c>
      <c r="I524">
        <v>6</v>
      </c>
      <c r="J524" s="1" t="s">
        <v>1705</v>
      </c>
      <c r="K524" s="1" t="s">
        <v>14</v>
      </c>
      <c r="L524">
        <v>268</v>
      </c>
      <c r="M524" s="4">
        <v>0.18611111111111112</v>
      </c>
      <c r="N524" s="10">
        <v>56.86</v>
      </c>
      <c r="O524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524" s="10">
        <f>Clients_chun_clean[[#This Row],[Facture_Mensuelle]]*Clients_chun_clean[[#This Row],[Remise]]</f>
        <v>25.587</v>
      </c>
      <c r="Q524">
        <v>5</v>
      </c>
    </row>
    <row r="525" spans="1:17" x14ac:dyDescent="0.25">
      <c r="A525" s="1" t="s">
        <v>546</v>
      </c>
      <c r="B525" s="1" t="s">
        <v>572</v>
      </c>
      <c r="C525" s="1" t="s">
        <v>131</v>
      </c>
      <c r="D525" s="1" t="str">
        <f>VLOOKUP(Clients_chun_clean[[#This Row],[Province_Client]],Master_Logs_reseau_registre!B525:F1596,2,0)</f>
        <v>ANT-0282</v>
      </c>
      <c r="E525" s="1" t="s">
        <v>1506</v>
      </c>
      <c r="F525" s="1" t="s">
        <v>1507</v>
      </c>
      <c r="G525" s="1" t="s">
        <v>811</v>
      </c>
      <c r="H525">
        <v>63</v>
      </c>
      <c r="I525">
        <v>5</v>
      </c>
      <c r="J525" s="1" t="s">
        <v>1704</v>
      </c>
      <c r="K525" s="1" t="s">
        <v>22</v>
      </c>
      <c r="L525">
        <v>109</v>
      </c>
      <c r="M525" s="4">
        <v>7.5694444444444439E-2</v>
      </c>
      <c r="N525" s="10">
        <v>10.33</v>
      </c>
      <c r="O525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525" s="10">
        <f>Clients_chun_clean[[#This Row],[Facture_Mensuelle]]*Clients_chun_clean[[#This Row],[Remise]]</f>
        <v>0</v>
      </c>
      <c r="Q525">
        <v>3</v>
      </c>
    </row>
    <row r="526" spans="1:17" x14ac:dyDescent="0.25">
      <c r="A526" s="1" t="s">
        <v>546</v>
      </c>
      <c r="B526" s="1" t="s">
        <v>573</v>
      </c>
      <c r="C526" s="1" t="s">
        <v>57</v>
      </c>
      <c r="D526" s="1" t="str">
        <f>VLOOKUP(Clients_chun_clean[[#This Row],[Province_Client]],Master_Logs_reseau_registre!B526:F1597,2,0)</f>
        <v>ANT-0294</v>
      </c>
      <c r="E526" s="1" t="s">
        <v>1503</v>
      </c>
      <c r="F526" s="1" t="s">
        <v>1516</v>
      </c>
      <c r="G526" s="1" t="s">
        <v>813</v>
      </c>
      <c r="H526">
        <v>6</v>
      </c>
      <c r="I526">
        <v>0</v>
      </c>
      <c r="J526" s="1" t="s">
        <v>1705</v>
      </c>
      <c r="K526" s="1" t="s">
        <v>14</v>
      </c>
      <c r="L526">
        <v>342</v>
      </c>
      <c r="M526" s="4">
        <v>0.23749999999999999</v>
      </c>
      <c r="N526" s="10">
        <v>50.55</v>
      </c>
      <c r="O526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526" s="10">
        <f>Clients_chun_clean[[#This Row],[Facture_Mensuelle]]*Clients_chun_clean[[#This Row],[Remise]]</f>
        <v>22.747499999999999</v>
      </c>
      <c r="Q526">
        <v>5</v>
      </c>
    </row>
    <row r="527" spans="1:17" x14ac:dyDescent="0.25">
      <c r="A527" s="1" t="s">
        <v>546</v>
      </c>
      <c r="B527" s="1" t="s">
        <v>574</v>
      </c>
      <c r="C527" s="1" t="s">
        <v>33</v>
      </c>
      <c r="D527" s="1" t="str">
        <f>VLOOKUP(Clients_chun_clean[[#This Row],[Province_Client]],Master_Logs_reseau_registre!B527:F1598,2,0)</f>
        <v>ANT-0270</v>
      </c>
      <c r="E527" s="1" t="s">
        <v>1503</v>
      </c>
      <c r="F527" s="1" t="s">
        <v>1516</v>
      </c>
      <c r="G527" s="1" t="s">
        <v>813</v>
      </c>
      <c r="H527">
        <v>47</v>
      </c>
      <c r="I527">
        <v>3</v>
      </c>
      <c r="J527" s="1" t="s">
        <v>1704</v>
      </c>
      <c r="K527" s="1" t="s">
        <v>11</v>
      </c>
      <c r="L527">
        <v>457</v>
      </c>
      <c r="M527" s="4">
        <v>0.31736111111111109</v>
      </c>
      <c r="N527" s="10">
        <v>84.93</v>
      </c>
      <c r="O527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527" s="10">
        <f>Clients_chun_clean[[#This Row],[Facture_Mensuelle]]*Clients_chun_clean[[#This Row],[Remise]]</f>
        <v>38.218500000000006</v>
      </c>
      <c r="Q527">
        <v>2</v>
      </c>
    </row>
    <row r="528" spans="1:17" x14ac:dyDescent="0.25">
      <c r="A528" s="1" t="s">
        <v>546</v>
      </c>
      <c r="B528" s="1" t="s">
        <v>575</v>
      </c>
      <c r="C528" s="1" t="s">
        <v>31</v>
      </c>
      <c r="D528" s="1" t="str">
        <f>VLOOKUP(Clients_chun_clean[[#This Row],[Province_Client]],Master_Logs_reseau_registre!B528:F1599,2,0)</f>
        <v>ANT-0131</v>
      </c>
      <c r="E528" s="1" t="s">
        <v>1503</v>
      </c>
      <c r="F528" s="1" t="s">
        <v>1516</v>
      </c>
      <c r="G528" s="1" t="s">
        <v>813</v>
      </c>
      <c r="H528">
        <v>110</v>
      </c>
      <c r="I528">
        <v>9</v>
      </c>
      <c r="J528" s="1" t="s">
        <v>1704</v>
      </c>
      <c r="K528" s="1" t="s">
        <v>19</v>
      </c>
      <c r="L528">
        <v>132</v>
      </c>
      <c r="M528" s="4">
        <v>9.166666666666666E-2</v>
      </c>
      <c r="N528" s="10">
        <v>21.31</v>
      </c>
      <c r="O528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528" s="10">
        <f>Clients_chun_clean[[#This Row],[Facture_Mensuelle]]*Clients_chun_clean[[#This Row],[Remise]]</f>
        <v>0</v>
      </c>
      <c r="Q528">
        <v>5</v>
      </c>
    </row>
    <row r="529" spans="1:17" x14ac:dyDescent="0.25">
      <c r="A529" s="1" t="s">
        <v>546</v>
      </c>
      <c r="B529" s="1" t="s">
        <v>576</v>
      </c>
      <c r="C529" s="1" t="s">
        <v>31</v>
      </c>
      <c r="D529" s="1" t="str">
        <f>VLOOKUP(Clients_chun_clean[[#This Row],[Province_Client]],Master_Logs_reseau_registre!B529:F1600,2,0)</f>
        <v>ANT-0416</v>
      </c>
      <c r="E529" s="1" t="s">
        <v>1508</v>
      </c>
      <c r="F529" s="1" t="s">
        <v>1507</v>
      </c>
      <c r="G529" s="1" t="s">
        <v>811</v>
      </c>
      <c r="H529">
        <v>37</v>
      </c>
      <c r="I529">
        <v>3</v>
      </c>
      <c r="J529" s="1" t="s">
        <v>1704</v>
      </c>
      <c r="K529" s="1" t="s">
        <v>11</v>
      </c>
      <c r="L529">
        <v>94</v>
      </c>
      <c r="M529" s="4">
        <v>6.5277777777777782E-2</v>
      </c>
      <c r="N529" s="10">
        <v>50.44</v>
      </c>
      <c r="O529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529" s="10">
        <f>Clients_chun_clean[[#This Row],[Facture_Mensuelle]]*Clients_chun_clean[[#This Row],[Remise]]</f>
        <v>22.698</v>
      </c>
      <c r="Q529">
        <v>4</v>
      </c>
    </row>
    <row r="530" spans="1:17" x14ac:dyDescent="0.25">
      <c r="A530" s="1" t="s">
        <v>546</v>
      </c>
      <c r="B530" s="1" t="s">
        <v>577</v>
      </c>
      <c r="C530" s="1" t="s">
        <v>40</v>
      </c>
      <c r="D530" s="1" t="str">
        <f>VLOOKUP(Clients_chun_clean[[#This Row],[Province_Client]],Master_Logs_reseau_registre!B530:F1601,2,0)</f>
        <v>ANT-0677</v>
      </c>
      <c r="E530" s="1" t="s">
        <v>1506</v>
      </c>
      <c r="F530" s="1" t="s">
        <v>1507</v>
      </c>
      <c r="G530" s="1" t="s">
        <v>811</v>
      </c>
      <c r="H530">
        <v>52</v>
      </c>
      <c r="I530">
        <v>4</v>
      </c>
      <c r="J530" s="1" t="s">
        <v>1704</v>
      </c>
      <c r="K530" s="1" t="s">
        <v>11</v>
      </c>
      <c r="L530">
        <v>425</v>
      </c>
      <c r="M530" s="4">
        <v>0.2951388888888889</v>
      </c>
      <c r="N530" s="10">
        <v>97.25</v>
      </c>
      <c r="O530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530" s="10">
        <f>Clients_chun_clean[[#This Row],[Facture_Mensuelle]]*Clients_chun_clean[[#This Row],[Remise]]</f>
        <v>43.762500000000003</v>
      </c>
      <c r="Q530">
        <v>0</v>
      </c>
    </row>
    <row r="531" spans="1:17" x14ac:dyDescent="0.25">
      <c r="A531" s="1" t="s">
        <v>546</v>
      </c>
      <c r="B531" s="1" t="s">
        <v>578</v>
      </c>
      <c r="C531" s="1" t="s">
        <v>44</v>
      </c>
      <c r="D531" s="1" t="str">
        <f>VLOOKUP(Clients_chun_clean[[#This Row],[Province_Client]],Master_Logs_reseau_registre!B531:F1602,2,0)</f>
        <v>ANT-0236</v>
      </c>
      <c r="E531" s="1" t="s">
        <v>1508</v>
      </c>
      <c r="F531" s="1" t="s">
        <v>1507</v>
      </c>
      <c r="G531" s="1" t="s">
        <v>808</v>
      </c>
      <c r="H531">
        <v>53</v>
      </c>
      <c r="I531">
        <v>4</v>
      </c>
      <c r="J531" s="1" t="s">
        <v>1705</v>
      </c>
      <c r="K531" s="1" t="s">
        <v>14</v>
      </c>
      <c r="L531">
        <v>27</v>
      </c>
      <c r="M531" s="4">
        <v>1.8749999999999999E-2</v>
      </c>
      <c r="N531" s="10">
        <v>18.77</v>
      </c>
      <c r="O531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531" s="10">
        <f>Clients_chun_clean[[#This Row],[Facture_Mensuelle]]*Clients_chun_clean[[#This Row],[Remise]]</f>
        <v>1.877</v>
      </c>
      <c r="Q531">
        <v>0</v>
      </c>
    </row>
    <row r="532" spans="1:17" x14ac:dyDescent="0.25">
      <c r="A532" s="1" t="s">
        <v>546</v>
      </c>
      <c r="B532" s="1" t="s">
        <v>579</v>
      </c>
      <c r="C532" s="1" t="s">
        <v>89</v>
      </c>
      <c r="D532" s="1" t="str">
        <f>VLOOKUP(Clients_chun_clean[[#This Row],[Province_Client]],Master_Logs_reseau_registre!B532:F1603,2,0)</f>
        <v>ANT-0194</v>
      </c>
      <c r="E532" s="1" t="s">
        <v>1508</v>
      </c>
      <c r="F532" s="1" t="s">
        <v>1507</v>
      </c>
      <c r="G532" s="1" t="s">
        <v>808</v>
      </c>
      <c r="H532">
        <v>110</v>
      </c>
      <c r="I532">
        <v>9</v>
      </c>
      <c r="J532" s="1" t="s">
        <v>1704</v>
      </c>
      <c r="K532" s="1" t="s">
        <v>22</v>
      </c>
      <c r="L532">
        <v>47</v>
      </c>
      <c r="M532" s="4">
        <v>3.2638888888888891E-2</v>
      </c>
      <c r="N532" s="10">
        <v>29.68</v>
      </c>
      <c r="O532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532" s="10">
        <f>Clients_chun_clean[[#This Row],[Facture_Mensuelle]]*Clients_chun_clean[[#This Row],[Remise]]</f>
        <v>0</v>
      </c>
      <c r="Q532">
        <v>0</v>
      </c>
    </row>
    <row r="533" spans="1:17" x14ac:dyDescent="0.25">
      <c r="A533" s="1" t="s">
        <v>546</v>
      </c>
      <c r="B533" s="1" t="s">
        <v>580</v>
      </c>
      <c r="C533" s="1" t="s">
        <v>16</v>
      </c>
      <c r="D533" s="1" t="str">
        <f>VLOOKUP(Clients_chun_clean[[#This Row],[Province_Client]],Master_Logs_reseau_registre!B533:F1604,2,0)</f>
        <v>ANT-0715</v>
      </c>
      <c r="E533" s="1" t="s">
        <v>1506</v>
      </c>
      <c r="F533" s="1" t="s">
        <v>1504</v>
      </c>
      <c r="G533" s="1" t="s">
        <v>808</v>
      </c>
      <c r="H533">
        <v>80</v>
      </c>
      <c r="I533">
        <v>6</v>
      </c>
      <c r="J533" s="1" t="s">
        <v>1705</v>
      </c>
      <c r="K533" s="1" t="s">
        <v>14</v>
      </c>
      <c r="L533">
        <v>458</v>
      </c>
      <c r="M533" s="4">
        <v>0.31805555555555554</v>
      </c>
      <c r="N533" s="10">
        <v>98.11</v>
      </c>
      <c r="O533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533" s="10">
        <f>Clients_chun_clean[[#This Row],[Facture_Mensuelle]]*Clients_chun_clean[[#This Row],[Remise]]</f>
        <v>44.149500000000003</v>
      </c>
      <c r="Q533">
        <v>0</v>
      </c>
    </row>
    <row r="534" spans="1:17" x14ac:dyDescent="0.25">
      <c r="A534" s="1" t="s">
        <v>546</v>
      </c>
      <c r="B534" s="1" t="s">
        <v>581</v>
      </c>
      <c r="C534" s="1" t="s">
        <v>26</v>
      </c>
      <c r="D534" s="1" t="str">
        <f>VLOOKUP(Clients_chun_clean[[#This Row],[Province_Client]],Master_Logs_reseau_registre!B534:F1605,2,0)</f>
        <v>ANT-0833</v>
      </c>
      <c r="E534" s="1" t="s">
        <v>1508</v>
      </c>
      <c r="F534" s="1" t="s">
        <v>1509</v>
      </c>
      <c r="G534" s="1" t="s">
        <v>813</v>
      </c>
      <c r="H534">
        <v>118</v>
      </c>
      <c r="I534">
        <v>9</v>
      </c>
      <c r="J534" s="1" t="s">
        <v>1704</v>
      </c>
      <c r="K534" s="1" t="s">
        <v>19</v>
      </c>
      <c r="L534">
        <v>461</v>
      </c>
      <c r="M534" s="4">
        <v>0.32013888888888886</v>
      </c>
      <c r="N534" s="10">
        <v>47.82</v>
      </c>
      <c r="O534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534" s="10">
        <f>Clients_chun_clean[[#This Row],[Facture_Mensuelle]]*Clients_chun_clean[[#This Row],[Remise]]</f>
        <v>21.519000000000002</v>
      </c>
      <c r="Q534">
        <v>5</v>
      </c>
    </row>
    <row r="535" spans="1:17" x14ac:dyDescent="0.25">
      <c r="A535" s="1" t="s">
        <v>546</v>
      </c>
      <c r="B535" s="1" t="s">
        <v>582</v>
      </c>
      <c r="C535" s="1" t="s">
        <v>51</v>
      </c>
      <c r="D535" s="1" t="str">
        <f>VLOOKUP(Clients_chun_clean[[#This Row],[Province_Client]],Master_Logs_reseau_registre!B535:F1606,2,0)</f>
        <v>ANT-0430</v>
      </c>
      <c r="E535" s="1" t="s">
        <v>1506</v>
      </c>
      <c r="F535" s="1" t="s">
        <v>1504</v>
      </c>
      <c r="G535" s="1" t="s">
        <v>808</v>
      </c>
      <c r="H535">
        <v>88</v>
      </c>
      <c r="I535">
        <v>7</v>
      </c>
      <c r="J535" s="1" t="s">
        <v>1704</v>
      </c>
      <c r="K535" s="1" t="s">
        <v>11</v>
      </c>
      <c r="L535">
        <v>219</v>
      </c>
      <c r="M535" s="4">
        <v>0.15208333333333332</v>
      </c>
      <c r="N535" s="10">
        <v>59.15</v>
      </c>
      <c r="O535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535" s="10">
        <f>Clients_chun_clean[[#This Row],[Facture_Mensuelle]]*Clients_chun_clean[[#This Row],[Remise]]</f>
        <v>0</v>
      </c>
      <c r="Q535">
        <v>0</v>
      </c>
    </row>
    <row r="536" spans="1:17" x14ac:dyDescent="0.25">
      <c r="A536" s="1" t="s">
        <v>546</v>
      </c>
      <c r="B536" s="1" t="s">
        <v>583</v>
      </c>
      <c r="C536" s="1" t="s">
        <v>24</v>
      </c>
      <c r="D536" s="1" t="str">
        <f>VLOOKUP(Clients_chun_clean[[#This Row],[Province_Client]],Master_Logs_reseau_registre!B536:F1607,2,0)</f>
        <v>ANT-0558</v>
      </c>
      <c r="E536" s="1" t="s">
        <v>1506</v>
      </c>
      <c r="F536" s="1" t="s">
        <v>1504</v>
      </c>
      <c r="G536" s="1" t="s">
        <v>808</v>
      </c>
      <c r="H536">
        <v>17</v>
      </c>
      <c r="I536">
        <v>1</v>
      </c>
      <c r="J536" s="1" t="s">
        <v>1705</v>
      </c>
      <c r="K536" s="1" t="s">
        <v>14</v>
      </c>
      <c r="L536">
        <v>175</v>
      </c>
      <c r="M536" s="4">
        <v>0.12152777777777778</v>
      </c>
      <c r="N536" s="10">
        <v>24.95</v>
      </c>
      <c r="O536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536" s="10">
        <f>Clients_chun_clean[[#This Row],[Facture_Mensuelle]]*Clients_chun_clean[[#This Row],[Remise]]</f>
        <v>2.4950000000000001</v>
      </c>
      <c r="Q536">
        <v>4</v>
      </c>
    </row>
    <row r="537" spans="1:17" x14ac:dyDescent="0.25">
      <c r="A537" s="1" t="s">
        <v>546</v>
      </c>
      <c r="B537" s="1" t="s">
        <v>584</v>
      </c>
      <c r="C537" s="1" t="s">
        <v>64</v>
      </c>
      <c r="D537" s="1" t="str">
        <f>VLOOKUP(Clients_chun_clean[[#This Row],[Province_Client]],Master_Logs_reseau_registre!B537:F1608,2,0)</f>
        <v>ANT-0690</v>
      </c>
      <c r="E537" s="1" t="s">
        <v>1508</v>
      </c>
      <c r="F537" s="1" t="s">
        <v>1509</v>
      </c>
      <c r="G537" s="1" t="s">
        <v>813</v>
      </c>
      <c r="H537">
        <v>57</v>
      </c>
      <c r="I537">
        <v>4</v>
      </c>
      <c r="J537" s="1" t="s">
        <v>1704</v>
      </c>
      <c r="K537" s="1" t="s">
        <v>19</v>
      </c>
      <c r="L537">
        <v>493</v>
      </c>
      <c r="M537" s="4">
        <v>0.34236111111111112</v>
      </c>
      <c r="N537" s="10">
        <v>43.98</v>
      </c>
      <c r="O537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537" s="10">
        <f>Clients_chun_clean[[#This Row],[Facture_Mensuelle]]*Clients_chun_clean[[#This Row],[Remise]]</f>
        <v>19.791</v>
      </c>
      <c r="Q537">
        <v>3</v>
      </c>
    </row>
    <row r="538" spans="1:17" x14ac:dyDescent="0.25">
      <c r="A538" s="1" t="s">
        <v>546</v>
      </c>
      <c r="B538" s="1" t="s">
        <v>585</v>
      </c>
      <c r="C538" s="1" t="s">
        <v>44</v>
      </c>
      <c r="D538" s="1" t="str">
        <f>VLOOKUP(Clients_chun_clean[[#This Row],[Province_Client]],Master_Logs_reseau_registre!B538:F1609,2,0)</f>
        <v>ANT-0236</v>
      </c>
      <c r="E538" s="1" t="s">
        <v>1508</v>
      </c>
      <c r="F538" s="1" t="s">
        <v>1509</v>
      </c>
      <c r="G538" s="1" t="s">
        <v>808</v>
      </c>
      <c r="H538">
        <v>47</v>
      </c>
      <c r="I538">
        <v>3</v>
      </c>
      <c r="J538" s="1" t="s">
        <v>1704</v>
      </c>
      <c r="K538" s="1" t="s">
        <v>22</v>
      </c>
      <c r="L538">
        <v>385</v>
      </c>
      <c r="M538" s="4">
        <v>0.2673611111111111</v>
      </c>
      <c r="N538" s="10">
        <v>41.33</v>
      </c>
      <c r="O538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538" s="10">
        <f>Clients_chun_clean[[#This Row],[Facture_Mensuelle]]*Clients_chun_clean[[#This Row],[Remise]]</f>
        <v>18.598500000000001</v>
      </c>
      <c r="Q538">
        <v>0</v>
      </c>
    </row>
    <row r="539" spans="1:17" x14ac:dyDescent="0.25">
      <c r="A539" s="1" t="s">
        <v>546</v>
      </c>
      <c r="B539" s="1" t="s">
        <v>586</v>
      </c>
      <c r="C539" s="1" t="s">
        <v>137</v>
      </c>
      <c r="D539" s="1" t="str">
        <f>VLOOKUP(Clients_chun_clean[[#This Row],[Province_Client]],Master_Logs_reseau_registre!B539:F1610,2,0)</f>
        <v>ANT-0515</v>
      </c>
      <c r="E539" s="1" t="s">
        <v>1506</v>
      </c>
      <c r="F539" s="1" t="s">
        <v>1504</v>
      </c>
      <c r="G539" s="1" t="s">
        <v>811</v>
      </c>
      <c r="H539">
        <v>66</v>
      </c>
      <c r="I539">
        <v>5</v>
      </c>
      <c r="J539" s="1" t="s">
        <v>1705</v>
      </c>
      <c r="K539" s="1" t="s">
        <v>14</v>
      </c>
      <c r="L539">
        <v>152</v>
      </c>
      <c r="M539" s="4">
        <v>0.10555555555555556</v>
      </c>
      <c r="N539" s="10">
        <v>95.71</v>
      </c>
      <c r="O539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539" s="10">
        <f>Clients_chun_clean[[#This Row],[Facture_Mensuelle]]*Clients_chun_clean[[#This Row],[Remise]]</f>
        <v>9.5709999999999997</v>
      </c>
      <c r="Q539">
        <v>3</v>
      </c>
    </row>
    <row r="540" spans="1:17" x14ac:dyDescent="0.25">
      <c r="A540" s="1" t="s">
        <v>546</v>
      </c>
      <c r="B540" s="1" t="s">
        <v>587</v>
      </c>
      <c r="C540" s="1" t="s">
        <v>35</v>
      </c>
      <c r="D540" s="1" t="str">
        <f>VLOOKUP(Clients_chun_clean[[#This Row],[Province_Client]],Master_Logs_reseau_registre!B540:F1611,2,0)</f>
        <v>ANT-0205</v>
      </c>
      <c r="E540" s="1" t="s">
        <v>1506</v>
      </c>
      <c r="F540" s="1" t="s">
        <v>1507</v>
      </c>
      <c r="G540" s="1" t="s">
        <v>811</v>
      </c>
      <c r="H540">
        <v>109</v>
      </c>
      <c r="I540">
        <v>9</v>
      </c>
      <c r="J540" s="1" t="s">
        <v>1704</v>
      </c>
      <c r="K540" s="1" t="s">
        <v>22</v>
      </c>
      <c r="L540">
        <v>84</v>
      </c>
      <c r="M540" s="4">
        <v>5.8333333333333334E-2</v>
      </c>
      <c r="N540" s="10">
        <v>97.46</v>
      </c>
      <c r="O540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540" s="10">
        <f>Clients_chun_clean[[#This Row],[Facture_Mensuelle]]*Clients_chun_clean[[#This Row],[Remise]]</f>
        <v>0</v>
      </c>
      <c r="Q540">
        <v>5</v>
      </c>
    </row>
    <row r="541" spans="1:17" x14ac:dyDescent="0.25">
      <c r="A541" s="1" t="s">
        <v>546</v>
      </c>
      <c r="B541" s="1" t="s">
        <v>588</v>
      </c>
      <c r="C541" s="1" t="s">
        <v>60</v>
      </c>
      <c r="D541" s="1" t="str">
        <f>VLOOKUP(Clients_chun_clean[[#This Row],[Province_Client]],Master_Logs_reseau_registre!B541:F1612,2,0)</f>
        <v>ANT-0701</v>
      </c>
      <c r="E541" s="1" t="s">
        <v>1508</v>
      </c>
      <c r="F541" s="1" t="s">
        <v>1509</v>
      </c>
      <c r="G541" s="1" t="s">
        <v>808</v>
      </c>
      <c r="H541">
        <v>80</v>
      </c>
      <c r="I541">
        <v>6</v>
      </c>
      <c r="J541" s="1" t="s">
        <v>1704</v>
      </c>
      <c r="K541" s="1" t="s">
        <v>22</v>
      </c>
      <c r="L541">
        <v>101</v>
      </c>
      <c r="M541" s="4">
        <v>7.013888888888889E-2</v>
      </c>
      <c r="N541" s="10">
        <v>61.92</v>
      </c>
      <c r="O541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541" s="10">
        <f>Clients_chun_clean[[#This Row],[Facture_Mensuelle]]*Clients_chun_clean[[#This Row],[Remise]]</f>
        <v>0</v>
      </c>
      <c r="Q541">
        <v>4</v>
      </c>
    </row>
    <row r="542" spans="1:17" x14ac:dyDescent="0.25">
      <c r="A542" s="1" t="s">
        <v>546</v>
      </c>
      <c r="B542" s="1" t="s">
        <v>589</v>
      </c>
      <c r="C542" s="1" t="s">
        <v>24</v>
      </c>
      <c r="D542" s="1" t="str">
        <f>VLOOKUP(Clients_chun_clean[[#This Row],[Province_Client]],Master_Logs_reseau_registre!B542:F1613,2,0)</f>
        <v>ANT-0543</v>
      </c>
      <c r="E542" s="1" t="s">
        <v>1506</v>
      </c>
      <c r="F542" s="1" t="s">
        <v>1507</v>
      </c>
      <c r="G542" s="1" t="s">
        <v>811</v>
      </c>
      <c r="H542">
        <v>41</v>
      </c>
      <c r="I542">
        <v>3</v>
      </c>
      <c r="J542" s="1" t="s">
        <v>1704</v>
      </c>
      <c r="K542" s="1" t="s">
        <v>11</v>
      </c>
      <c r="L542">
        <v>178</v>
      </c>
      <c r="M542" s="4">
        <v>0.12361111111111112</v>
      </c>
      <c r="N542" s="10">
        <v>11.29</v>
      </c>
      <c r="O542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542" s="10">
        <f>Clients_chun_clean[[#This Row],[Facture_Mensuelle]]*Clients_chun_clean[[#This Row],[Remise]]</f>
        <v>5.0804999999999998</v>
      </c>
      <c r="Q542">
        <v>4</v>
      </c>
    </row>
    <row r="543" spans="1:17" x14ac:dyDescent="0.25">
      <c r="A543" s="1" t="s">
        <v>546</v>
      </c>
      <c r="B543" s="1" t="s">
        <v>590</v>
      </c>
      <c r="C543" s="1" t="s">
        <v>24</v>
      </c>
      <c r="D543" s="1" t="str">
        <f>VLOOKUP(Clients_chun_clean[[#This Row],[Province_Client]],Master_Logs_reseau_registre!B543:F1614,2,0)</f>
        <v>ANT-0543</v>
      </c>
      <c r="E543" s="1" t="s">
        <v>1506</v>
      </c>
      <c r="F543" s="1" t="s">
        <v>1507</v>
      </c>
      <c r="G543" s="1" t="s">
        <v>811</v>
      </c>
      <c r="H543">
        <v>48</v>
      </c>
      <c r="I543">
        <v>4</v>
      </c>
      <c r="J543" s="1" t="s">
        <v>1704</v>
      </c>
      <c r="K543" s="1" t="s">
        <v>19</v>
      </c>
      <c r="L543">
        <v>482</v>
      </c>
      <c r="M543" s="4">
        <v>0.3347222222222222</v>
      </c>
      <c r="N543" s="10">
        <v>83.24</v>
      </c>
      <c r="O543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543" s="10">
        <f>Clients_chun_clean[[#This Row],[Facture_Mensuelle]]*Clients_chun_clean[[#This Row],[Remise]]</f>
        <v>37.457999999999998</v>
      </c>
      <c r="Q543">
        <v>0</v>
      </c>
    </row>
    <row r="544" spans="1:17" x14ac:dyDescent="0.25">
      <c r="A544" s="1" t="s">
        <v>546</v>
      </c>
      <c r="B544" s="1" t="s">
        <v>591</v>
      </c>
      <c r="C544" s="1" t="s">
        <v>40</v>
      </c>
      <c r="D544" s="1" t="str">
        <f>VLOOKUP(Clients_chun_clean[[#This Row],[Province_Client]],Master_Logs_reseau_registre!B544:F1615,2,0)</f>
        <v>ANT-0677</v>
      </c>
      <c r="E544" s="1" t="s">
        <v>1506</v>
      </c>
      <c r="F544" s="1" t="s">
        <v>1507</v>
      </c>
      <c r="G544" s="1" t="s">
        <v>811</v>
      </c>
      <c r="H544">
        <v>11</v>
      </c>
      <c r="I544">
        <v>0</v>
      </c>
      <c r="J544" s="1" t="s">
        <v>1705</v>
      </c>
      <c r="K544" s="1" t="s">
        <v>14</v>
      </c>
      <c r="L544">
        <v>214</v>
      </c>
      <c r="M544" s="4">
        <v>0.14861111111111111</v>
      </c>
      <c r="N544" s="10">
        <v>11.46</v>
      </c>
      <c r="O544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544" s="10">
        <f>Clients_chun_clean[[#This Row],[Facture_Mensuelle]]*Clients_chun_clean[[#This Row],[Remise]]</f>
        <v>1.1460000000000001</v>
      </c>
      <c r="Q544">
        <v>5</v>
      </c>
    </row>
    <row r="545" spans="1:17" x14ac:dyDescent="0.25">
      <c r="A545" s="1" t="s">
        <v>546</v>
      </c>
      <c r="B545" s="1" t="s">
        <v>592</v>
      </c>
      <c r="C545" s="1" t="s">
        <v>26</v>
      </c>
      <c r="D545" s="1" t="str">
        <f>VLOOKUP(Clients_chun_clean[[#This Row],[Province_Client]],Master_Logs_reseau_registre!B545:F1616,2,0)</f>
        <v>ANT-0833</v>
      </c>
      <c r="E545" s="1" t="s">
        <v>1508</v>
      </c>
      <c r="F545" s="1" t="s">
        <v>1509</v>
      </c>
      <c r="G545" s="1" t="s">
        <v>811</v>
      </c>
      <c r="H545">
        <v>88</v>
      </c>
      <c r="I545">
        <v>7</v>
      </c>
      <c r="J545" s="1" t="s">
        <v>1704</v>
      </c>
      <c r="K545" s="1" t="s">
        <v>19</v>
      </c>
      <c r="L545">
        <v>246</v>
      </c>
      <c r="M545" s="4">
        <v>0.17083333333333334</v>
      </c>
      <c r="N545" s="10">
        <v>90.7</v>
      </c>
      <c r="O545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545" s="10">
        <f>Clients_chun_clean[[#This Row],[Facture_Mensuelle]]*Clients_chun_clean[[#This Row],[Remise]]</f>
        <v>40.815000000000005</v>
      </c>
      <c r="Q545">
        <v>3</v>
      </c>
    </row>
    <row r="546" spans="1:17" x14ac:dyDescent="0.25">
      <c r="A546" s="1" t="s">
        <v>546</v>
      </c>
      <c r="B546" s="1" t="s">
        <v>593</v>
      </c>
      <c r="C546" s="1" t="s">
        <v>51</v>
      </c>
      <c r="D546" s="1" t="str">
        <f>VLOOKUP(Clients_chun_clean[[#This Row],[Province_Client]],Master_Logs_reseau_registre!B546:F1617,2,0)</f>
        <v>ANT-0430</v>
      </c>
      <c r="E546" s="1" t="s">
        <v>1506</v>
      </c>
      <c r="F546" s="1" t="s">
        <v>1507</v>
      </c>
      <c r="G546" s="1" t="s">
        <v>811</v>
      </c>
      <c r="H546">
        <v>53</v>
      </c>
      <c r="I546">
        <v>4</v>
      </c>
      <c r="J546" s="1" t="s">
        <v>1704</v>
      </c>
      <c r="K546" s="1" t="s">
        <v>11</v>
      </c>
      <c r="L546">
        <v>243</v>
      </c>
      <c r="M546" s="4">
        <v>0.16875000000000001</v>
      </c>
      <c r="N546" s="10">
        <v>55.19</v>
      </c>
      <c r="O546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546" s="10">
        <f>Clients_chun_clean[[#This Row],[Facture_Mensuelle]]*Clients_chun_clean[[#This Row],[Remise]]</f>
        <v>24.8355</v>
      </c>
      <c r="Q546">
        <v>4</v>
      </c>
    </row>
    <row r="547" spans="1:17" x14ac:dyDescent="0.25">
      <c r="A547" s="1" t="s">
        <v>546</v>
      </c>
      <c r="B547" s="1" t="s">
        <v>594</v>
      </c>
      <c r="C547" s="1" t="s">
        <v>127</v>
      </c>
      <c r="D547" s="1" t="str">
        <f>VLOOKUP(Clients_chun_clean[[#This Row],[Province_Client]],Master_Logs_reseau_registre!B547:F1618,2,0)</f>
        <v>ANT-0691</v>
      </c>
      <c r="E547" s="1" t="s">
        <v>1506</v>
      </c>
      <c r="F547" s="1" t="s">
        <v>1504</v>
      </c>
      <c r="G547" s="1" t="s">
        <v>811</v>
      </c>
      <c r="H547">
        <v>65</v>
      </c>
      <c r="I547">
        <v>5</v>
      </c>
      <c r="J547" s="1" t="s">
        <v>1705</v>
      </c>
      <c r="K547" s="1" t="s">
        <v>14</v>
      </c>
      <c r="L547">
        <v>274</v>
      </c>
      <c r="M547" s="4">
        <v>0.19027777777777777</v>
      </c>
      <c r="N547" s="10">
        <v>88.1</v>
      </c>
      <c r="O547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547" s="10">
        <f>Clients_chun_clean[[#This Row],[Facture_Mensuelle]]*Clients_chun_clean[[#This Row],[Remise]]</f>
        <v>39.644999999999996</v>
      </c>
      <c r="Q547">
        <v>4</v>
      </c>
    </row>
    <row r="548" spans="1:17" x14ac:dyDescent="0.25">
      <c r="A548" s="1" t="s">
        <v>546</v>
      </c>
      <c r="B548" s="1" t="s">
        <v>595</v>
      </c>
      <c r="C548" s="1" t="s">
        <v>78</v>
      </c>
      <c r="D548" s="1" t="str">
        <f>VLOOKUP(Clients_chun_clean[[#This Row],[Province_Client]],Master_Logs_reseau_registre!B548:F1619,2,0)</f>
        <v>ANT-0407</v>
      </c>
      <c r="E548" s="1" t="s">
        <v>1503</v>
      </c>
      <c r="F548" s="1" t="s">
        <v>1516</v>
      </c>
      <c r="G548" s="1" t="s">
        <v>813</v>
      </c>
      <c r="H548">
        <v>58</v>
      </c>
      <c r="I548">
        <v>4</v>
      </c>
      <c r="J548" s="1" t="s">
        <v>1705</v>
      </c>
      <c r="K548" s="1" t="s">
        <v>14</v>
      </c>
      <c r="L548">
        <v>352</v>
      </c>
      <c r="M548" s="4">
        <v>0.24444444444444444</v>
      </c>
      <c r="N548" s="10">
        <v>72.94</v>
      </c>
      <c r="O548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548" s="10">
        <f>Clients_chun_clean[[#This Row],[Facture_Mensuelle]]*Clients_chun_clean[[#This Row],[Remise]]</f>
        <v>32.823</v>
      </c>
      <c r="Q548">
        <v>0</v>
      </c>
    </row>
    <row r="549" spans="1:17" x14ac:dyDescent="0.25">
      <c r="A549" s="1" t="s">
        <v>546</v>
      </c>
      <c r="B549" s="1" t="s">
        <v>596</v>
      </c>
      <c r="C549" s="1" t="s">
        <v>29</v>
      </c>
      <c r="D549" s="1" t="str">
        <f>VLOOKUP(Clients_chun_clean[[#This Row],[Province_Client]],Master_Logs_reseau_registre!B549:F1620,2,0)</f>
        <v>ANT-0794</v>
      </c>
      <c r="E549" s="1" t="s">
        <v>1508</v>
      </c>
      <c r="F549" s="1" t="s">
        <v>1509</v>
      </c>
      <c r="G549" s="1" t="s">
        <v>811</v>
      </c>
      <c r="H549">
        <v>34</v>
      </c>
      <c r="I549">
        <v>2</v>
      </c>
      <c r="J549" s="1" t="s">
        <v>1704</v>
      </c>
      <c r="K549" s="1" t="s">
        <v>22</v>
      </c>
      <c r="L549">
        <v>401</v>
      </c>
      <c r="M549" s="4">
        <v>0.27847222222222223</v>
      </c>
      <c r="N549" s="10">
        <v>68.400000000000006</v>
      </c>
      <c r="O549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549" s="10">
        <f>Clients_chun_clean[[#This Row],[Facture_Mensuelle]]*Clients_chun_clean[[#This Row],[Remise]]</f>
        <v>30.780000000000005</v>
      </c>
      <c r="Q549">
        <v>5</v>
      </c>
    </row>
    <row r="550" spans="1:17" x14ac:dyDescent="0.25">
      <c r="A550" s="1" t="s">
        <v>597</v>
      </c>
      <c r="B550" s="1" t="s">
        <v>598</v>
      </c>
      <c r="C550" s="1" t="s">
        <v>57</v>
      </c>
      <c r="D550" s="1" t="str">
        <f>VLOOKUP(Clients_chun_clean[[#This Row],[Province_Client]],Master_Logs_reseau_registre!B550:F1621,2,0)</f>
        <v>ANT-0294</v>
      </c>
      <c r="E550" s="1" t="s">
        <v>1503</v>
      </c>
      <c r="F550" s="1" t="s">
        <v>1509</v>
      </c>
      <c r="G550" s="1" t="s">
        <v>811</v>
      </c>
      <c r="H550">
        <v>51</v>
      </c>
      <c r="I550">
        <v>4</v>
      </c>
      <c r="J550" s="1" t="s">
        <v>1704</v>
      </c>
      <c r="K550" s="1" t="s">
        <v>22</v>
      </c>
      <c r="L550">
        <v>152</v>
      </c>
      <c r="M550" s="4">
        <v>0.10555555555555556</v>
      </c>
      <c r="N550" s="10">
        <v>34.630000000000003</v>
      </c>
      <c r="O550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550" s="10">
        <f>Clients_chun_clean[[#This Row],[Facture_Mensuelle]]*Clients_chun_clean[[#This Row],[Remise]]</f>
        <v>0</v>
      </c>
      <c r="Q550">
        <v>2</v>
      </c>
    </row>
    <row r="551" spans="1:17" x14ac:dyDescent="0.25">
      <c r="A551" s="1" t="s">
        <v>597</v>
      </c>
      <c r="B551" s="1" t="s">
        <v>599</v>
      </c>
      <c r="C551" s="1" t="s">
        <v>137</v>
      </c>
      <c r="D551" s="1" t="str">
        <f>VLOOKUP(Clients_chun_clean[[#This Row],[Province_Client]],Master_Logs_reseau_registre!B551:F1622,2,0)</f>
        <v>ANT-0515</v>
      </c>
      <c r="E551" s="1" t="s">
        <v>1506</v>
      </c>
      <c r="F551" s="1" t="s">
        <v>1516</v>
      </c>
      <c r="G551" s="1" t="s">
        <v>808</v>
      </c>
      <c r="H551">
        <v>25</v>
      </c>
      <c r="I551">
        <v>2</v>
      </c>
      <c r="J551" s="1" t="s">
        <v>1704</v>
      </c>
      <c r="K551" s="1" t="s">
        <v>19</v>
      </c>
      <c r="L551">
        <v>5</v>
      </c>
      <c r="M551" s="4">
        <v>3.472222222222222E-3</v>
      </c>
      <c r="N551" s="10">
        <v>27.93</v>
      </c>
      <c r="O551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551" s="10">
        <f>Clients_chun_clean[[#This Row],[Facture_Mensuelle]]*Clients_chun_clean[[#This Row],[Remise]]</f>
        <v>0</v>
      </c>
      <c r="Q551">
        <v>0</v>
      </c>
    </row>
    <row r="552" spans="1:17" x14ac:dyDescent="0.25">
      <c r="A552" s="1" t="s">
        <v>597</v>
      </c>
      <c r="B552" s="1" t="s">
        <v>600</v>
      </c>
      <c r="C552" s="1" t="s">
        <v>127</v>
      </c>
      <c r="D552" s="1" t="str">
        <f>VLOOKUP(Clients_chun_clean[[#This Row],[Province_Client]],Master_Logs_reseau_registre!B552:F1623,2,0)</f>
        <v>ANT-0691</v>
      </c>
      <c r="E552" s="1" t="s">
        <v>1506</v>
      </c>
      <c r="F552" s="1" t="s">
        <v>1516</v>
      </c>
      <c r="G552" s="1" t="s">
        <v>808</v>
      </c>
      <c r="H552">
        <v>79</v>
      </c>
      <c r="I552">
        <v>6</v>
      </c>
      <c r="J552" s="1" t="s">
        <v>1704</v>
      </c>
      <c r="K552" s="1" t="s">
        <v>19</v>
      </c>
      <c r="L552">
        <v>462</v>
      </c>
      <c r="M552" s="4">
        <v>0.32083333333333336</v>
      </c>
      <c r="N552" s="10">
        <v>18.28</v>
      </c>
      <c r="O552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552" s="10">
        <f>Clients_chun_clean[[#This Row],[Facture_Mensuelle]]*Clients_chun_clean[[#This Row],[Remise]]</f>
        <v>8.2260000000000009</v>
      </c>
      <c r="Q552">
        <v>0</v>
      </c>
    </row>
    <row r="553" spans="1:17" x14ac:dyDescent="0.25">
      <c r="A553" s="1" t="s">
        <v>597</v>
      </c>
      <c r="B553" s="1" t="s">
        <v>601</v>
      </c>
      <c r="C553" s="1" t="s">
        <v>60</v>
      </c>
      <c r="D553" s="1" t="str">
        <f>VLOOKUP(Clients_chun_clean[[#This Row],[Province_Client]],Master_Logs_reseau_registre!B553:F1624,2,0)</f>
        <v>ANT-0701</v>
      </c>
      <c r="E553" s="1" t="s">
        <v>1508</v>
      </c>
      <c r="F553" s="1" t="s">
        <v>1509</v>
      </c>
      <c r="G553" s="1" t="s">
        <v>813</v>
      </c>
      <c r="H553">
        <v>83</v>
      </c>
      <c r="I553">
        <v>6</v>
      </c>
      <c r="J553" s="1" t="s">
        <v>1705</v>
      </c>
      <c r="K553" s="1" t="s">
        <v>14</v>
      </c>
      <c r="L553">
        <v>91</v>
      </c>
      <c r="M553" s="4">
        <v>6.3194444444444442E-2</v>
      </c>
      <c r="N553" s="10">
        <v>73.73</v>
      </c>
      <c r="O553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553" s="10">
        <f>Clients_chun_clean[[#This Row],[Facture_Mensuelle]]*Clients_chun_clean[[#This Row],[Remise]]</f>
        <v>7.3730000000000011</v>
      </c>
      <c r="Q553">
        <v>2</v>
      </c>
    </row>
    <row r="554" spans="1:17" x14ac:dyDescent="0.25">
      <c r="A554" s="1" t="s">
        <v>597</v>
      </c>
      <c r="B554" s="1" t="s">
        <v>602</v>
      </c>
      <c r="C554" s="1" t="s">
        <v>131</v>
      </c>
      <c r="D554" s="1" t="str">
        <f>VLOOKUP(Clients_chun_clean[[#This Row],[Province_Client]],Master_Logs_reseau_registre!B554:F1625,2,0)</f>
        <v>ANT-0282</v>
      </c>
      <c r="E554" s="1" t="s">
        <v>1506</v>
      </c>
      <c r="F554" s="1" t="s">
        <v>1516</v>
      </c>
      <c r="G554" s="1" t="s">
        <v>808</v>
      </c>
      <c r="H554">
        <v>51</v>
      </c>
      <c r="I554">
        <v>4</v>
      </c>
      <c r="J554" s="1" t="s">
        <v>1704</v>
      </c>
      <c r="K554" s="1" t="s">
        <v>19</v>
      </c>
      <c r="L554">
        <v>337</v>
      </c>
      <c r="M554" s="4">
        <v>0.23402777777777778</v>
      </c>
      <c r="N554" s="10">
        <v>68.67</v>
      </c>
      <c r="O554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554" s="10">
        <f>Clients_chun_clean[[#This Row],[Facture_Mensuelle]]*Clients_chun_clean[[#This Row],[Remise]]</f>
        <v>30.901500000000002</v>
      </c>
      <c r="Q554">
        <v>5</v>
      </c>
    </row>
    <row r="555" spans="1:17" x14ac:dyDescent="0.25">
      <c r="A555" s="1" t="s">
        <v>597</v>
      </c>
      <c r="B555" s="1" t="s">
        <v>603</v>
      </c>
      <c r="C555" s="1" t="s">
        <v>51</v>
      </c>
      <c r="D555" s="1" t="str">
        <f>VLOOKUP(Clients_chun_clean[[#This Row],[Province_Client]],Master_Logs_reseau_registre!B555:F1626,2,0)</f>
        <v>ANT-0430</v>
      </c>
      <c r="E555" s="1" t="s">
        <v>1506</v>
      </c>
      <c r="F555" s="1" t="s">
        <v>1516</v>
      </c>
      <c r="G555" s="1" t="s">
        <v>808</v>
      </c>
      <c r="H555">
        <v>107</v>
      </c>
      <c r="I555">
        <v>8</v>
      </c>
      <c r="J555" s="1" t="s">
        <v>1704</v>
      </c>
      <c r="K555" s="1" t="s">
        <v>22</v>
      </c>
      <c r="L555">
        <v>290</v>
      </c>
      <c r="M555" s="4">
        <v>0.2013888888888889</v>
      </c>
      <c r="N555" s="10">
        <v>52.03</v>
      </c>
      <c r="O555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555" s="10">
        <f>Clients_chun_clean[[#This Row],[Facture_Mensuelle]]*Clients_chun_clean[[#This Row],[Remise]]</f>
        <v>23.413500000000003</v>
      </c>
      <c r="Q555">
        <v>0</v>
      </c>
    </row>
    <row r="556" spans="1:17" x14ac:dyDescent="0.25">
      <c r="A556" s="1" t="s">
        <v>597</v>
      </c>
      <c r="B556" s="1" t="s">
        <v>604</v>
      </c>
      <c r="C556" s="1" t="s">
        <v>33</v>
      </c>
      <c r="D556" s="1" t="str">
        <f>VLOOKUP(Clients_chun_clean[[#This Row],[Province_Client]],Master_Logs_reseau_registre!B556:F1627,2,0)</f>
        <v>ANT-0270</v>
      </c>
      <c r="E556" s="1" t="s">
        <v>1503</v>
      </c>
      <c r="F556" s="1" t="s">
        <v>1509</v>
      </c>
      <c r="G556" s="1" t="s">
        <v>813</v>
      </c>
      <c r="H556">
        <v>7</v>
      </c>
      <c r="I556">
        <v>0</v>
      </c>
      <c r="J556" s="1" t="s">
        <v>1705</v>
      </c>
      <c r="K556" s="1" t="s">
        <v>14</v>
      </c>
      <c r="L556">
        <v>323</v>
      </c>
      <c r="M556" s="4">
        <v>0.22430555555555556</v>
      </c>
      <c r="N556" s="10">
        <v>82.81</v>
      </c>
      <c r="O556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556" s="10">
        <f>Clients_chun_clean[[#This Row],[Facture_Mensuelle]]*Clients_chun_clean[[#This Row],[Remise]]</f>
        <v>37.264500000000005</v>
      </c>
      <c r="Q556">
        <v>5</v>
      </c>
    </row>
    <row r="557" spans="1:17" x14ac:dyDescent="0.25">
      <c r="A557" s="1" t="s">
        <v>597</v>
      </c>
      <c r="B557" s="1" t="s">
        <v>605</v>
      </c>
      <c r="C557" s="1" t="s">
        <v>26</v>
      </c>
      <c r="D557" s="1" t="str">
        <f>VLOOKUP(Clients_chun_clean[[#This Row],[Province_Client]],Master_Logs_reseau_registre!B557:F1628,2,0)</f>
        <v>ANT-0833</v>
      </c>
      <c r="E557" s="1" t="s">
        <v>1508</v>
      </c>
      <c r="F557" s="1" t="s">
        <v>1509</v>
      </c>
      <c r="G557" s="1" t="s">
        <v>813</v>
      </c>
      <c r="H557">
        <v>103</v>
      </c>
      <c r="I557">
        <v>8</v>
      </c>
      <c r="J557" s="1" t="s">
        <v>1704</v>
      </c>
      <c r="K557" s="1" t="s">
        <v>11</v>
      </c>
      <c r="L557">
        <v>310</v>
      </c>
      <c r="M557" s="4">
        <v>0.21527777777777779</v>
      </c>
      <c r="N557" s="10">
        <v>49.25</v>
      </c>
      <c r="O557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557" s="10">
        <f>Clients_chun_clean[[#This Row],[Facture_Mensuelle]]*Clients_chun_clean[[#This Row],[Remise]]</f>
        <v>22.162500000000001</v>
      </c>
      <c r="Q557">
        <v>2</v>
      </c>
    </row>
    <row r="558" spans="1:17" x14ac:dyDescent="0.25">
      <c r="A558" s="1" t="s">
        <v>597</v>
      </c>
      <c r="B558" s="1" t="s">
        <v>606</v>
      </c>
      <c r="C558" s="1" t="s">
        <v>51</v>
      </c>
      <c r="D558" s="1" t="str">
        <f>VLOOKUP(Clients_chun_clean[[#This Row],[Province_Client]],Master_Logs_reseau_registre!B558:F1629,2,0)</f>
        <v>ANT-0430</v>
      </c>
      <c r="E558" s="1" t="s">
        <v>1506</v>
      </c>
      <c r="F558" s="1" t="s">
        <v>1509</v>
      </c>
      <c r="G558" s="1" t="s">
        <v>813</v>
      </c>
      <c r="H558">
        <v>120</v>
      </c>
      <c r="I558">
        <v>10</v>
      </c>
      <c r="J558" s="1" t="s">
        <v>1704</v>
      </c>
      <c r="K558" s="1" t="s">
        <v>22</v>
      </c>
      <c r="L558">
        <v>437</v>
      </c>
      <c r="M558" s="4">
        <v>0.3034722222222222</v>
      </c>
      <c r="N558" s="10">
        <v>95.17</v>
      </c>
      <c r="O558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558" s="10">
        <f>Clients_chun_clean[[#This Row],[Facture_Mensuelle]]*Clients_chun_clean[[#This Row],[Remise]]</f>
        <v>42.826500000000003</v>
      </c>
      <c r="Q558">
        <v>1</v>
      </c>
    </row>
    <row r="559" spans="1:17" x14ac:dyDescent="0.25">
      <c r="A559" s="1" t="s">
        <v>597</v>
      </c>
      <c r="B559" s="1" t="s">
        <v>607</v>
      </c>
      <c r="C559" s="1" t="s">
        <v>21</v>
      </c>
      <c r="D559" s="1" t="str">
        <f>VLOOKUP(Clients_chun_clean[[#This Row],[Province_Client]],Master_Logs_reseau_registre!B559:F1630,2,0)</f>
        <v>ANT-0441</v>
      </c>
      <c r="E559" s="1" t="s">
        <v>1508</v>
      </c>
      <c r="F559" s="1" t="s">
        <v>1509</v>
      </c>
      <c r="G559" s="1" t="s">
        <v>811</v>
      </c>
      <c r="H559">
        <v>74</v>
      </c>
      <c r="I559">
        <v>6</v>
      </c>
      <c r="J559" s="1" t="s">
        <v>1704</v>
      </c>
      <c r="K559" s="1" t="s">
        <v>22</v>
      </c>
      <c r="L559">
        <v>16</v>
      </c>
      <c r="M559" s="4">
        <v>1.1111111111111112E-2</v>
      </c>
      <c r="N559" s="10">
        <v>93.01</v>
      </c>
      <c r="O559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559" s="10">
        <f>Clients_chun_clean[[#This Row],[Facture_Mensuelle]]*Clients_chun_clean[[#This Row],[Remise]]</f>
        <v>0</v>
      </c>
      <c r="Q559">
        <v>3</v>
      </c>
    </row>
    <row r="560" spans="1:17" x14ac:dyDescent="0.25">
      <c r="A560" s="1" t="s">
        <v>597</v>
      </c>
      <c r="B560" s="1" t="s">
        <v>608</v>
      </c>
      <c r="C560" s="1" t="s">
        <v>24</v>
      </c>
      <c r="D560" s="1" t="str">
        <f>VLOOKUP(Clients_chun_clean[[#This Row],[Province_Client]],Master_Logs_reseau_registre!B560:F1631,2,0)</f>
        <v>ANT-0543</v>
      </c>
      <c r="E560" s="1" t="s">
        <v>1506</v>
      </c>
      <c r="F560" s="1" t="s">
        <v>1516</v>
      </c>
      <c r="G560" s="1" t="s">
        <v>808</v>
      </c>
      <c r="H560">
        <v>55</v>
      </c>
      <c r="I560">
        <v>4</v>
      </c>
      <c r="J560" s="1" t="s">
        <v>1704</v>
      </c>
      <c r="K560" s="1" t="s">
        <v>22</v>
      </c>
      <c r="L560">
        <v>60</v>
      </c>
      <c r="M560" s="4">
        <v>4.1666666666666664E-2</v>
      </c>
      <c r="N560" s="10">
        <v>32.51</v>
      </c>
      <c r="O560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560" s="10">
        <f>Clients_chun_clean[[#This Row],[Facture_Mensuelle]]*Clients_chun_clean[[#This Row],[Remise]]</f>
        <v>0</v>
      </c>
      <c r="Q560">
        <v>4</v>
      </c>
    </row>
    <row r="561" spans="1:17" x14ac:dyDescent="0.25">
      <c r="A561" s="1" t="s">
        <v>597</v>
      </c>
      <c r="B561" s="1" t="s">
        <v>609</v>
      </c>
      <c r="C561" s="1" t="s">
        <v>127</v>
      </c>
      <c r="D561" s="1" t="str">
        <f>VLOOKUP(Clients_chun_clean[[#This Row],[Province_Client]],Master_Logs_reseau_registre!B561:F1632,2,0)</f>
        <v>ANT-0691</v>
      </c>
      <c r="E561" s="1" t="s">
        <v>1506</v>
      </c>
      <c r="F561" s="1" t="s">
        <v>1516</v>
      </c>
      <c r="G561" s="1" t="s">
        <v>808</v>
      </c>
      <c r="H561">
        <v>17</v>
      </c>
      <c r="I561">
        <v>1</v>
      </c>
      <c r="J561" s="1" t="s">
        <v>1704</v>
      </c>
      <c r="K561" s="1" t="s">
        <v>11</v>
      </c>
      <c r="L561">
        <v>499</v>
      </c>
      <c r="M561" s="4">
        <v>0.34652777777777777</v>
      </c>
      <c r="N561" s="10">
        <v>27.81</v>
      </c>
      <c r="O561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561" s="10">
        <f>Clients_chun_clean[[#This Row],[Facture_Mensuelle]]*Clients_chun_clean[[#This Row],[Remise]]</f>
        <v>12.5145</v>
      </c>
      <c r="Q561">
        <v>2</v>
      </c>
    </row>
    <row r="562" spans="1:17" x14ac:dyDescent="0.25">
      <c r="A562" s="1" t="s">
        <v>597</v>
      </c>
      <c r="B562" s="1" t="s">
        <v>610</v>
      </c>
      <c r="C562" s="1" t="s">
        <v>10</v>
      </c>
      <c r="D562" s="1" t="str">
        <f>VLOOKUP(Clients_chun_clean[[#This Row],[Province_Client]],Master_Logs_reseau_registre!B562:F1633,2,0)</f>
        <v>ANT-0966</v>
      </c>
      <c r="E562" s="1" t="s">
        <v>1508</v>
      </c>
      <c r="F562" s="1" t="s">
        <v>1516</v>
      </c>
      <c r="G562" s="1" t="s">
        <v>813</v>
      </c>
      <c r="H562">
        <v>82</v>
      </c>
      <c r="I562">
        <v>6</v>
      </c>
      <c r="J562" s="1" t="s">
        <v>1704</v>
      </c>
      <c r="K562" s="1" t="s">
        <v>22</v>
      </c>
      <c r="L562">
        <v>175</v>
      </c>
      <c r="M562" s="4">
        <v>0.12152777777777778</v>
      </c>
      <c r="N562" s="10">
        <v>86.14</v>
      </c>
      <c r="O562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562" s="10">
        <f>Clients_chun_clean[[#This Row],[Facture_Mensuelle]]*Clients_chun_clean[[#This Row],[Remise]]</f>
        <v>0</v>
      </c>
      <c r="Q562">
        <v>1</v>
      </c>
    </row>
    <row r="563" spans="1:17" x14ac:dyDescent="0.25">
      <c r="A563" s="1" t="s">
        <v>597</v>
      </c>
      <c r="B563" s="1" t="s">
        <v>611</v>
      </c>
      <c r="C563" s="1" t="s">
        <v>16</v>
      </c>
      <c r="D563" s="1" t="str">
        <f>VLOOKUP(Clients_chun_clean[[#This Row],[Province_Client]],Master_Logs_reseau_registre!B563:F1634,2,0)</f>
        <v>ANT-0715</v>
      </c>
      <c r="E563" s="1" t="s">
        <v>1506</v>
      </c>
      <c r="F563" s="1" t="s">
        <v>1516</v>
      </c>
      <c r="G563" s="1" t="s">
        <v>813</v>
      </c>
      <c r="H563">
        <v>50</v>
      </c>
      <c r="I563">
        <v>4</v>
      </c>
      <c r="J563" s="1" t="s">
        <v>1704</v>
      </c>
      <c r="K563" s="1" t="s">
        <v>22</v>
      </c>
      <c r="L563">
        <v>177</v>
      </c>
      <c r="M563" s="4">
        <v>0.12291666666666666</v>
      </c>
      <c r="N563" s="10">
        <v>74.569999999999993</v>
      </c>
      <c r="O563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563" s="10">
        <f>Clients_chun_clean[[#This Row],[Facture_Mensuelle]]*Clients_chun_clean[[#This Row],[Remise]]</f>
        <v>0</v>
      </c>
      <c r="Q563">
        <v>4</v>
      </c>
    </row>
    <row r="564" spans="1:17" x14ac:dyDescent="0.25">
      <c r="A564" s="1" t="s">
        <v>597</v>
      </c>
      <c r="B564" s="1" t="s">
        <v>612</v>
      </c>
      <c r="C564" s="1" t="s">
        <v>37</v>
      </c>
      <c r="D564" s="1" t="str">
        <f>VLOOKUP(Clients_chun_clean[[#This Row],[Province_Client]],Master_Logs_reseau_registre!B564:F1635,2,0)</f>
        <v>ANT-0110</v>
      </c>
      <c r="E564" s="1" t="s">
        <v>1508</v>
      </c>
      <c r="F564" s="1" t="s">
        <v>1516</v>
      </c>
      <c r="G564" s="1" t="s">
        <v>813</v>
      </c>
      <c r="H564">
        <v>94</v>
      </c>
      <c r="I564">
        <v>7</v>
      </c>
      <c r="J564" s="1" t="s">
        <v>1705</v>
      </c>
      <c r="K564" s="1" t="s">
        <v>14</v>
      </c>
      <c r="L564">
        <v>247</v>
      </c>
      <c r="M564" s="4">
        <v>0.17152777777777778</v>
      </c>
      <c r="N564" s="10">
        <v>96.57</v>
      </c>
      <c r="O564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564" s="10">
        <f>Clients_chun_clean[[#This Row],[Facture_Mensuelle]]*Clients_chun_clean[[#This Row],[Remise]]</f>
        <v>43.456499999999998</v>
      </c>
      <c r="Q564">
        <v>0</v>
      </c>
    </row>
    <row r="565" spans="1:17" x14ac:dyDescent="0.25">
      <c r="A565" s="1" t="s">
        <v>597</v>
      </c>
      <c r="B565" s="1" t="s">
        <v>613</v>
      </c>
      <c r="C565" s="1" t="s">
        <v>24</v>
      </c>
      <c r="D565" s="1" t="str">
        <f>VLOOKUP(Clients_chun_clean[[#This Row],[Province_Client]],Master_Logs_reseau_registre!B565:F1636,2,0)</f>
        <v>ANT-0543</v>
      </c>
      <c r="E565" s="1" t="s">
        <v>1506</v>
      </c>
      <c r="F565" s="1" t="s">
        <v>1516</v>
      </c>
      <c r="G565" s="1" t="s">
        <v>813</v>
      </c>
      <c r="H565">
        <v>23</v>
      </c>
      <c r="I565">
        <v>1</v>
      </c>
      <c r="J565" s="1" t="s">
        <v>1704</v>
      </c>
      <c r="K565" s="1" t="s">
        <v>11</v>
      </c>
      <c r="L565">
        <v>314</v>
      </c>
      <c r="M565" s="4">
        <v>0.21805555555555556</v>
      </c>
      <c r="N565" s="10">
        <v>19.260000000000002</v>
      </c>
      <c r="O565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565" s="10">
        <f>Clients_chun_clean[[#This Row],[Facture_Mensuelle]]*Clients_chun_clean[[#This Row],[Remise]]</f>
        <v>8.6670000000000016</v>
      </c>
      <c r="Q565">
        <v>3</v>
      </c>
    </row>
    <row r="566" spans="1:17" x14ac:dyDescent="0.25">
      <c r="A566" s="1" t="s">
        <v>597</v>
      </c>
      <c r="B566" s="1" t="s">
        <v>614</v>
      </c>
      <c r="C566" s="1" t="s">
        <v>18</v>
      </c>
      <c r="D566" s="1" t="str">
        <f>VLOOKUP(Clients_chun_clean[[#This Row],[Province_Client]],Master_Logs_reseau_registre!B566:F1637,2,0)</f>
        <v>ANT-0957</v>
      </c>
      <c r="E566" s="1" t="s">
        <v>1506</v>
      </c>
      <c r="F566" s="1" t="s">
        <v>1507</v>
      </c>
      <c r="G566" s="1" t="s">
        <v>813</v>
      </c>
      <c r="H566">
        <v>52</v>
      </c>
      <c r="I566">
        <v>4</v>
      </c>
      <c r="J566" s="1" t="s">
        <v>1704</v>
      </c>
      <c r="K566" s="1" t="s">
        <v>19</v>
      </c>
      <c r="L566">
        <v>307</v>
      </c>
      <c r="M566" s="4">
        <v>0.21319444444444444</v>
      </c>
      <c r="N566" s="10">
        <v>81.38</v>
      </c>
      <c r="O566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566" s="10">
        <f>Clients_chun_clean[[#This Row],[Facture_Mensuelle]]*Clients_chun_clean[[#This Row],[Remise]]</f>
        <v>36.621000000000002</v>
      </c>
      <c r="Q566">
        <v>2</v>
      </c>
    </row>
    <row r="567" spans="1:17" x14ac:dyDescent="0.25">
      <c r="A567" s="1" t="s">
        <v>597</v>
      </c>
      <c r="B567" s="1" t="s">
        <v>615</v>
      </c>
      <c r="C567" s="1" t="s">
        <v>131</v>
      </c>
      <c r="D567" s="1" t="str">
        <f>VLOOKUP(Clients_chun_clean[[#This Row],[Province_Client]],Master_Logs_reseau_registre!B567:F1638,2,0)</f>
        <v>ANT-0282</v>
      </c>
      <c r="E567" s="1" t="s">
        <v>1506</v>
      </c>
      <c r="F567" s="1" t="s">
        <v>1507</v>
      </c>
      <c r="G567" s="1" t="s">
        <v>813</v>
      </c>
      <c r="H567">
        <v>116</v>
      </c>
      <c r="I567">
        <v>9</v>
      </c>
      <c r="J567" s="1" t="s">
        <v>1704</v>
      </c>
      <c r="K567" s="1" t="s">
        <v>11</v>
      </c>
      <c r="L567">
        <v>279</v>
      </c>
      <c r="M567" s="4">
        <v>0.19375000000000001</v>
      </c>
      <c r="N567" s="10">
        <v>62.88</v>
      </c>
      <c r="O567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567" s="10">
        <f>Clients_chun_clean[[#This Row],[Facture_Mensuelle]]*Clients_chun_clean[[#This Row],[Remise]]</f>
        <v>28.296000000000003</v>
      </c>
      <c r="Q567">
        <v>4</v>
      </c>
    </row>
    <row r="568" spans="1:17" x14ac:dyDescent="0.25">
      <c r="A568" s="1" t="s">
        <v>597</v>
      </c>
      <c r="B568" s="1" t="s">
        <v>616</v>
      </c>
      <c r="C568" s="1" t="s">
        <v>64</v>
      </c>
      <c r="D568" s="1" t="str">
        <f>VLOOKUP(Clients_chun_clean[[#This Row],[Province_Client]],Master_Logs_reseau_registre!B568:F1639,2,0)</f>
        <v>ANT-0690</v>
      </c>
      <c r="E568" s="1" t="s">
        <v>1508</v>
      </c>
      <c r="F568" s="1" t="s">
        <v>1516</v>
      </c>
      <c r="G568" s="1" t="s">
        <v>808</v>
      </c>
      <c r="H568">
        <v>41</v>
      </c>
      <c r="I568">
        <v>3</v>
      </c>
      <c r="J568" s="1" t="s">
        <v>1704</v>
      </c>
      <c r="K568" s="1" t="s">
        <v>19</v>
      </c>
      <c r="L568">
        <v>2</v>
      </c>
      <c r="M568" s="4">
        <v>1.3888888888888889E-3</v>
      </c>
      <c r="N568" s="10">
        <v>24.91</v>
      </c>
      <c r="O568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568" s="10">
        <f>Clients_chun_clean[[#This Row],[Facture_Mensuelle]]*Clients_chun_clean[[#This Row],[Remise]]</f>
        <v>0</v>
      </c>
      <c r="Q568">
        <v>1</v>
      </c>
    </row>
    <row r="569" spans="1:17" x14ac:dyDescent="0.25">
      <c r="A569" s="1" t="s">
        <v>597</v>
      </c>
      <c r="B569" s="1" t="s">
        <v>617</v>
      </c>
      <c r="C569" s="1" t="s">
        <v>21</v>
      </c>
      <c r="D569" s="1" t="str">
        <f>VLOOKUP(Clients_chun_clean[[#This Row],[Province_Client]],Master_Logs_reseau_registre!B569:F1640,2,0)</f>
        <v>ANT-0441</v>
      </c>
      <c r="E569" s="1" t="s">
        <v>1508</v>
      </c>
      <c r="F569" s="1" t="s">
        <v>1516</v>
      </c>
      <c r="G569" s="1" t="s">
        <v>808</v>
      </c>
      <c r="H569">
        <v>67</v>
      </c>
      <c r="I569">
        <v>5</v>
      </c>
      <c r="J569" s="1" t="s">
        <v>1704</v>
      </c>
      <c r="K569" s="1" t="s">
        <v>22</v>
      </c>
      <c r="L569">
        <v>81</v>
      </c>
      <c r="M569" s="4">
        <v>5.6250000000000001E-2</v>
      </c>
      <c r="N569" s="10">
        <v>28.52</v>
      </c>
      <c r="O569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569" s="10">
        <f>Clients_chun_clean[[#This Row],[Facture_Mensuelle]]*Clients_chun_clean[[#This Row],[Remise]]</f>
        <v>0</v>
      </c>
      <c r="Q569">
        <v>4</v>
      </c>
    </row>
    <row r="570" spans="1:17" x14ac:dyDescent="0.25">
      <c r="A570" s="1" t="s">
        <v>597</v>
      </c>
      <c r="B570" s="1" t="s">
        <v>618</v>
      </c>
      <c r="C570" s="1" t="s">
        <v>24</v>
      </c>
      <c r="D570" s="1" t="str">
        <f>VLOOKUP(Clients_chun_clean[[#This Row],[Province_Client]],Master_Logs_reseau_registre!B570:F1641,2,0)</f>
        <v>ANT-0587</v>
      </c>
      <c r="E570" s="1" t="s">
        <v>1506</v>
      </c>
      <c r="F570" s="1" t="s">
        <v>1504</v>
      </c>
      <c r="G570" s="1" t="s">
        <v>811</v>
      </c>
      <c r="H570">
        <v>21</v>
      </c>
      <c r="I570">
        <v>1</v>
      </c>
      <c r="J570" s="1" t="s">
        <v>1704</v>
      </c>
      <c r="K570" s="1" t="s">
        <v>19</v>
      </c>
      <c r="L570">
        <v>267</v>
      </c>
      <c r="M570" s="4">
        <v>0.18541666666666667</v>
      </c>
      <c r="N570" s="10">
        <v>74.989999999999995</v>
      </c>
      <c r="O570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570" s="10">
        <f>Clients_chun_clean[[#This Row],[Facture_Mensuelle]]*Clients_chun_clean[[#This Row],[Remise]]</f>
        <v>33.7455</v>
      </c>
      <c r="Q570">
        <v>1</v>
      </c>
    </row>
    <row r="571" spans="1:17" x14ac:dyDescent="0.25">
      <c r="A571" s="1" t="s">
        <v>597</v>
      </c>
      <c r="B571" s="1" t="s">
        <v>619</v>
      </c>
      <c r="C571" s="1" t="s">
        <v>57</v>
      </c>
      <c r="D571" s="1" t="str">
        <f>VLOOKUP(Clients_chun_clean[[#This Row],[Province_Client]],Master_Logs_reseau_registre!B571:F1642,2,0)</f>
        <v>ANT-0066</v>
      </c>
      <c r="E571" s="1" t="s">
        <v>1503</v>
      </c>
      <c r="F571" s="1" t="s">
        <v>1504</v>
      </c>
      <c r="G571" s="1" t="s">
        <v>811</v>
      </c>
      <c r="H571">
        <v>56</v>
      </c>
      <c r="I571">
        <v>4</v>
      </c>
      <c r="J571" s="1" t="s">
        <v>1704</v>
      </c>
      <c r="K571" s="1" t="s">
        <v>19</v>
      </c>
      <c r="L571">
        <v>379</v>
      </c>
      <c r="M571" s="4">
        <v>0.26319444444444445</v>
      </c>
      <c r="N571" s="10">
        <v>49.01</v>
      </c>
      <c r="O571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571" s="10">
        <f>Clients_chun_clean[[#This Row],[Facture_Mensuelle]]*Clients_chun_clean[[#This Row],[Remise]]</f>
        <v>22.054500000000001</v>
      </c>
      <c r="Q571">
        <v>0</v>
      </c>
    </row>
    <row r="572" spans="1:17" x14ac:dyDescent="0.25">
      <c r="A572" s="1" t="s">
        <v>597</v>
      </c>
      <c r="B572" s="1" t="s">
        <v>620</v>
      </c>
      <c r="C572" s="1" t="s">
        <v>73</v>
      </c>
      <c r="D572" s="1" t="str">
        <f>VLOOKUP(Clients_chun_clean[[#This Row],[Province_Client]],Master_Logs_reseau_registre!B572:F1643,2,0)</f>
        <v>ANT-0839</v>
      </c>
      <c r="E572" s="1" t="s">
        <v>1506</v>
      </c>
      <c r="F572" s="1" t="s">
        <v>1509</v>
      </c>
      <c r="G572" s="1" t="s">
        <v>808</v>
      </c>
      <c r="H572">
        <v>30</v>
      </c>
      <c r="I572">
        <v>2</v>
      </c>
      <c r="J572" s="1" t="s">
        <v>1704</v>
      </c>
      <c r="K572" s="1" t="s">
        <v>19</v>
      </c>
      <c r="L572">
        <v>130</v>
      </c>
      <c r="M572" s="4">
        <v>9.0277777777777776E-2</v>
      </c>
      <c r="N572" s="10">
        <v>50.15</v>
      </c>
      <c r="O572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572" s="10">
        <f>Clients_chun_clean[[#This Row],[Facture_Mensuelle]]*Clients_chun_clean[[#This Row],[Remise]]</f>
        <v>0</v>
      </c>
      <c r="Q572">
        <v>4</v>
      </c>
    </row>
    <row r="573" spans="1:17" x14ac:dyDescent="0.25">
      <c r="A573" s="1" t="s">
        <v>597</v>
      </c>
      <c r="B573" s="1" t="s">
        <v>621</v>
      </c>
      <c r="C573" s="1" t="s">
        <v>35</v>
      </c>
      <c r="D573" s="1" t="str">
        <f>VLOOKUP(Clients_chun_clean[[#This Row],[Province_Client]],Master_Logs_reseau_registre!B573:F1644,2,0)</f>
        <v>ANT-0205</v>
      </c>
      <c r="E573" s="1" t="s">
        <v>1506</v>
      </c>
      <c r="F573" s="1" t="s">
        <v>1509</v>
      </c>
      <c r="G573" s="1" t="s">
        <v>808</v>
      </c>
      <c r="H573">
        <v>13</v>
      </c>
      <c r="I573">
        <v>1</v>
      </c>
      <c r="J573" s="1" t="s">
        <v>1705</v>
      </c>
      <c r="K573" s="1" t="s">
        <v>14</v>
      </c>
      <c r="L573">
        <v>474</v>
      </c>
      <c r="M573" s="4">
        <v>0.32916666666666666</v>
      </c>
      <c r="N573" s="10">
        <v>63.67</v>
      </c>
      <c r="O573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573" s="10">
        <f>Clients_chun_clean[[#This Row],[Facture_Mensuelle]]*Clients_chun_clean[[#This Row],[Remise]]</f>
        <v>28.651500000000002</v>
      </c>
      <c r="Q573">
        <v>2</v>
      </c>
    </row>
    <row r="574" spans="1:17" x14ac:dyDescent="0.25">
      <c r="A574" s="1" t="s">
        <v>597</v>
      </c>
      <c r="B574" s="1" t="s">
        <v>622</v>
      </c>
      <c r="C574" s="1" t="s">
        <v>67</v>
      </c>
      <c r="D574" s="1" t="str">
        <f>VLOOKUP(Clients_chun_clean[[#This Row],[Province_Client]],Master_Logs_reseau_registre!B574:F1645,2,0)</f>
        <v>ANT-0533</v>
      </c>
      <c r="E574" s="1" t="s">
        <v>1508</v>
      </c>
      <c r="F574" s="1" t="s">
        <v>1516</v>
      </c>
      <c r="G574" s="1" t="s">
        <v>813</v>
      </c>
      <c r="H574">
        <v>91</v>
      </c>
      <c r="I574">
        <v>7</v>
      </c>
      <c r="J574" s="1" t="s">
        <v>1704</v>
      </c>
      <c r="K574" s="1" t="s">
        <v>19</v>
      </c>
      <c r="L574">
        <v>62</v>
      </c>
      <c r="M574" s="4">
        <v>4.3055555555555555E-2</v>
      </c>
      <c r="N574" s="10">
        <v>34.450000000000003</v>
      </c>
      <c r="O574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574" s="10">
        <f>Clients_chun_clean[[#This Row],[Facture_Mensuelle]]*Clients_chun_clean[[#This Row],[Remise]]</f>
        <v>0</v>
      </c>
      <c r="Q574">
        <v>5</v>
      </c>
    </row>
    <row r="575" spans="1:17" x14ac:dyDescent="0.25">
      <c r="A575" s="1" t="s">
        <v>597</v>
      </c>
      <c r="B575" s="1" t="s">
        <v>623</v>
      </c>
      <c r="C575" s="1" t="s">
        <v>13</v>
      </c>
      <c r="D575" s="1" t="str">
        <f>VLOOKUP(Clients_chun_clean[[#This Row],[Province_Client]],Master_Logs_reseau_registre!B575:F1646,2,0)</f>
        <v>ANT-0081</v>
      </c>
      <c r="E575" s="1" t="s">
        <v>1506</v>
      </c>
      <c r="F575" s="1" t="s">
        <v>1504</v>
      </c>
      <c r="G575" s="1" t="s">
        <v>811</v>
      </c>
      <c r="H575">
        <v>103</v>
      </c>
      <c r="I575">
        <v>8</v>
      </c>
      <c r="J575" s="1" t="s">
        <v>1704</v>
      </c>
      <c r="K575" s="1" t="s">
        <v>19</v>
      </c>
      <c r="L575">
        <v>98</v>
      </c>
      <c r="M575" s="4">
        <v>6.805555555555555E-2</v>
      </c>
      <c r="N575" s="10">
        <v>38.69</v>
      </c>
      <c r="O575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575" s="10">
        <f>Clients_chun_clean[[#This Row],[Facture_Mensuelle]]*Clients_chun_clean[[#This Row],[Remise]]</f>
        <v>0</v>
      </c>
      <c r="Q575">
        <v>4</v>
      </c>
    </row>
    <row r="576" spans="1:17" x14ac:dyDescent="0.25">
      <c r="A576" s="1" t="s">
        <v>597</v>
      </c>
      <c r="B576" s="1" t="s">
        <v>624</v>
      </c>
      <c r="C576" s="1" t="s">
        <v>67</v>
      </c>
      <c r="D576" s="1" t="str">
        <f>VLOOKUP(Clients_chun_clean[[#This Row],[Province_Client]],Master_Logs_reseau_registre!B576:F1647,2,0)</f>
        <v>ANT-0533</v>
      </c>
      <c r="E576" s="1" t="s">
        <v>1508</v>
      </c>
      <c r="F576" s="1" t="s">
        <v>1516</v>
      </c>
      <c r="G576" s="1" t="s">
        <v>808</v>
      </c>
      <c r="H576">
        <v>17</v>
      </c>
      <c r="I576">
        <v>1</v>
      </c>
      <c r="J576" s="1" t="s">
        <v>1704</v>
      </c>
      <c r="K576" s="1" t="s">
        <v>22</v>
      </c>
      <c r="L576">
        <v>310</v>
      </c>
      <c r="M576" s="4">
        <v>0.21527777777777779</v>
      </c>
      <c r="N576" s="10">
        <v>19.68</v>
      </c>
      <c r="O576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576" s="10">
        <f>Clients_chun_clean[[#This Row],[Facture_Mensuelle]]*Clients_chun_clean[[#This Row],[Remise]]</f>
        <v>8.8559999999999999</v>
      </c>
      <c r="Q576">
        <v>5</v>
      </c>
    </row>
    <row r="577" spans="1:17" x14ac:dyDescent="0.25">
      <c r="A577" s="1" t="s">
        <v>597</v>
      </c>
      <c r="B577" s="1" t="s">
        <v>625</v>
      </c>
      <c r="C577" s="1" t="s">
        <v>35</v>
      </c>
      <c r="D577" s="1" t="str">
        <f>VLOOKUP(Clients_chun_clean[[#This Row],[Province_Client]],Master_Logs_reseau_registre!B577:F1648,2,0)</f>
        <v>ANT-0205</v>
      </c>
      <c r="E577" s="1" t="s">
        <v>1506</v>
      </c>
      <c r="F577" s="1" t="s">
        <v>1509</v>
      </c>
      <c r="G577" s="1" t="s">
        <v>811</v>
      </c>
      <c r="H577">
        <v>65</v>
      </c>
      <c r="I577">
        <v>5</v>
      </c>
      <c r="J577" s="1" t="s">
        <v>1704</v>
      </c>
      <c r="K577" s="1" t="s">
        <v>11</v>
      </c>
      <c r="L577">
        <v>15</v>
      </c>
      <c r="M577" s="4">
        <v>1.0416666666666666E-2</v>
      </c>
      <c r="N577" s="10">
        <v>44.47</v>
      </c>
      <c r="O577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577" s="10">
        <f>Clients_chun_clean[[#This Row],[Facture_Mensuelle]]*Clients_chun_clean[[#This Row],[Remise]]</f>
        <v>0</v>
      </c>
      <c r="Q577">
        <v>0</v>
      </c>
    </row>
    <row r="578" spans="1:17" x14ac:dyDescent="0.25">
      <c r="A578" s="1" t="s">
        <v>597</v>
      </c>
      <c r="B578" s="1" t="s">
        <v>626</v>
      </c>
      <c r="C578" s="1" t="s">
        <v>24</v>
      </c>
      <c r="D578" s="1" t="str">
        <f>VLOOKUP(Clients_chun_clean[[#This Row],[Province_Client]],Master_Logs_reseau_registre!B578:F1649,2,0)</f>
        <v>ANT-0587</v>
      </c>
      <c r="E578" s="1" t="s">
        <v>1506</v>
      </c>
      <c r="F578" s="1" t="s">
        <v>1509</v>
      </c>
      <c r="G578" s="1" t="s">
        <v>811</v>
      </c>
      <c r="H578">
        <v>16</v>
      </c>
      <c r="I578">
        <v>1</v>
      </c>
      <c r="J578" s="1" t="s">
        <v>1704</v>
      </c>
      <c r="K578" s="1" t="s">
        <v>11</v>
      </c>
      <c r="L578">
        <v>274</v>
      </c>
      <c r="M578" s="4">
        <v>0.19027777777777777</v>
      </c>
      <c r="N578" s="10">
        <v>27.97</v>
      </c>
      <c r="O578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578" s="10">
        <f>Clients_chun_clean[[#This Row],[Facture_Mensuelle]]*Clients_chun_clean[[#This Row],[Remise]]</f>
        <v>12.586499999999999</v>
      </c>
      <c r="Q578">
        <v>4</v>
      </c>
    </row>
    <row r="579" spans="1:17" x14ac:dyDescent="0.25">
      <c r="A579" s="1" t="s">
        <v>597</v>
      </c>
      <c r="B579" s="1" t="s">
        <v>627</v>
      </c>
      <c r="C579" s="1" t="s">
        <v>10</v>
      </c>
      <c r="D579" s="1" t="str">
        <f>VLOOKUP(Clients_chun_clean[[#This Row],[Province_Client]],Master_Logs_reseau_registre!B579:F1650,2,0)</f>
        <v>ANT-0966</v>
      </c>
      <c r="E579" s="1" t="s">
        <v>1508</v>
      </c>
      <c r="F579" s="1" t="s">
        <v>1516</v>
      </c>
      <c r="G579" s="1" t="s">
        <v>808</v>
      </c>
      <c r="H579">
        <v>81</v>
      </c>
      <c r="I579">
        <v>6</v>
      </c>
      <c r="J579" s="1" t="s">
        <v>1704</v>
      </c>
      <c r="K579" s="1" t="s">
        <v>22</v>
      </c>
      <c r="L579">
        <v>11</v>
      </c>
      <c r="M579" s="4">
        <v>7.6388888888888886E-3</v>
      </c>
      <c r="N579" s="10">
        <v>41.76</v>
      </c>
      <c r="O579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579" s="10">
        <f>Clients_chun_clean[[#This Row],[Facture_Mensuelle]]*Clients_chun_clean[[#This Row],[Remise]]</f>
        <v>0</v>
      </c>
      <c r="Q579">
        <v>5</v>
      </c>
    </row>
    <row r="580" spans="1:17" x14ac:dyDescent="0.25">
      <c r="A580" s="1" t="s">
        <v>597</v>
      </c>
      <c r="B580" s="1" t="s">
        <v>628</v>
      </c>
      <c r="C580" s="1" t="s">
        <v>13</v>
      </c>
      <c r="D580" s="1" t="str">
        <f>VLOOKUP(Clients_chun_clean[[#This Row],[Province_Client]],Master_Logs_reseau_registre!B580:F1651,2,0)</f>
        <v>ANT-0081</v>
      </c>
      <c r="E580" s="1" t="s">
        <v>1506</v>
      </c>
      <c r="F580" s="1" t="s">
        <v>1509</v>
      </c>
      <c r="G580" s="1" t="s">
        <v>811</v>
      </c>
      <c r="H580">
        <v>74</v>
      </c>
      <c r="I580">
        <v>6</v>
      </c>
      <c r="J580" s="1" t="s">
        <v>1704</v>
      </c>
      <c r="K580" s="1" t="s">
        <v>19</v>
      </c>
      <c r="L580">
        <v>265</v>
      </c>
      <c r="M580" s="4">
        <v>0.18402777777777779</v>
      </c>
      <c r="N580" s="10">
        <v>90.81</v>
      </c>
      <c r="O580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580" s="10">
        <f>Clients_chun_clean[[#This Row],[Facture_Mensuelle]]*Clients_chun_clean[[#This Row],[Remise]]</f>
        <v>40.8645</v>
      </c>
      <c r="Q580">
        <v>3</v>
      </c>
    </row>
    <row r="581" spans="1:17" x14ac:dyDescent="0.25">
      <c r="A581" s="1" t="s">
        <v>597</v>
      </c>
      <c r="B581" s="1" t="s">
        <v>629</v>
      </c>
      <c r="C581" s="1" t="s">
        <v>57</v>
      </c>
      <c r="D581" s="1" t="str">
        <f>VLOOKUP(Clients_chun_clean[[#This Row],[Province_Client]],Master_Logs_reseau_registre!B581:F1652,2,0)</f>
        <v>ANT-0066</v>
      </c>
      <c r="E581" s="1" t="s">
        <v>1503</v>
      </c>
      <c r="F581" s="1" t="s">
        <v>1504</v>
      </c>
      <c r="G581" s="1" t="s">
        <v>808</v>
      </c>
      <c r="H581">
        <v>101</v>
      </c>
      <c r="I581">
        <v>8</v>
      </c>
      <c r="J581" s="1" t="s">
        <v>1704</v>
      </c>
      <c r="K581" s="1" t="s">
        <v>19</v>
      </c>
      <c r="L581">
        <v>262</v>
      </c>
      <c r="M581" s="4">
        <v>0.18194444444444444</v>
      </c>
      <c r="N581" s="10">
        <v>83.74</v>
      </c>
      <c r="O581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581" s="10">
        <f>Clients_chun_clean[[#This Row],[Facture_Mensuelle]]*Clients_chun_clean[[#This Row],[Remise]]</f>
        <v>37.683</v>
      </c>
      <c r="Q581">
        <v>5</v>
      </c>
    </row>
    <row r="582" spans="1:17" x14ac:dyDescent="0.25">
      <c r="A582" s="1" t="s">
        <v>597</v>
      </c>
      <c r="B582" s="1" t="s">
        <v>630</v>
      </c>
      <c r="C582" s="1" t="s">
        <v>64</v>
      </c>
      <c r="D582" s="1" t="str">
        <f>VLOOKUP(Clients_chun_clean[[#This Row],[Province_Client]],Master_Logs_reseau_registre!B582:F1653,2,0)</f>
        <v>ANT-0690</v>
      </c>
      <c r="E582" s="1" t="s">
        <v>1508</v>
      </c>
      <c r="F582" s="1" t="s">
        <v>1516</v>
      </c>
      <c r="G582" s="1" t="s">
        <v>811</v>
      </c>
      <c r="H582">
        <v>51</v>
      </c>
      <c r="I582">
        <v>4</v>
      </c>
      <c r="J582" s="1" t="s">
        <v>1705</v>
      </c>
      <c r="K582" s="1" t="s">
        <v>14</v>
      </c>
      <c r="L582">
        <v>389</v>
      </c>
      <c r="M582" s="4">
        <v>0.27013888888888887</v>
      </c>
      <c r="N582" s="10">
        <v>50.45</v>
      </c>
      <c r="O582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582" s="10">
        <f>Clients_chun_clean[[#This Row],[Facture_Mensuelle]]*Clients_chun_clean[[#This Row],[Remise]]</f>
        <v>22.702500000000001</v>
      </c>
      <c r="Q582">
        <v>3</v>
      </c>
    </row>
    <row r="583" spans="1:17" x14ac:dyDescent="0.25">
      <c r="A583" s="1" t="s">
        <v>597</v>
      </c>
      <c r="B583" s="1" t="s">
        <v>631</v>
      </c>
      <c r="C583" s="1" t="s">
        <v>10</v>
      </c>
      <c r="D583" s="1" t="str">
        <f>VLOOKUP(Clients_chun_clean[[#This Row],[Province_Client]],Master_Logs_reseau_registre!B583:F1654,2,0)</f>
        <v>ANT-0966</v>
      </c>
      <c r="E583" s="1" t="s">
        <v>1508</v>
      </c>
      <c r="F583" s="1" t="s">
        <v>1516</v>
      </c>
      <c r="G583" s="1" t="s">
        <v>811</v>
      </c>
      <c r="H583">
        <v>108</v>
      </c>
      <c r="I583">
        <v>9</v>
      </c>
      <c r="J583" s="1" t="s">
        <v>1704</v>
      </c>
      <c r="K583" s="1" t="s">
        <v>11</v>
      </c>
      <c r="L583">
        <v>78</v>
      </c>
      <c r="M583" s="4">
        <v>5.4166666666666669E-2</v>
      </c>
      <c r="N583" s="10">
        <v>90.05</v>
      </c>
      <c r="O583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583" s="10">
        <f>Clients_chun_clean[[#This Row],[Facture_Mensuelle]]*Clients_chun_clean[[#This Row],[Remise]]</f>
        <v>0</v>
      </c>
      <c r="Q583">
        <v>2</v>
      </c>
    </row>
    <row r="584" spans="1:17" x14ac:dyDescent="0.25">
      <c r="A584" s="1" t="s">
        <v>597</v>
      </c>
      <c r="B584" s="1" t="s">
        <v>632</v>
      </c>
      <c r="C584" s="1" t="s">
        <v>62</v>
      </c>
      <c r="D584" s="1" t="str">
        <f>VLOOKUP(Clients_chun_clean[[#This Row],[Province_Client]],Master_Logs_reseau_registre!B584:F1655,2,0)</f>
        <v>ANT-0737</v>
      </c>
      <c r="E584" s="1" t="s">
        <v>1503</v>
      </c>
      <c r="F584" s="1" t="s">
        <v>1516</v>
      </c>
      <c r="G584" s="1" t="s">
        <v>811</v>
      </c>
      <c r="H584">
        <v>98</v>
      </c>
      <c r="I584">
        <v>8</v>
      </c>
      <c r="J584" s="1" t="s">
        <v>1704</v>
      </c>
      <c r="K584" s="1" t="s">
        <v>22</v>
      </c>
      <c r="L584">
        <v>110</v>
      </c>
      <c r="M584" s="4">
        <v>7.6388888888888895E-2</v>
      </c>
      <c r="N584" s="10">
        <v>96.23</v>
      </c>
      <c r="O584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584" s="10">
        <f>Clients_chun_clean[[#This Row],[Facture_Mensuelle]]*Clients_chun_clean[[#This Row],[Remise]]</f>
        <v>0</v>
      </c>
      <c r="Q584">
        <v>2</v>
      </c>
    </row>
    <row r="585" spans="1:17" x14ac:dyDescent="0.25">
      <c r="A585" s="1" t="s">
        <v>597</v>
      </c>
      <c r="B585" s="1" t="s">
        <v>633</v>
      </c>
      <c r="C585" s="1" t="s">
        <v>64</v>
      </c>
      <c r="D585" s="1" t="str">
        <f>VLOOKUP(Clients_chun_clean[[#This Row],[Province_Client]],Master_Logs_reseau_registre!B585:F1656,2,0)</f>
        <v>ANT-0690</v>
      </c>
      <c r="E585" s="1" t="s">
        <v>1508</v>
      </c>
      <c r="F585" s="1" t="s">
        <v>1516</v>
      </c>
      <c r="G585" s="1" t="s">
        <v>811</v>
      </c>
      <c r="H585">
        <v>81</v>
      </c>
      <c r="I585">
        <v>6</v>
      </c>
      <c r="J585" s="1" t="s">
        <v>1705</v>
      </c>
      <c r="K585" s="1" t="s">
        <v>14</v>
      </c>
      <c r="L585">
        <v>443</v>
      </c>
      <c r="M585" s="4">
        <v>0.30763888888888891</v>
      </c>
      <c r="N585" s="10">
        <v>32.78</v>
      </c>
      <c r="O585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585" s="10">
        <f>Clients_chun_clean[[#This Row],[Facture_Mensuelle]]*Clients_chun_clean[[#This Row],[Remise]]</f>
        <v>14.751000000000001</v>
      </c>
      <c r="Q585">
        <v>1</v>
      </c>
    </row>
    <row r="586" spans="1:17" x14ac:dyDescent="0.25">
      <c r="A586" s="1" t="s">
        <v>597</v>
      </c>
      <c r="B586" s="1" t="s">
        <v>634</v>
      </c>
      <c r="C586" s="1" t="s">
        <v>64</v>
      </c>
      <c r="D586" s="1" t="str">
        <f>VLOOKUP(Clients_chun_clean[[#This Row],[Province_Client]],Master_Logs_reseau_registre!B586:F1657,2,0)</f>
        <v>ANT-0690</v>
      </c>
      <c r="E586" s="1" t="s">
        <v>1508</v>
      </c>
      <c r="F586" s="1" t="s">
        <v>1516</v>
      </c>
      <c r="G586" s="1" t="s">
        <v>811</v>
      </c>
      <c r="H586">
        <v>118</v>
      </c>
      <c r="I586">
        <v>9</v>
      </c>
      <c r="J586" s="1" t="s">
        <v>1704</v>
      </c>
      <c r="K586" s="1" t="s">
        <v>19</v>
      </c>
      <c r="L586">
        <v>186</v>
      </c>
      <c r="M586" s="4">
        <v>0.12916666666666668</v>
      </c>
      <c r="N586" s="10">
        <v>46.88</v>
      </c>
      <c r="O586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586" s="10">
        <f>Clients_chun_clean[[#This Row],[Facture_Mensuelle]]*Clients_chun_clean[[#This Row],[Remise]]</f>
        <v>0</v>
      </c>
      <c r="Q586">
        <v>1</v>
      </c>
    </row>
    <row r="587" spans="1:17" x14ac:dyDescent="0.25">
      <c r="A587" s="1" t="s">
        <v>597</v>
      </c>
      <c r="B587" s="1" t="s">
        <v>635</v>
      </c>
      <c r="C587" s="1" t="s">
        <v>44</v>
      </c>
      <c r="D587" s="1" t="str">
        <f>VLOOKUP(Clients_chun_clean[[#This Row],[Province_Client]],Master_Logs_reseau_registre!B587:F1658,2,0)</f>
        <v>ANT-0056</v>
      </c>
      <c r="E587" s="1" t="s">
        <v>1506</v>
      </c>
      <c r="F587" s="1" t="s">
        <v>1509</v>
      </c>
      <c r="G587" s="1" t="s">
        <v>813</v>
      </c>
      <c r="H587">
        <v>34</v>
      </c>
      <c r="I587">
        <v>2</v>
      </c>
      <c r="J587" s="1" t="s">
        <v>1705</v>
      </c>
      <c r="K587" s="1" t="s">
        <v>14</v>
      </c>
      <c r="L587">
        <v>58</v>
      </c>
      <c r="M587" s="4">
        <v>4.027777777777778E-2</v>
      </c>
      <c r="N587" s="10">
        <v>64.349999999999994</v>
      </c>
      <c r="O587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587" s="10">
        <f>Clients_chun_clean[[#This Row],[Facture_Mensuelle]]*Clients_chun_clean[[#This Row],[Remise]]</f>
        <v>6.4349999999999996</v>
      </c>
      <c r="Q587">
        <v>0</v>
      </c>
    </row>
    <row r="588" spans="1:17" x14ac:dyDescent="0.25">
      <c r="A588" s="1" t="s">
        <v>597</v>
      </c>
      <c r="B588" s="1" t="s">
        <v>636</v>
      </c>
      <c r="C588" s="1" t="s">
        <v>24</v>
      </c>
      <c r="D588" s="1" t="str">
        <f>VLOOKUP(Clients_chun_clean[[#This Row],[Province_Client]],Master_Logs_reseau_registre!B588:F1659,2,0)</f>
        <v>ANT-0587</v>
      </c>
      <c r="E588" s="1" t="s">
        <v>1506</v>
      </c>
      <c r="F588" s="1" t="s">
        <v>1509</v>
      </c>
      <c r="G588" s="1" t="s">
        <v>813</v>
      </c>
      <c r="H588">
        <v>108</v>
      </c>
      <c r="I588">
        <v>9</v>
      </c>
      <c r="J588" s="1" t="s">
        <v>1704</v>
      </c>
      <c r="K588" s="1" t="s">
        <v>19</v>
      </c>
      <c r="L588">
        <v>460</v>
      </c>
      <c r="M588" s="4">
        <v>0.31944444444444442</v>
      </c>
      <c r="N588" s="10">
        <v>88.95</v>
      </c>
      <c r="O588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588" s="10">
        <f>Clients_chun_clean[[#This Row],[Facture_Mensuelle]]*Clients_chun_clean[[#This Row],[Remise]]</f>
        <v>40.027500000000003</v>
      </c>
      <c r="Q588">
        <v>3</v>
      </c>
    </row>
    <row r="589" spans="1:17" x14ac:dyDescent="0.25">
      <c r="A589" s="1" t="s">
        <v>597</v>
      </c>
      <c r="B589" s="1" t="s">
        <v>637</v>
      </c>
      <c r="C589" s="1" t="s">
        <v>21</v>
      </c>
      <c r="D589" s="1" t="str">
        <f>VLOOKUP(Clients_chun_clean[[#This Row],[Province_Client]],Master_Logs_reseau_registre!B589:F1660,2,0)</f>
        <v>ANT-0745</v>
      </c>
      <c r="E589" s="1" t="s">
        <v>1503</v>
      </c>
      <c r="F589" s="1" t="s">
        <v>1509</v>
      </c>
      <c r="G589" s="1" t="s">
        <v>813</v>
      </c>
      <c r="H589">
        <v>71</v>
      </c>
      <c r="I589">
        <v>5</v>
      </c>
      <c r="J589" s="1" t="s">
        <v>1705</v>
      </c>
      <c r="K589" s="1" t="s">
        <v>14</v>
      </c>
      <c r="L589">
        <v>111</v>
      </c>
      <c r="M589" s="4">
        <v>7.7083333333333337E-2</v>
      </c>
      <c r="N589" s="10">
        <v>95.53</v>
      </c>
      <c r="O589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589" s="10">
        <f>Clients_chun_clean[[#This Row],[Facture_Mensuelle]]*Clients_chun_clean[[#This Row],[Remise]]</f>
        <v>9.5530000000000008</v>
      </c>
      <c r="Q589">
        <v>3</v>
      </c>
    </row>
    <row r="590" spans="1:17" x14ac:dyDescent="0.25">
      <c r="A590" s="1" t="s">
        <v>597</v>
      </c>
      <c r="B590" s="1" t="s">
        <v>638</v>
      </c>
      <c r="C590" s="1" t="s">
        <v>73</v>
      </c>
      <c r="D590" s="1" t="str">
        <f>VLOOKUP(Clients_chun_clean[[#This Row],[Province_Client]],Master_Logs_reseau_registre!B590:F1661,2,0)</f>
        <v>ANT-0839</v>
      </c>
      <c r="E590" s="1" t="s">
        <v>1506</v>
      </c>
      <c r="F590" s="1" t="s">
        <v>1509</v>
      </c>
      <c r="G590" s="1" t="s">
        <v>813</v>
      </c>
      <c r="H590">
        <v>21</v>
      </c>
      <c r="I590">
        <v>1</v>
      </c>
      <c r="J590" s="1" t="s">
        <v>1704</v>
      </c>
      <c r="K590" s="1" t="s">
        <v>19</v>
      </c>
      <c r="L590">
        <v>15</v>
      </c>
      <c r="M590" s="4">
        <v>1.0416666666666666E-2</v>
      </c>
      <c r="N590" s="10">
        <v>57.74</v>
      </c>
      <c r="O590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590" s="10">
        <f>Clients_chun_clean[[#This Row],[Facture_Mensuelle]]*Clients_chun_clean[[#This Row],[Remise]]</f>
        <v>0</v>
      </c>
      <c r="Q590">
        <v>0</v>
      </c>
    </row>
    <row r="591" spans="1:17" x14ac:dyDescent="0.25">
      <c r="A591" s="1" t="s">
        <v>597</v>
      </c>
      <c r="B591" s="1" t="s">
        <v>639</v>
      </c>
      <c r="C591" s="1" t="s">
        <v>18</v>
      </c>
      <c r="D591" s="1" t="str">
        <f>VLOOKUP(Clients_chun_clean[[#This Row],[Province_Client]],Master_Logs_reseau_registre!B591:F1662,2,0)</f>
        <v>ANT-0957</v>
      </c>
      <c r="E591" s="1" t="s">
        <v>1506</v>
      </c>
      <c r="F591" s="1" t="s">
        <v>1509</v>
      </c>
      <c r="G591" s="1" t="s">
        <v>813</v>
      </c>
      <c r="H591">
        <v>42</v>
      </c>
      <c r="I591">
        <v>3</v>
      </c>
      <c r="J591" s="1" t="s">
        <v>1705</v>
      </c>
      <c r="K591" s="1" t="s">
        <v>14</v>
      </c>
      <c r="L591">
        <v>167</v>
      </c>
      <c r="M591" s="4">
        <v>0.11597222222222223</v>
      </c>
      <c r="N591" s="10">
        <v>45.85</v>
      </c>
      <c r="O591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591" s="10">
        <f>Clients_chun_clean[[#This Row],[Facture_Mensuelle]]*Clients_chun_clean[[#This Row],[Remise]]</f>
        <v>4.585</v>
      </c>
      <c r="Q591">
        <v>2</v>
      </c>
    </row>
    <row r="592" spans="1:17" x14ac:dyDescent="0.25">
      <c r="A592" s="1" t="s">
        <v>597</v>
      </c>
      <c r="B592" s="1" t="s">
        <v>640</v>
      </c>
      <c r="C592" s="1" t="s">
        <v>31</v>
      </c>
      <c r="D592" s="1" t="str">
        <f>VLOOKUP(Clients_chun_clean[[#This Row],[Province_Client]],Master_Logs_reseau_registre!B592:F1663,2,0)</f>
        <v>ANT-0416</v>
      </c>
      <c r="E592" s="1" t="s">
        <v>1508</v>
      </c>
      <c r="F592" s="1" t="s">
        <v>1507</v>
      </c>
      <c r="G592" s="1" t="s">
        <v>808</v>
      </c>
      <c r="H592">
        <v>27</v>
      </c>
      <c r="I592">
        <v>2</v>
      </c>
      <c r="J592" s="1" t="s">
        <v>1704</v>
      </c>
      <c r="K592" s="1" t="s">
        <v>19</v>
      </c>
      <c r="L592">
        <v>70</v>
      </c>
      <c r="M592" s="4">
        <v>4.8611111111111112E-2</v>
      </c>
      <c r="N592" s="10">
        <v>20.32</v>
      </c>
      <c r="O592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592" s="10">
        <f>Clients_chun_clean[[#This Row],[Facture_Mensuelle]]*Clients_chun_clean[[#This Row],[Remise]]</f>
        <v>0</v>
      </c>
      <c r="Q592">
        <v>3</v>
      </c>
    </row>
    <row r="593" spans="1:17" x14ac:dyDescent="0.25">
      <c r="A593" s="1" t="s">
        <v>597</v>
      </c>
      <c r="B593" s="1" t="s">
        <v>641</v>
      </c>
      <c r="C593" s="1" t="s">
        <v>78</v>
      </c>
      <c r="D593" s="1" t="str">
        <f>VLOOKUP(Clients_chun_clean[[#This Row],[Province_Client]],Master_Logs_reseau_registre!B593:F1664,2,0)</f>
        <v>ANT-0407</v>
      </c>
      <c r="E593" s="1" t="s">
        <v>1503</v>
      </c>
      <c r="F593" s="1" t="s">
        <v>1509</v>
      </c>
      <c r="G593" s="1" t="s">
        <v>811</v>
      </c>
      <c r="H593">
        <v>12</v>
      </c>
      <c r="I593">
        <v>1</v>
      </c>
      <c r="J593" s="1" t="s">
        <v>1704</v>
      </c>
      <c r="K593" s="1" t="s">
        <v>22</v>
      </c>
      <c r="L593">
        <v>112</v>
      </c>
      <c r="M593" s="4">
        <v>7.7777777777777779E-2</v>
      </c>
      <c r="N593" s="10">
        <v>82.81</v>
      </c>
      <c r="O593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593" s="10">
        <f>Clients_chun_clean[[#This Row],[Facture_Mensuelle]]*Clients_chun_clean[[#This Row],[Remise]]</f>
        <v>0</v>
      </c>
      <c r="Q593">
        <v>0</v>
      </c>
    </row>
    <row r="594" spans="1:17" x14ac:dyDescent="0.25">
      <c r="A594" s="1" t="s">
        <v>597</v>
      </c>
      <c r="B594" s="1" t="s">
        <v>642</v>
      </c>
      <c r="C594" s="1" t="s">
        <v>78</v>
      </c>
      <c r="D594" s="1" t="str">
        <f>VLOOKUP(Clients_chun_clean[[#This Row],[Province_Client]],Master_Logs_reseau_registre!B594:F1665,2,0)</f>
        <v>ANT-0407</v>
      </c>
      <c r="E594" s="1" t="s">
        <v>1503</v>
      </c>
      <c r="F594" s="1" t="s">
        <v>1509</v>
      </c>
      <c r="G594" s="1" t="s">
        <v>811</v>
      </c>
      <c r="H594">
        <v>12</v>
      </c>
      <c r="I594">
        <v>1</v>
      </c>
      <c r="J594" s="1" t="s">
        <v>1705</v>
      </c>
      <c r="K594" s="1" t="s">
        <v>14</v>
      </c>
      <c r="L594">
        <v>42</v>
      </c>
      <c r="M594" s="4">
        <v>2.9166666666666667E-2</v>
      </c>
      <c r="N594" s="10">
        <v>48.64</v>
      </c>
      <c r="O594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594" s="10">
        <f>Clients_chun_clean[[#This Row],[Facture_Mensuelle]]*Clients_chun_clean[[#This Row],[Remise]]</f>
        <v>4.8640000000000008</v>
      </c>
      <c r="Q594">
        <v>0</v>
      </c>
    </row>
    <row r="595" spans="1:17" x14ac:dyDescent="0.25">
      <c r="A595" s="1" t="s">
        <v>597</v>
      </c>
      <c r="B595" s="1" t="s">
        <v>643</v>
      </c>
      <c r="C595" s="1" t="s">
        <v>29</v>
      </c>
      <c r="D595" s="1" t="str">
        <f>VLOOKUP(Clients_chun_clean[[#This Row],[Province_Client]],Master_Logs_reseau_registre!B595:F1666,2,0)</f>
        <v>ANT-0794</v>
      </c>
      <c r="E595" s="1" t="s">
        <v>1508</v>
      </c>
      <c r="F595" s="1" t="s">
        <v>1507</v>
      </c>
      <c r="G595" s="1" t="s">
        <v>808</v>
      </c>
      <c r="H595">
        <v>4</v>
      </c>
      <c r="I595">
        <v>0</v>
      </c>
      <c r="J595" s="1" t="s">
        <v>1705</v>
      </c>
      <c r="K595" s="1" t="s">
        <v>14</v>
      </c>
      <c r="L595">
        <v>372</v>
      </c>
      <c r="M595" s="4">
        <v>0.25833333333333336</v>
      </c>
      <c r="N595" s="10">
        <v>26.73</v>
      </c>
      <c r="O595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595" s="10">
        <f>Clients_chun_clean[[#This Row],[Facture_Mensuelle]]*Clients_chun_clean[[#This Row],[Remise]]</f>
        <v>12.028500000000001</v>
      </c>
      <c r="Q595">
        <v>3</v>
      </c>
    </row>
    <row r="596" spans="1:17" x14ac:dyDescent="0.25">
      <c r="A596" s="1" t="s">
        <v>597</v>
      </c>
      <c r="B596" s="1" t="s">
        <v>644</v>
      </c>
      <c r="C596" s="1" t="s">
        <v>89</v>
      </c>
      <c r="D596" s="1" t="str">
        <f>VLOOKUP(Clients_chun_clean[[#This Row],[Province_Client]],Master_Logs_reseau_registre!B596:F1667,2,0)</f>
        <v>ANT-0607</v>
      </c>
      <c r="E596" s="1" t="s">
        <v>1506</v>
      </c>
      <c r="F596" s="1" t="s">
        <v>1516</v>
      </c>
      <c r="G596" s="1" t="s">
        <v>811</v>
      </c>
      <c r="H596">
        <v>56</v>
      </c>
      <c r="I596">
        <v>4</v>
      </c>
      <c r="J596" s="1" t="s">
        <v>1704</v>
      </c>
      <c r="K596" s="1" t="s">
        <v>11</v>
      </c>
      <c r="L596">
        <v>354</v>
      </c>
      <c r="M596" s="4">
        <v>0.24583333333333332</v>
      </c>
      <c r="N596" s="10">
        <v>32.08</v>
      </c>
      <c r="O596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596" s="10">
        <f>Clients_chun_clean[[#This Row],[Facture_Mensuelle]]*Clients_chun_clean[[#This Row],[Remise]]</f>
        <v>14.436</v>
      </c>
      <c r="Q596">
        <v>1</v>
      </c>
    </row>
    <row r="597" spans="1:17" x14ac:dyDescent="0.25">
      <c r="A597" s="1" t="s">
        <v>597</v>
      </c>
      <c r="B597" s="1" t="s">
        <v>645</v>
      </c>
      <c r="C597" s="1" t="s">
        <v>10</v>
      </c>
      <c r="D597" s="1" t="str">
        <f>VLOOKUP(Clients_chun_clean[[#This Row],[Province_Client]],Master_Logs_reseau_registre!B597:F1668,2,0)</f>
        <v>ANT-0966</v>
      </c>
      <c r="E597" s="1" t="s">
        <v>1508</v>
      </c>
      <c r="F597" s="1" t="s">
        <v>1507</v>
      </c>
      <c r="G597" s="1" t="s">
        <v>808</v>
      </c>
      <c r="H597">
        <v>2</v>
      </c>
      <c r="I597">
        <v>0</v>
      </c>
      <c r="J597" s="1" t="s">
        <v>1705</v>
      </c>
      <c r="K597" s="1" t="s">
        <v>14</v>
      </c>
      <c r="L597">
        <v>481</v>
      </c>
      <c r="M597" s="4">
        <v>0.33402777777777776</v>
      </c>
      <c r="N597" s="10">
        <v>29.37</v>
      </c>
      <c r="O597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597" s="10">
        <f>Clients_chun_clean[[#This Row],[Facture_Mensuelle]]*Clients_chun_clean[[#This Row],[Remise]]</f>
        <v>13.2165</v>
      </c>
      <c r="Q597">
        <v>4</v>
      </c>
    </row>
    <row r="598" spans="1:17" x14ac:dyDescent="0.25">
      <c r="A598" s="1" t="s">
        <v>597</v>
      </c>
      <c r="B598" s="1" t="s">
        <v>646</v>
      </c>
      <c r="C598" s="1" t="s">
        <v>57</v>
      </c>
      <c r="D598" s="1" t="str">
        <f>VLOOKUP(Clients_chun_clean[[#This Row],[Province_Client]],Master_Logs_reseau_registre!B598:F1669,2,0)</f>
        <v>ANT-0066</v>
      </c>
      <c r="E598" s="1" t="s">
        <v>1503</v>
      </c>
      <c r="F598" s="1" t="s">
        <v>1516</v>
      </c>
      <c r="G598" s="1" t="s">
        <v>811</v>
      </c>
      <c r="H598">
        <v>81</v>
      </c>
      <c r="I598">
        <v>6</v>
      </c>
      <c r="J598" s="1" t="s">
        <v>1704</v>
      </c>
      <c r="K598" s="1" t="s">
        <v>22</v>
      </c>
      <c r="L598">
        <v>64</v>
      </c>
      <c r="M598" s="4">
        <v>4.4444444444444446E-2</v>
      </c>
      <c r="N598" s="10">
        <v>43.45</v>
      </c>
      <c r="O598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598" s="10">
        <f>Clients_chun_clean[[#This Row],[Facture_Mensuelle]]*Clients_chun_clean[[#This Row],[Remise]]</f>
        <v>0</v>
      </c>
      <c r="Q598">
        <v>2</v>
      </c>
    </row>
    <row r="599" spans="1:17" x14ac:dyDescent="0.25">
      <c r="A599" s="1" t="s">
        <v>597</v>
      </c>
      <c r="B599" s="1" t="s">
        <v>647</v>
      </c>
      <c r="C599" s="1" t="s">
        <v>60</v>
      </c>
      <c r="D599" s="1" t="str">
        <f>VLOOKUP(Clients_chun_clean[[#This Row],[Province_Client]],Master_Logs_reseau_registre!B599:F1670,2,0)</f>
        <v>ANT-0701</v>
      </c>
      <c r="E599" s="1" t="s">
        <v>1508</v>
      </c>
      <c r="F599" s="1" t="s">
        <v>1516</v>
      </c>
      <c r="G599" s="1" t="s">
        <v>811</v>
      </c>
      <c r="H599">
        <v>99</v>
      </c>
      <c r="I599">
        <v>8</v>
      </c>
      <c r="J599" s="1" t="s">
        <v>1704</v>
      </c>
      <c r="K599" s="1" t="s">
        <v>22</v>
      </c>
      <c r="L599">
        <v>137</v>
      </c>
      <c r="M599" s="4">
        <v>9.5138888888888884E-2</v>
      </c>
      <c r="N599" s="10">
        <v>23.05</v>
      </c>
      <c r="O599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599" s="10">
        <f>Clients_chun_clean[[#This Row],[Facture_Mensuelle]]*Clients_chun_clean[[#This Row],[Remise]]</f>
        <v>0</v>
      </c>
      <c r="Q599">
        <v>4</v>
      </c>
    </row>
    <row r="600" spans="1:17" x14ac:dyDescent="0.25">
      <c r="A600" s="1" t="s">
        <v>648</v>
      </c>
      <c r="B600" s="1" t="s">
        <v>649</v>
      </c>
      <c r="C600" s="1" t="s">
        <v>35</v>
      </c>
      <c r="D600" s="1" t="str">
        <f>VLOOKUP(Clients_chun_clean[[#This Row],[Province_Client]],Master_Logs_reseau_registre!B600:F1671,2,0)</f>
        <v>ANT-0205</v>
      </c>
      <c r="E600" s="1" t="s">
        <v>1506</v>
      </c>
      <c r="F600" s="1" t="s">
        <v>1516</v>
      </c>
      <c r="G600" s="1" t="s">
        <v>811</v>
      </c>
      <c r="H600">
        <v>18</v>
      </c>
      <c r="I600">
        <v>1</v>
      </c>
      <c r="J600" s="1" t="s">
        <v>1705</v>
      </c>
      <c r="K600" s="1" t="s">
        <v>14</v>
      </c>
      <c r="L600">
        <v>75</v>
      </c>
      <c r="M600" s="4">
        <v>5.2083333333333336E-2</v>
      </c>
      <c r="N600" s="10">
        <v>57.66</v>
      </c>
      <c r="O600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600" s="10">
        <f>Clients_chun_clean[[#This Row],[Facture_Mensuelle]]*Clients_chun_clean[[#This Row],[Remise]]</f>
        <v>5.766</v>
      </c>
      <c r="Q600">
        <v>1</v>
      </c>
    </row>
    <row r="601" spans="1:17" x14ac:dyDescent="0.25">
      <c r="A601" s="1" t="s">
        <v>648</v>
      </c>
      <c r="B601" s="1" t="s">
        <v>650</v>
      </c>
      <c r="C601" s="1" t="s">
        <v>64</v>
      </c>
      <c r="D601" s="1" t="str">
        <f>VLOOKUP(Clients_chun_clean[[#This Row],[Province_Client]],Master_Logs_reseau_registre!B601:F1672,2,0)</f>
        <v>ANT-0690</v>
      </c>
      <c r="E601" s="1" t="s">
        <v>1508</v>
      </c>
      <c r="F601" s="1" t="s">
        <v>1516</v>
      </c>
      <c r="G601" s="1" t="s">
        <v>811</v>
      </c>
      <c r="H601">
        <v>14</v>
      </c>
      <c r="I601">
        <v>1</v>
      </c>
      <c r="J601" s="1" t="s">
        <v>1705</v>
      </c>
      <c r="K601" s="1" t="s">
        <v>14</v>
      </c>
      <c r="L601">
        <v>236</v>
      </c>
      <c r="M601" s="4">
        <v>0.16388888888888889</v>
      </c>
      <c r="N601" s="10">
        <v>54.43</v>
      </c>
      <c r="O601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601" s="10">
        <f>Clients_chun_clean[[#This Row],[Facture_Mensuelle]]*Clients_chun_clean[[#This Row],[Remise]]</f>
        <v>5.4430000000000005</v>
      </c>
      <c r="Q601">
        <v>3</v>
      </c>
    </row>
    <row r="602" spans="1:17" x14ac:dyDescent="0.25">
      <c r="A602" s="1" t="s">
        <v>648</v>
      </c>
      <c r="B602" s="1" t="s">
        <v>651</v>
      </c>
      <c r="C602" s="1" t="s">
        <v>16</v>
      </c>
      <c r="D602" s="1" t="str">
        <f>VLOOKUP(Clients_chun_clean[[#This Row],[Province_Client]],Master_Logs_reseau_registre!B602:F1673,2,0)</f>
        <v>ANT-0837</v>
      </c>
      <c r="E602" s="1" t="s">
        <v>1503</v>
      </c>
      <c r="F602" s="1" t="s">
        <v>1509</v>
      </c>
      <c r="G602" s="1" t="s">
        <v>811</v>
      </c>
      <c r="H602">
        <v>42</v>
      </c>
      <c r="I602">
        <v>3</v>
      </c>
      <c r="J602" s="1" t="s">
        <v>1704</v>
      </c>
      <c r="K602" s="1" t="s">
        <v>19</v>
      </c>
      <c r="L602">
        <v>448</v>
      </c>
      <c r="M602" s="4">
        <v>0.31111111111111112</v>
      </c>
      <c r="N602" s="10">
        <v>49.02</v>
      </c>
      <c r="O602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602" s="10">
        <f>Clients_chun_clean[[#This Row],[Facture_Mensuelle]]*Clients_chun_clean[[#This Row],[Remise]]</f>
        <v>22.059000000000001</v>
      </c>
      <c r="Q602">
        <v>0</v>
      </c>
    </row>
    <row r="603" spans="1:17" x14ac:dyDescent="0.25">
      <c r="A603" s="1" t="s">
        <v>648</v>
      </c>
      <c r="B603" s="1" t="s">
        <v>652</v>
      </c>
      <c r="C603" s="1" t="s">
        <v>24</v>
      </c>
      <c r="D603" s="1" t="str">
        <f>VLOOKUP(Clients_chun_clean[[#This Row],[Province_Client]],Master_Logs_reseau_registre!B603:F1674,2,0)</f>
        <v>ANT-0587</v>
      </c>
      <c r="E603" s="1" t="s">
        <v>1506</v>
      </c>
      <c r="F603" s="1" t="s">
        <v>1516</v>
      </c>
      <c r="G603" s="1" t="s">
        <v>813</v>
      </c>
      <c r="H603">
        <v>111</v>
      </c>
      <c r="I603">
        <v>9</v>
      </c>
      <c r="J603" s="1" t="s">
        <v>1704</v>
      </c>
      <c r="K603" s="1" t="s">
        <v>22</v>
      </c>
      <c r="L603">
        <v>54</v>
      </c>
      <c r="M603" s="4">
        <v>3.7499999999999999E-2</v>
      </c>
      <c r="N603" s="10">
        <v>71.3</v>
      </c>
      <c r="O603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603" s="10">
        <f>Clients_chun_clean[[#This Row],[Facture_Mensuelle]]*Clients_chun_clean[[#This Row],[Remise]]</f>
        <v>0</v>
      </c>
      <c r="Q603">
        <v>0</v>
      </c>
    </row>
    <row r="604" spans="1:17" x14ac:dyDescent="0.25">
      <c r="A604" s="1" t="s">
        <v>648</v>
      </c>
      <c r="B604" s="1" t="s">
        <v>653</v>
      </c>
      <c r="C604" s="1" t="s">
        <v>89</v>
      </c>
      <c r="D604" s="1" t="str">
        <f>VLOOKUP(Clients_chun_clean[[#This Row],[Province_Client]],Master_Logs_reseau_registre!B604:F1675,2,0)</f>
        <v>ANT-0607</v>
      </c>
      <c r="E604" s="1" t="s">
        <v>1506</v>
      </c>
      <c r="F604" s="1" t="s">
        <v>1504</v>
      </c>
      <c r="G604" s="1" t="s">
        <v>808</v>
      </c>
      <c r="H604">
        <v>89</v>
      </c>
      <c r="I604">
        <v>7</v>
      </c>
      <c r="J604" s="1" t="s">
        <v>1705</v>
      </c>
      <c r="K604" s="1" t="s">
        <v>14</v>
      </c>
      <c r="L604">
        <v>381</v>
      </c>
      <c r="M604" s="4">
        <v>0.26458333333333334</v>
      </c>
      <c r="N604" s="10">
        <v>68.17</v>
      </c>
      <c r="O604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604" s="10">
        <f>Clients_chun_clean[[#This Row],[Facture_Mensuelle]]*Clients_chun_clean[[#This Row],[Remise]]</f>
        <v>30.676500000000001</v>
      </c>
      <c r="Q604">
        <v>0</v>
      </c>
    </row>
    <row r="605" spans="1:17" x14ac:dyDescent="0.25">
      <c r="A605" s="1" t="s">
        <v>648</v>
      </c>
      <c r="B605" s="1" t="s">
        <v>654</v>
      </c>
      <c r="C605" s="1" t="s">
        <v>64</v>
      </c>
      <c r="D605" s="1" t="str">
        <f>VLOOKUP(Clients_chun_clean[[#This Row],[Province_Client]],Master_Logs_reseau_registre!B605:F1676,2,0)</f>
        <v>ANT-0690</v>
      </c>
      <c r="E605" s="1" t="s">
        <v>1508</v>
      </c>
      <c r="F605" s="1" t="s">
        <v>1507</v>
      </c>
      <c r="G605" s="1" t="s">
        <v>813</v>
      </c>
      <c r="H605">
        <v>93</v>
      </c>
      <c r="I605">
        <v>7</v>
      </c>
      <c r="J605" s="1" t="s">
        <v>1705</v>
      </c>
      <c r="K605" s="1" t="s">
        <v>14</v>
      </c>
      <c r="L605">
        <v>56</v>
      </c>
      <c r="M605" s="4">
        <v>3.888888888888889E-2</v>
      </c>
      <c r="N605" s="10">
        <v>96.31</v>
      </c>
      <c r="O605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605" s="10">
        <f>Clients_chun_clean[[#This Row],[Facture_Mensuelle]]*Clients_chun_clean[[#This Row],[Remise]]</f>
        <v>9.6310000000000002</v>
      </c>
      <c r="Q605">
        <v>4</v>
      </c>
    </row>
    <row r="606" spans="1:17" x14ac:dyDescent="0.25">
      <c r="A606" s="1" t="s">
        <v>648</v>
      </c>
      <c r="B606" s="1" t="s">
        <v>655</v>
      </c>
      <c r="C606" s="1" t="s">
        <v>127</v>
      </c>
      <c r="D606" s="1" t="str">
        <f>VLOOKUP(Clients_chun_clean[[#This Row],[Province_Client]],Master_Logs_reseau_registre!B606:F1677,2,0)</f>
        <v>ANT-0185</v>
      </c>
      <c r="E606" s="1" t="s">
        <v>1503</v>
      </c>
      <c r="F606" s="1" t="s">
        <v>1509</v>
      </c>
      <c r="G606" s="1" t="s">
        <v>811</v>
      </c>
      <c r="H606">
        <v>56</v>
      </c>
      <c r="I606">
        <v>4</v>
      </c>
      <c r="J606" s="1" t="s">
        <v>1704</v>
      </c>
      <c r="K606" s="1" t="s">
        <v>11</v>
      </c>
      <c r="L606">
        <v>123</v>
      </c>
      <c r="M606" s="4">
        <v>8.5416666666666669E-2</v>
      </c>
      <c r="N606" s="10">
        <v>29.76</v>
      </c>
      <c r="O606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606" s="10">
        <f>Clients_chun_clean[[#This Row],[Facture_Mensuelle]]*Clients_chun_clean[[#This Row],[Remise]]</f>
        <v>13.392000000000001</v>
      </c>
      <c r="Q606">
        <v>5</v>
      </c>
    </row>
    <row r="607" spans="1:17" x14ac:dyDescent="0.25">
      <c r="A607" s="1" t="s">
        <v>648</v>
      </c>
      <c r="B607" s="1" t="s">
        <v>656</v>
      </c>
      <c r="C607" s="1" t="s">
        <v>35</v>
      </c>
      <c r="D607" s="1" t="str">
        <f>VLOOKUP(Clients_chun_clean[[#This Row],[Province_Client]],Master_Logs_reseau_registre!B607:F1678,2,0)</f>
        <v>ANT-0205</v>
      </c>
      <c r="E607" s="1" t="s">
        <v>1506</v>
      </c>
      <c r="F607" s="1" t="s">
        <v>1504</v>
      </c>
      <c r="G607" s="1" t="s">
        <v>808</v>
      </c>
      <c r="H607">
        <v>29</v>
      </c>
      <c r="I607">
        <v>2</v>
      </c>
      <c r="J607" s="1" t="s">
        <v>1704</v>
      </c>
      <c r="K607" s="1" t="s">
        <v>11</v>
      </c>
      <c r="L607">
        <v>8</v>
      </c>
      <c r="M607" s="4">
        <v>5.5555555555555558E-3</v>
      </c>
      <c r="N607" s="10">
        <v>14.78</v>
      </c>
      <c r="O607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607" s="10">
        <f>Clients_chun_clean[[#This Row],[Facture_Mensuelle]]*Clients_chun_clean[[#This Row],[Remise]]</f>
        <v>6.6509999999999998</v>
      </c>
      <c r="Q607">
        <v>2</v>
      </c>
    </row>
    <row r="608" spans="1:17" x14ac:dyDescent="0.25">
      <c r="A608" s="1" t="s">
        <v>648</v>
      </c>
      <c r="B608" s="1" t="s">
        <v>657</v>
      </c>
      <c r="C608" s="1" t="s">
        <v>44</v>
      </c>
      <c r="D608" s="1" t="str">
        <f>VLOOKUP(Clients_chun_clean[[#This Row],[Province_Client]],Master_Logs_reseau_registre!B608:F1679,2,0)</f>
        <v>ANT-0056</v>
      </c>
      <c r="E608" s="1" t="s">
        <v>1506</v>
      </c>
      <c r="F608" s="1" t="s">
        <v>1504</v>
      </c>
      <c r="G608" s="1" t="s">
        <v>808</v>
      </c>
      <c r="H608">
        <v>22</v>
      </c>
      <c r="I608">
        <v>1</v>
      </c>
      <c r="J608" s="1" t="s">
        <v>1705</v>
      </c>
      <c r="K608" s="1" t="s">
        <v>14</v>
      </c>
      <c r="L608">
        <v>457</v>
      </c>
      <c r="M608" s="4">
        <v>0.31736111111111109</v>
      </c>
      <c r="N608" s="10">
        <v>13.21</v>
      </c>
      <c r="O608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608" s="10">
        <f>Clients_chun_clean[[#This Row],[Facture_Mensuelle]]*Clients_chun_clean[[#This Row],[Remise]]</f>
        <v>5.9445000000000006</v>
      </c>
      <c r="Q608">
        <v>1</v>
      </c>
    </row>
    <row r="609" spans="1:17" x14ac:dyDescent="0.25">
      <c r="A609" s="1" t="s">
        <v>648</v>
      </c>
      <c r="B609" s="1" t="s">
        <v>658</v>
      </c>
      <c r="C609" s="1" t="s">
        <v>131</v>
      </c>
      <c r="D609" s="1" t="str">
        <f>VLOOKUP(Clients_chun_clean[[#This Row],[Province_Client]],Master_Logs_reseau_registre!B609:F1680,2,0)</f>
        <v>ANT-0564</v>
      </c>
      <c r="E609" s="1" t="s">
        <v>1503</v>
      </c>
      <c r="F609" s="1" t="s">
        <v>1507</v>
      </c>
      <c r="G609" s="1" t="s">
        <v>813</v>
      </c>
      <c r="H609">
        <v>12</v>
      </c>
      <c r="I609">
        <v>1</v>
      </c>
      <c r="J609" s="1" t="s">
        <v>1704</v>
      </c>
      <c r="K609" s="1" t="s">
        <v>22</v>
      </c>
      <c r="L609">
        <v>235</v>
      </c>
      <c r="M609" s="4">
        <v>0.16319444444444445</v>
      </c>
      <c r="N609" s="10">
        <v>33.96</v>
      </c>
      <c r="O609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609" s="10">
        <f>Clients_chun_clean[[#This Row],[Facture_Mensuelle]]*Clients_chun_clean[[#This Row],[Remise]]</f>
        <v>0</v>
      </c>
      <c r="Q609">
        <v>4</v>
      </c>
    </row>
    <row r="610" spans="1:17" x14ac:dyDescent="0.25">
      <c r="A610" s="1" t="s">
        <v>648</v>
      </c>
      <c r="B610" s="1" t="s">
        <v>659</v>
      </c>
      <c r="C610" s="1" t="s">
        <v>62</v>
      </c>
      <c r="D610" s="1" t="str">
        <f>VLOOKUP(Clients_chun_clean[[#This Row],[Province_Client]],Master_Logs_reseau_registre!B610:F1681,2,0)</f>
        <v>ANT-0737</v>
      </c>
      <c r="E610" s="1" t="s">
        <v>1503</v>
      </c>
      <c r="F610" s="1" t="s">
        <v>1507</v>
      </c>
      <c r="G610" s="1" t="s">
        <v>813</v>
      </c>
      <c r="H610">
        <v>25</v>
      </c>
      <c r="I610">
        <v>2</v>
      </c>
      <c r="J610" s="1" t="s">
        <v>1704</v>
      </c>
      <c r="K610" s="1" t="s">
        <v>19</v>
      </c>
      <c r="L610">
        <v>95</v>
      </c>
      <c r="M610" s="4">
        <v>6.5972222222222224E-2</v>
      </c>
      <c r="N610" s="10">
        <v>15.93</v>
      </c>
      <c r="O610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610" s="10">
        <f>Clients_chun_clean[[#This Row],[Facture_Mensuelle]]*Clients_chun_clean[[#This Row],[Remise]]</f>
        <v>0</v>
      </c>
      <c r="Q610">
        <v>4</v>
      </c>
    </row>
    <row r="611" spans="1:17" x14ac:dyDescent="0.25">
      <c r="A611" s="1" t="s">
        <v>648</v>
      </c>
      <c r="B611" s="1" t="s">
        <v>660</v>
      </c>
      <c r="C611" s="1" t="s">
        <v>60</v>
      </c>
      <c r="D611" s="1" t="str">
        <f>VLOOKUP(Clients_chun_clean[[#This Row],[Province_Client]],Master_Logs_reseau_registre!B611:F1682,2,0)</f>
        <v>ANT-0578</v>
      </c>
      <c r="E611" s="1" t="s">
        <v>1503</v>
      </c>
      <c r="F611" s="1" t="s">
        <v>1507</v>
      </c>
      <c r="G611" s="1" t="s">
        <v>813</v>
      </c>
      <c r="H611">
        <v>93</v>
      </c>
      <c r="I611">
        <v>7</v>
      </c>
      <c r="J611" s="1" t="s">
        <v>1704</v>
      </c>
      <c r="K611" s="1" t="s">
        <v>11</v>
      </c>
      <c r="L611">
        <v>136</v>
      </c>
      <c r="M611" s="4">
        <v>9.4444444444444442E-2</v>
      </c>
      <c r="N611" s="10">
        <v>19.09</v>
      </c>
      <c r="O611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611" s="10">
        <f>Clients_chun_clean[[#This Row],[Facture_Mensuelle]]*Clients_chun_clean[[#This Row],[Remise]]</f>
        <v>0</v>
      </c>
      <c r="Q611">
        <v>1</v>
      </c>
    </row>
    <row r="612" spans="1:17" x14ac:dyDescent="0.25">
      <c r="A612" s="1" t="s">
        <v>648</v>
      </c>
      <c r="B612" s="1" t="s">
        <v>661</v>
      </c>
      <c r="C612" s="1" t="s">
        <v>73</v>
      </c>
      <c r="D612" s="1" t="str">
        <f>VLOOKUP(Clients_chun_clean[[#This Row],[Province_Client]],Master_Logs_reseau_registre!B612:F1683,2,0)</f>
        <v>ANT-0839</v>
      </c>
      <c r="E612" s="1" t="s">
        <v>1506</v>
      </c>
      <c r="F612" s="1" t="s">
        <v>1516</v>
      </c>
      <c r="G612" s="1" t="s">
        <v>811</v>
      </c>
      <c r="H612">
        <v>116</v>
      </c>
      <c r="I612">
        <v>9</v>
      </c>
      <c r="J612" s="1" t="s">
        <v>1704</v>
      </c>
      <c r="K612" s="1" t="s">
        <v>11</v>
      </c>
      <c r="L612">
        <v>14</v>
      </c>
      <c r="M612" s="4">
        <v>9.7222222222222224E-3</v>
      </c>
      <c r="N612" s="10">
        <v>30.38</v>
      </c>
      <c r="O612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612" s="10">
        <f>Clients_chun_clean[[#This Row],[Facture_Mensuelle]]*Clients_chun_clean[[#This Row],[Remise]]</f>
        <v>0</v>
      </c>
      <c r="Q612">
        <v>1</v>
      </c>
    </row>
    <row r="613" spans="1:17" x14ac:dyDescent="0.25">
      <c r="A613" s="1" t="s">
        <v>648</v>
      </c>
      <c r="B613" s="1" t="s">
        <v>662</v>
      </c>
      <c r="C613" s="1" t="s">
        <v>62</v>
      </c>
      <c r="D613" s="1" t="str">
        <f>VLOOKUP(Clients_chun_clean[[#This Row],[Province_Client]],Master_Logs_reseau_registre!B613:F1684,2,0)</f>
        <v>ANT-0737</v>
      </c>
      <c r="E613" s="1" t="s">
        <v>1503</v>
      </c>
      <c r="F613" s="1" t="s">
        <v>1509</v>
      </c>
      <c r="G613" s="1" t="s">
        <v>811</v>
      </c>
      <c r="H613">
        <v>104</v>
      </c>
      <c r="I613">
        <v>8</v>
      </c>
      <c r="J613" s="1" t="s">
        <v>1704</v>
      </c>
      <c r="K613" s="1" t="s">
        <v>19</v>
      </c>
      <c r="L613">
        <v>243</v>
      </c>
      <c r="M613" s="4">
        <v>0.16875000000000001</v>
      </c>
      <c r="N613" s="10">
        <v>65.819999999999993</v>
      </c>
      <c r="O613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613" s="10">
        <f>Clients_chun_clean[[#This Row],[Facture_Mensuelle]]*Clients_chun_clean[[#This Row],[Remise]]</f>
        <v>29.618999999999996</v>
      </c>
      <c r="Q613">
        <v>0</v>
      </c>
    </row>
    <row r="614" spans="1:17" x14ac:dyDescent="0.25">
      <c r="A614" s="1" t="s">
        <v>648</v>
      </c>
      <c r="B614" s="1" t="s">
        <v>663</v>
      </c>
      <c r="C614" s="1" t="s">
        <v>78</v>
      </c>
      <c r="D614" s="1" t="str">
        <f>VLOOKUP(Clients_chun_clean[[#This Row],[Province_Client]],Master_Logs_reseau_registre!B614:F1685,2,0)</f>
        <v>ANT-0117</v>
      </c>
      <c r="E614" s="1" t="s">
        <v>1506</v>
      </c>
      <c r="F614" s="1" t="s">
        <v>1516</v>
      </c>
      <c r="G614" s="1" t="s">
        <v>811</v>
      </c>
      <c r="H614">
        <v>48</v>
      </c>
      <c r="I614">
        <v>4</v>
      </c>
      <c r="J614" s="1" t="s">
        <v>1704</v>
      </c>
      <c r="K614" s="1" t="s">
        <v>11</v>
      </c>
      <c r="L614">
        <v>338</v>
      </c>
      <c r="M614" s="4">
        <v>0.23472222222222222</v>
      </c>
      <c r="N614" s="10">
        <v>74.42</v>
      </c>
      <c r="O614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614" s="10">
        <f>Clients_chun_clean[[#This Row],[Facture_Mensuelle]]*Clients_chun_clean[[#This Row],[Remise]]</f>
        <v>33.489000000000004</v>
      </c>
      <c r="Q614">
        <v>0</v>
      </c>
    </row>
    <row r="615" spans="1:17" x14ac:dyDescent="0.25">
      <c r="A615" s="1" t="s">
        <v>648</v>
      </c>
      <c r="B615" s="1" t="s">
        <v>664</v>
      </c>
      <c r="C615" s="1" t="s">
        <v>16</v>
      </c>
      <c r="D615" s="1" t="str">
        <f>VLOOKUP(Clients_chun_clean[[#This Row],[Province_Client]],Master_Logs_reseau_registre!B615:F1686,2,0)</f>
        <v>ANT-0837</v>
      </c>
      <c r="E615" s="1" t="s">
        <v>1503</v>
      </c>
      <c r="F615" s="1" t="s">
        <v>1509</v>
      </c>
      <c r="G615" s="1" t="s">
        <v>811</v>
      </c>
      <c r="H615">
        <v>105</v>
      </c>
      <c r="I615">
        <v>8</v>
      </c>
      <c r="J615" s="1" t="s">
        <v>1704</v>
      </c>
      <c r="K615" s="1" t="s">
        <v>22</v>
      </c>
      <c r="L615">
        <v>271</v>
      </c>
      <c r="M615" s="4">
        <v>0.18819444444444444</v>
      </c>
      <c r="N615" s="10">
        <v>45.27</v>
      </c>
      <c r="O615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615" s="10">
        <f>Clients_chun_clean[[#This Row],[Facture_Mensuelle]]*Clients_chun_clean[[#This Row],[Remise]]</f>
        <v>20.371500000000001</v>
      </c>
      <c r="Q615">
        <v>2</v>
      </c>
    </row>
    <row r="616" spans="1:17" x14ac:dyDescent="0.25">
      <c r="A616" s="1" t="s">
        <v>648</v>
      </c>
      <c r="B616" s="1" t="s">
        <v>665</v>
      </c>
      <c r="C616" s="1" t="s">
        <v>64</v>
      </c>
      <c r="D616" s="1" t="str">
        <f>VLOOKUP(Clients_chun_clean[[#This Row],[Province_Client]],Master_Logs_reseau_registre!B616:F1687,2,0)</f>
        <v>ANT-0690</v>
      </c>
      <c r="E616" s="1" t="s">
        <v>1508</v>
      </c>
      <c r="F616" s="1" t="s">
        <v>1516</v>
      </c>
      <c r="G616" s="1" t="s">
        <v>811</v>
      </c>
      <c r="H616">
        <v>116</v>
      </c>
      <c r="I616">
        <v>9</v>
      </c>
      <c r="J616" s="1" t="s">
        <v>1704</v>
      </c>
      <c r="K616" s="1" t="s">
        <v>22</v>
      </c>
      <c r="L616">
        <v>231</v>
      </c>
      <c r="M616" s="4">
        <v>0.16041666666666668</v>
      </c>
      <c r="N616" s="10">
        <v>19.12</v>
      </c>
      <c r="O616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616" s="10">
        <f>Clients_chun_clean[[#This Row],[Facture_Mensuelle]]*Clients_chun_clean[[#This Row],[Remise]]</f>
        <v>0</v>
      </c>
      <c r="Q616">
        <v>5</v>
      </c>
    </row>
    <row r="617" spans="1:17" x14ac:dyDescent="0.25">
      <c r="A617" s="1" t="s">
        <v>648</v>
      </c>
      <c r="B617" s="1" t="s">
        <v>666</v>
      </c>
      <c r="C617" s="1" t="s">
        <v>40</v>
      </c>
      <c r="D617" s="1" t="str">
        <f>VLOOKUP(Clients_chun_clean[[#This Row],[Province_Client]],Master_Logs_reseau_registre!B617:F1688,2,0)</f>
        <v>ANT-0843</v>
      </c>
      <c r="E617" s="1" t="s">
        <v>1503</v>
      </c>
      <c r="F617" s="1" t="s">
        <v>1509</v>
      </c>
      <c r="G617" s="1" t="s">
        <v>811</v>
      </c>
      <c r="H617">
        <v>69</v>
      </c>
      <c r="I617">
        <v>5</v>
      </c>
      <c r="J617" s="1" t="s">
        <v>1704</v>
      </c>
      <c r="K617" s="1" t="s">
        <v>19</v>
      </c>
      <c r="L617">
        <v>180</v>
      </c>
      <c r="M617" s="4">
        <v>0.125</v>
      </c>
      <c r="N617" s="10">
        <v>76.05</v>
      </c>
      <c r="O617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617" s="10">
        <f>Clients_chun_clean[[#This Row],[Facture_Mensuelle]]*Clients_chun_clean[[#This Row],[Remise]]</f>
        <v>0</v>
      </c>
      <c r="Q617">
        <v>2</v>
      </c>
    </row>
    <row r="618" spans="1:17" x14ac:dyDescent="0.25">
      <c r="A618" s="1" t="s">
        <v>648</v>
      </c>
      <c r="B618" s="1" t="s">
        <v>667</v>
      </c>
      <c r="C618" s="1" t="s">
        <v>26</v>
      </c>
      <c r="D618" s="1" t="str">
        <f>VLOOKUP(Clients_chun_clean[[#This Row],[Province_Client]],Master_Logs_reseau_registre!B618:F1689,2,0)</f>
        <v>ANT-0775</v>
      </c>
      <c r="E618" s="1" t="s">
        <v>1508</v>
      </c>
      <c r="F618" s="1" t="s">
        <v>1516</v>
      </c>
      <c r="G618" s="1" t="s">
        <v>811</v>
      </c>
      <c r="H618">
        <v>1</v>
      </c>
      <c r="I618">
        <v>0</v>
      </c>
      <c r="J618" s="1" t="s">
        <v>1704</v>
      </c>
      <c r="K618" s="1" t="s">
        <v>19</v>
      </c>
      <c r="L618">
        <v>135</v>
      </c>
      <c r="M618" s="4">
        <v>9.375E-2</v>
      </c>
      <c r="N618" s="10">
        <v>89.16</v>
      </c>
      <c r="O618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618" s="10">
        <f>Clients_chun_clean[[#This Row],[Facture_Mensuelle]]*Clients_chun_clean[[#This Row],[Remise]]</f>
        <v>0</v>
      </c>
      <c r="Q618">
        <v>3</v>
      </c>
    </row>
    <row r="619" spans="1:17" x14ac:dyDescent="0.25">
      <c r="A619" s="1" t="s">
        <v>648</v>
      </c>
      <c r="B619" s="1" t="s">
        <v>668</v>
      </c>
      <c r="C619" s="1" t="s">
        <v>51</v>
      </c>
      <c r="D619" s="1" t="str">
        <f>VLOOKUP(Clients_chun_clean[[#This Row],[Province_Client]],Master_Logs_reseau_registre!B619:F1690,2,0)</f>
        <v>ANT-0524</v>
      </c>
      <c r="E619" s="1" t="s">
        <v>1506</v>
      </c>
      <c r="F619" s="1" t="s">
        <v>1504</v>
      </c>
      <c r="G619" s="1" t="s">
        <v>811</v>
      </c>
      <c r="H619">
        <v>120</v>
      </c>
      <c r="I619">
        <v>10</v>
      </c>
      <c r="J619" s="1" t="s">
        <v>1705</v>
      </c>
      <c r="K619" s="1" t="s">
        <v>14</v>
      </c>
      <c r="L619">
        <v>60</v>
      </c>
      <c r="M619" s="4">
        <v>4.1666666666666664E-2</v>
      </c>
      <c r="N619" s="10">
        <v>34.14</v>
      </c>
      <c r="O619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619" s="10">
        <f>Clients_chun_clean[[#This Row],[Facture_Mensuelle]]*Clients_chun_clean[[#This Row],[Remise]]</f>
        <v>3.4140000000000001</v>
      </c>
      <c r="Q619">
        <v>3</v>
      </c>
    </row>
    <row r="620" spans="1:17" x14ac:dyDescent="0.25">
      <c r="A620" s="1" t="s">
        <v>648</v>
      </c>
      <c r="B620" s="1" t="s">
        <v>669</v>
      </c>
      <c r="C620" s="1" t="s">
        <v>24</v>
      </c>
      <c r="D620" s="1" t="str">
        <f>VLOOKUP(Clients_chun_clean[[#This Row],[Province_Client]],Master_Logs_reseau_registre!B620:F1691,2,0)</f>
        <v>ANT-0587</v>
      </c>
      <c r="E620" s="1" t="s">
        <v>1506</v>
      </c>
      <c r="F620" s="1" t="s">
        <v>1507</v>
      </c>
      <c r="G620" s="1" t="s">
        <v>808</v>
      </c>
      <c r="H620">
        <v>89</v>
      </c>
      <c r="I620">
        <v>7</v>
      </c>
      <c r="J620" s="1" t="s">
        <v>1704</v>
      </c>
      <c r="K620" s="1" t="s">
        <v>19</v>
      </c>
      <c r="L620">
        <v>474</v>
      </c>
      <c r="M620" s="4">
        <v>0.32916666666666666</v>
      </c>
      <c r="N620" s="10">
        <v>28.51</v>
      </c>
      <c r="O620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620" s="10">
        <f>Clients_chun_clean[[#This Row],[Facture_Mensuelle]]*Clients_chun_clean[[#This Row],[Remise]]</f>
        <v>12.829500000000001</v>
      </c>
      <c r="Q620">
        <v>5</v>
      </c>
    </row>
    <row r="621" spans="1:17" x14ac:dyDescent="0.25">
      <c r="A621" s="1" t="s">
        <v>648</v>
      </c>
      <c r="B621" s="1" t="s">
        <v>670</v>
      </c>
      <c r="C621" s="1" t="s">
        <v>10</v>
      </c>
      <c r="D621" s="1" t="str">
        <f>VLOOKUP(Clients_chun_clean[[#This Row],[Province_Client]],Master_Logs_reseau_registre!B621:F1692,2,0)</f>
        <v>ANT-0966</v>
      </c>
      <c r="E621" s="1" t="s">
        <v>1508</v>
      </c>
      <c r="F621" s="1" t="s">
        <v>1516</v>
      </c>
      <c r="G621" s="1" t="s">
        <v>811</v>
      </c>
      <c r="H621">
        <v>112</v>
      </c>
      <c r="I621">
        <v>9</v>
      </c>
      <c r="J621" s="1" t="s">
        <v>1704</v>
      </c>
      <c r="K621" s="1" t="s">
        <v>22</v>
      </c>
      <c r="L621">
        <v>281</v>
      </c>
      <c r="M621" s="4">
        <v>0.19513888888888889</v>
      </c>
      <c r="N621" s="10">
        <v>80.72</v>
      </c>
      <c r="O621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621" s="10">
        <f>Clients_chun_clean[[#This Row],[Facture_Mensuelle]]*Clients_chun_clean[[#This Row],[Remise]]</f>
        <v>36.323999999999998</v>
      </c>
      <c r="Q621">
        <v>2</v>
      </c>
    </row>
    <row r="622" spans="1:17" x14ac:dyDescent="0.25">
      <c r="A622" s="1" t="s">
        <v>648</v>
      </c>
      <c r="B622" s="1" t="s">
        <v>671</v>
      </c>
      <c r="C622" s="1" t="s">
        <v>18</v>
      </c>
      <c r="D622" s="1" t="str">
        <f>VLOOKUP(Clients_chun_clean[[#This Row],[Province_Client]],Master_Logs_reseau_registre!B622:F1693,2,0)</f>
        <v>ANT-0957</v>
      </c>
      <c r="E622" s="1" t="s">
        <v>1506</v>
      </c>
      <c r="F622" s="1" t="s">
        <v>1507</v>
      </c>
      <c r="G622" s="1" t="s">
        <v>808</v>
      </c>
      <c r="H622">
        <v>7</v>
      </c>
      <c r="I622">
        <v>0</v>
      </c>
      <c r="J622" s="1" t="s">
        <v>1704</v>
      </c>
      <c r="K622" s="1" t="s">
        <v>19</v>
      </c>
      <c r="L622">
        <v>43</v>
      </c>
      <c r="M622" s="4">
        <v>2.9861111111111113E-2</v>
      </c>
      <c r="N622" s="10">
        <v>41.29</v>
      </c>
      <c r="O622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622" s="10">
        <f>Clients_chun_clean[[#This Row],[Facture_Mensuelle]]*Clients_chun_clean[[#This Row],[Remise]]</f>
        <v>0</v>
      </c>
      <c r="Q622">
        <v>4</v>
      </c>
    </row>
    <row r="623" spans="1:17" x14ac:dyDescent="0.25">
      <c r="A623" s="1" t="s">
        <v>648</v>
      </c>
      <c r="B623" s="1" t="s">
        <v>672</v>
      </c>
      <c r="C623" s="1" t="s">
        <v>35</v>
      </c>
      <c r="D623" s="1" t="str">
        <f>VLOOKUP(Clients_chun_clean[[#This Row],[Province_Client]],Master_Logs_reseau_registre!B623:F1694,2,0)</f>
        <v>ANT-0276</v>
      </c>
      <c r="E623" s="1" t="s">
        <v>1506</v>
      </c>
      <c r="F623" s="1" t="s">
        <v>1507</v>
      </c>
      <c r="G623" s="1" t="s">
        <v>808</v>
      </c>
      <c r="H623">
        <v>34</v>
      </c>
      <c r="I623">
        <v>2</v>
      </c>
      <c r="J623" s="1" t="s">
        <v>1704</v>
      </c>
      <c r="K623" s="1" t="s">
        <v>22</v>
      </c>
      <c r="L623">
        <v>181</v>
      </c>
      <c r="M623" s="4">
        <v>0.12569444444444444</v>
      </c>
      <c r="N623" s="10">
        <v>35.92</v>
      </c>
      <c r="O623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623" s="10">
        <f>Clients_chun_clean[[#This Row],[Facture_Mensuelle]]*Clients_chun_clean[[#This Row],[Remise]]</f>
        <v>0</v>
      </c>
      <c r="Q623">
        <v>2</v>
      </c>
    </row>
    <row r="624" spans="1:17" x14ac:dyDescent="0.25">
      <c r="A624" s="1" t="s">
        <v>648</v>
      </c>
      <c r="B624" s="1" t="s">
        <v>673</v>
      </c>
      <c r="C624" s="1" t="s">
        <v>67</v>
      </c>
      <c r="D624" s="1" t="str">
        <f>VLOOKUP(Clients_chun_clean[[#This Row],[Province_Client]],Master_Logs_reseau_registre!B624:F1695,2,0)</f>
        <v>ANT-0533</v>
      </c>
      <c r="E624" s="1" t="s">
        <v>1508</v>
      </c>
      <c r="F624" s="1" t="s">
        <v>1516</v>
      </c>
      <c r="G624" s="1" t="s">
        <v>811</v>
      </c>
      <c r="H624">
        <v>114</v>
      </c>
      <c r="I624">
        <v>9</v>
      </c>
      <c r="J624" s="1" t="s">
        <v>1705</v>
      </c>
      <c r="K624" s="1" t="s">
        <v>14</v>
      </c>
      <c r="L624">
        <v>220</v>
      </c>
      <c r="M624" s="4">
        <v>0.15277777777777779</v>
      </c>
      <c r="N624" s="10">
        <v>63.67</v>
      </c>
      <c r="O624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624" s="10">
        <f>Clients_chun_clean[[#This Row],[Facture_Mensuelle]]*Clients_chun_clean[[#This Row],[Remise]]</f>
        <v>6.3670000000000009</v>
      </c>
      <c r="Q624">
        <v>5</v>
      </c>
    </row>
    <row r="625" spans="1:17" x14ac:dyDescent="0.25">
      <c r="A625" s="1" t="s">
        <v>648</v>
      </c>
      <c r="B625" s="1" t="s">
        <v>674</v>
      </c>
      <c r="C625" s="1" t="s">
        <v>78</v>
      </c>
      <c r="D625" s="1" t="str">
        <f>VLOOKUP(Clients_chun_clean[[#This Row],[Province_Client]],Master_Logs_reseau_registre!B625:F1696,2,0)</f>
        <v>ANT-0143</v>
      </c>
      <c r="E625" s="1" t="s">
        <v>1506</v>
      </c>
      <c r="F625" s="1" t="s">
        <v>1507</v>
      </c>
      <c r="G625" s="1" t="s">
        <v>811</v>
      </c>
      <c r="H625">
        <v>101</v>
      </c>
      <c r="I625">
        <v>8</v>
      </c>
      <c r="J625" s="1" t="s">
        <v>1705</v>
      </c>
      <c r="K625" s="1" t="s">
        <v>14</v>
      </c>
      <c r="L625">
        <v>108</v>
      </c>
      <c r="M625" s="4">
        <v>7.4999999999999997E-2</v>
      </c>
      <c r="N625" s="10">
        <v>76.05</v>
      </c>
      <c r="O625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625" s="10">
        <f>Clients_chun_clean[[#This Row],[Facture_Mensuelle]]*Clients_chun_clean[[#This Row],[Remise]]</f>
        <v>7.6050000000000004</v>
      </c>
      <c r="Q625">
        <v>3</v>
      </c>
    </row>
    <row r="626" spans="1:17" x14ac:dyDescent="0.25">
      <c r="A626" s="1" t="s">
        <v>648</v>
      </c>
      <c r="B626" s="1" t="s">
        <v>675</v>
      </c>
      <c r="C626" s="1" t="s">
        <v>137</v>
      </c>
      <c r="D626" s="1" t="str">
        <f>VLOOKUP(Clients_chun_clean[[#This Row],[Province_Client]],Master_Logs_reseau_registre!B626:F1697,2,0)</f>
        <v>ANT-0869</v>
      </c>
      <c r="E626" s="1" t="s">
        <v>1503</v>
      </c>
      <c r="F626" s="1" t="s">
        <v>1504</v>
      </c>
      <c r="G626" s="1" t="s">
        <v>811</v>
      </c>
      <c r="H626">
        <v>6</v>
      </c>
      <c r="I626">
        <v>0</v>
      </c>
      <c r="J626" s="1" t="s">
        <v>1704</v>
      </c>
      <c r="K626" s="1" t="s">
        <v>22</v>
      </c>
      <c r="L626">
        <v>77</v>
      </c>
      <c r="M626" s="4">
        <v>5.347222222222222E-2</v>
      </c>
      <c r="N626" s="10">
        <v>18.48</v>
      </c>
      <c r="O626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626" s="10">
        <f>Clients_chun_clean[[#This Row],[Facture_Mensuelle]]*Clients_chun_clean[[#This Row],[Remise]]</f>
        <v>0</v>
      </c>
      <c r="Q626">
        <v>2</v>
      </c>
    </row>
    <row r="627" spans="1:17" x14ac:dyDescent="0.25">
      <c r="A627" s="1" t="s">
        <v>648</v>
      </c>
      <c r="B627" s="1" t="s">
        <v>676</v>
      </c>
      <c r="C627" s="1" t="s">
        <v>21</v>
      </c>
      <c r="D627" s="1" t="str">
        <f>VLOOKUP(Clients_chun_clean[[#This Row],[Province_Client]],Master_Logs_reseau_registre!B627:F1698,2,0)</f>
        <v>ANT-0745</v>
      </c>
      <c r="E627" s="1" t="s">
        <v>1503</v>
      </c>
      <c r="F627" s="1" t="s">
        <v>1504</v>
      </c>
      <c r="G627" s="1" t="s">
        <v>811</v>
      </c>
      <c r="H627">
        <v>15</v>
      </c>
      <c r="I627">
        <v>1</v>
      </c>
      <c r="J627" s="1" t="s">
        <v>1705</v>
      </c>
      <c r="K627" s="1" t="s">
        <v>14</v>
      </c>
      <c r="L627">
        <v>203</v>
      </c>
      <c r="M627" s="4">
        <v>0.14097222222222222</v>
      </c>
      <c r="N627" s="10">
        <v>55.29</v>
      </c>
      <c r="O627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627" s="10">
        <f>Clients_chun_clean[[#This Row],[Facture_Mensuelle]]*Clients_chun_clean[[#This Row],[Remise]]</f>
        <v>5.5289999999999999</v>
      </c>
      <c r="Q627">
        <v>2</v>
      </c>
    </row>
    <row r="628" spans="1:17" x14ac:dyDescent="0.25">
      <c r="A628" s="1" t="s">
        <v>648</v>
      </c>
      <c r="B628" s="1" t="s">
        <v>677</v>
      </c>
      <c r="C628" s="1" t="s">
        <v>131</v>
      </c>
      <c r="D628" s="1" t="str">
        <f>VLOOKUP(Clients_chun_clean[[#This Row],[Province_Client]],Master_Logs_reseau_registre!B628:F1699,2,0)</f>
        <v>ANT-0282</v>
      </c>
      <c r="E628" s="1" t="s">
        <v>1506</v>
      </c>
      <c r="F628" s="1" t="s">
        <v>1507</v>
      </c>
      <c r="G628" s="1" t="s">
        <v>811</v>
      </c>
      <c r="H628">
        <v>7</v>
      </c>
      <c r="I628">
        <v>0</v>
      </c>
      <c r="J628" s="1" t="s">
        <v>1704</v>
      </c>
      <c r="K628" s="1" t="s">
        <v>19</v>
      </c>
      <c r="L628">
        <v>257</v>
      </c>
      <c r="M628" s="4">
        <v>0.17847222222222223</v>
      </c>
      <c r="N628" s="10">
        <v>73.040000000000006</v>
      </c>
      <c r="O628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628" s="10">
        <f>Clients_chun_clean[[#This Row],[Facture_Mensuelle]]*Clients_chun_clean[[#This Row],[Remise]]</f>
        <v>32.868000000000002</v>
      </c>
      <c r="Q628">
        <v>3</v>
      </c>
    </row>
    <row r="629" spans="1:17" x14ac:dyDescent="0.25">
      <c r="A629" s="1" t="s">
        <v>648</v>
      </c>
      <c r="B629" s="1" t="s">
        <v>678</v>
      </c>
      <c r="C629" s="1" t="s">
        <v>40</v>
      </c>
      <c r="D629" s="1" t="str">
        <f>VLOOKUP(Clients_chun_clean[[#This Row],[Province_Client]],Master_Logs_reseau_registre!B629:F1700,2,0)</f>
        <v>ANT-0843</v>
      </c>
      <c r="E629" s="1" t="s">
        <v>1503</v>
      </c>
      <c r="F629" s="1" t="s">
        <v>1509</v>
      </c>
      <c r="G629" s="1" t="s">
        <v>813</v>
      </c>
      <c r="H629">
        <v>39</v>
      </c>
      <c r="I629">
        <v>3</v>
      </c>
      <c r="J629" s="1" t="s">
        <v>1704</v>
      </c>
      <c r="K629" s="1" t="s">
        <v>11</v>
      </c>
      <c r="L629">
        <v>220</v>
      </c>
      <c r="M629" s="4">
        <v>0.15277777777777779</v>
      </c>
      <c r="N629" s="10">
        <v>52.91</v>
      </c>
      <c r="O629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629" s="10">
        <f>Clients_chun_clean[[#This Row],[Facture_Mensuelle]]*Clients_chun_clean[[#This Row],[Remise]]</f>
        <v>23.8095</v>
      </c>
      <c r="Q629">
        <v>0</v>
      </c>
    </row>
    <row r="630" spans="1:17" x14ac:dyDescent="0.25">
      <c r="A630" s="1" t="s">
        <v>648</v>
      </c>
      <c r="B630" s="1" t="s">
        <v>679</v>
      </c>
      <c r="C630" s="1" t="s">
        <v>60</v>
      </c>
      <c r="D630" s="1" t="str">
        <f>VLOOKUP(Clients_chun_clean[[#This Row],[Province_Client]],Master_Logs_reseau_registre!B630:F1701,2,0)</f>
        <v>ANT-0988</v>
      </c>
      <c r="E630" s="1" t="s">
        <v>1503</v>
      </c>
      <c r="F630" s="1" t="s">
        <v>1509</v>
      </c>
      <c r="G630" s="1" t="s">
        <v>813</v>
      </c>
      <c r="H630">
        <v>10</v>
      </c>
      <c r="I630">
        <v>0</v>
      </c>
      <c r="J630" s="1" t="s">
        <v>1704</v>
      </c>
      <c r="K630" s="1" t="s">
        <v>22</v>
      </c>
      <c r="L630">
        <v>260</v>
      </c>
      <c r="M630" s="4">
        <v>0.18055555555555555</v>
      </c>
      <c r="N630" s="10">
        <v>37.479999999999997</v>
      </c>
      <c r="O630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630" s="10">
        <f>Clients_chun_clean[[#This Row],[Facture_Mensuelle]]*Clients_chun_clean[[#This Row],[Remise]]</f>
        <v>16.866</v>
      </c>
      <c r="Q630">
        <v>2</v>
      </c>
    </row>
    <row r="631" spans="1:17" x14ac:dyDescent="0.25">
      <c r="A631" s="1" t="s">
        <v>648</v>
      </c>
      <c r="B631" s="1" t="s">
        <v>680</v>
      </c>
      <c r="C631" s="1" t="s">
        <v>137</v>
      </c>
      <c r="D631" s="1" t="str">
        <f>VLOOKUP(Clients_chun_clean[[#This Row],[Province_Client]],Master_Logs_reseau_registre!B631:F1702,2,0)</f>
        <v>ANT-0869</v>
      </c>
      <c r="E631" s="1" t="s">
        <v>1503</v>
      </c>
      <c r="F631" s="1" t="s">
        <v>1509</v>
      </c>
      <c r="G631" s="1" t="s">
        <v>813</v>
      </c>
      <c r="H631">
        <v>34</v>
      </c>
      <c r="I631">
        <v>2</v>
      </c>
      <c r="J631" s="1" t="s">
        <v>1704</v>
      </c>
      <c r="K631" s="1" t="s">
        <v>11</v>
      </c>
      <c r="L631">
        <v>170</v>
      </c>
      <c r="M631" s="4">
        <v>0.11805555555555555</v>
      </c>
      <c r="N631" s="10">
        <v>91.6</v>
      </c>
      <c r="O631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631" s="10">
        <f>Clients_chun_clean[[#This Row],[Facture_Mensuelle]]*Clients_chun_clean[[#This Row],[Remise]]</f>
        <v>41.22</v>
      </c>
      <c r="Q631">
        <v>2</v>
      </c>
    </row>
    <row r="632" spans="1:17" x14ac:dyDescent="0.25">
      <c r="A632" s="1" t="s">
        <v>648</v>
      </c>
      <c r="B632" s="1" t="s">
        <v>681</v>
      </c>
      <c r="C632" s="1" t="s">
        <v>78</v>
      </c>
      <c r="D632" s="1" t="str">
        <f>VLOOKUP(Clients_chun_clean[[#This Row],[Province_Client]],Master_Logs_reseau_registre!B632:F1703,2,0)</f>
        <v>ANT-0143</v>
      </c>
      <c r="E632" s="1" t="s">
        <v>1506</v>
      </c>
      <c r="F632" s="1" t="s">
        <v>1507</v>
      </c>
      <c r="G632" s="1" t="s">
        <v>811</v>
      </c>
      <c r="H632">
        <v>43</v>
      </c>
      <c r="I632">
        <v>3</v>
      </c>
      <c r="J632" s="1" t="s">
        <v>1704</v>
      </c>
      <c r="K632" s="1" t="s">
        <v>11</v>
      </c>
      <c r="L632">
        <v>27</v>
      </c>
      <c r="M632" s="4">
        <v>1.8749999999999999E-2</v>
      </c>
      <c r="N632" s="10">
        <v>31.48</v>
      </c>
      <c r="O632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632" s="10">
        <f>Clients_chun_clean[[#This Row],[Facture_Mensuelle]]*Clients_chun_clean[[#This Row],[Remise]]</f>
        <v>14.166</v>
      </c>
      <c r="Q632">
        <v>5</v>
      </c>
    </row>
    <row r="633" spans="1:17" x14ac:dyDescent="0.25">
      <c r="A633" s="1" t="s">
        <v>648</v>
      </c>
      <c r="B633" s="1" t="s">
        <v>682</v>
      </c>
      <c r="C633" s="1" t="s">
        <v>26</v>
      </c>
      <c r="D633" s="1" t="str">
        <f>VLOOKUP(Clients_chun_clean[[#This Row],[Province_Client]],Master_Logs_reseau_registre!B633:F1704,2,0)</f>
        <v>ANT-0775</v>
      </c>
      <c r="E633" s="1" t="s">
        <v>1508</v>
      </c>
      <c r="F633" s="1" t="s">
        <v>1509</v>
      </c>
      <c r="G633" s="1" t="s">
        <v>813</v>
      </c>
      <c r="H633">
        <v>89</v>
      </c>
      <c r="I633">
        <v>7</v>
      </c>
      <c r="J633" s="1" t="s">
        <v>1705</v>
      </c>
      <c r="K633" s="1" t="s">
        <v>14</v>
      </c>
      <c r="L633">
        <v>225</v>
      </c>
      <c r="M633" s="4">
        <v>0.15625</v>
      </c>
      <c r="N633" s="10">
        <v>38.36</v>
      </c>
      <c r="O633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633" s="10">
        <f>Clients_chun_clean[[#This Row],[Facture_Mensuelle]]*Clients_chun_clean[[#This Row],[Remise]]</f>
        <v>3.8360000000000003</v>
      </c>
      <c r="Q633">
        <v>2</v>
      </c>
    </row>
    <row r="634" spans="1:17" x14ac:dyDescent="0.25">
      <c r="A634" s="1" t="s">
        <v>648</v>
      </c>
      <c r="B634" s="1" t="s">
        <v>683</v>
      </c>
      <c r="C634" s="1" t="s">
        <v>31</v>
      </c>
      <c r="D634" s="1" t="str">
        <f>VLOOKUP(Clients_chun_clean[[#This Row],[Province_Client]],Master_Logs_reseau_registre!B634:F1705,2,0)</f>
        <v>ANT-0419</v>
      </c>
      <c r="E634" s="1" t="s">
        <v>1508</v>
      </c>
      <c r="F634" s="1" t="s">
        <v>1509</v>
      </c>
      <c r="G634" s="1" t="s">
        <v>813</v>
      </c>
      <c r="H634">
        <v>79</v>
      </c>
      <c r="I634">
        <v>6</v>
      </c>
      <c r="J634" s="1" t="s">
        <v>1704</v>
      </c>
      <c r="K634" s="1" t="s">
        <v>22</v>
      </c>
      <c r="L634">
        <v>139</v>
      </c>
      <c r="M634" s="4">
        <v>9.6527777777777782E-2</v>
      </c>
      <c r="N634" s="10">
        <v>16.25</v>
      </c>
      <c r="O634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634" s="10">
        <f>Clients_chun_clean[[#This Row],[Facture_Mensuelle]]*Clients_chun_clean[[#This Row],[Remise]]</f>
        <v>0</v>
      </c>
      <c r="Q634">
        <v>4</v>
      </c>
    </row>
    <row r="635" spans="1:17" x14ac:dyDescent="0.25">
      <c r="A635" s="1" t="s">
        <v>648</v>
      </c>
      <c r="B635" s="1" t="s">
        <v>684</v>
      </c>
      <c r="C635" s="1" t="s">
        <v>62</v>
      </c>
      <c r="D635" s="1" t="str">
        <f>VLOOKUP(Clients_chun_clean[[#This Row],[Province_Client]],Master_Logs_reseau_registre!B635:F1706,2,0)</f>
        <v>ANT-0737</v>
      </c>
      <c r="E635" s="1" t="s">
        <v>1503</v>
      </c>
      <c r="F635" s="1" t="s">
        <v>1509</v>
      </c>
      <c r="G635" s="1" t="s">
        <v>813</v>
      </c>
      <c r="H635">
        <v>102</v>
      </c>
      <c r="I635">
        <v>8</v>
      </c>
      <c r="J635" s="1" t="s">
        <v>1704</v>
      </c>
      <c r="K635" s="1" t="s">
        <v>19</v>
      </c>
      <c r="L635">
        <v>189</v>
      </c>
      <c r="M635" s="4">
        <v>0.13125000000000001</v>
      </c>
      <c r="N635" s="10">
        <v>26.86</v>
      </c>
      <c r="O635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635" s="10">
        <f>Clients_chun_clean[[#This Row],[Facture_Mensuelle]]*Clients_chun_clean[[#This Row],[Remise]]</f>
        <v>0</v>
      </c>
      <c r="Q635">
        <v>5</v>
      </c>
    </row>
    <row r="636" spans="1:17" x14ac:dyDescent="0.25">
      <c r="A636" s="1" t="s">
        <v>648</v>
      </c>
      <c r="B636" s="1" t="s">
        <v>685</v>
      </c>
      <c r="C636" s="1" t="s">
        <v>131</v>
      </c>
      <c r="D636" s="1" t="str">
        <f>VLOOKUP(Clients_chun_clean[[#This Row],[Province_Client]],Master_Logs_reseau_registre!B636:F1707,2,0)</f>
        <v>ANT-0282</v>
      </c>
      <c r="E636" s="1" t="s">
        <v>1506</v>
      </c>
      <c r="F636" s="1" t="s">
        <v>1507</v>
      </c>
      <c r="G636" s="1" t="s">
        <v>811</v>
      </c>
      <c r="H636">
        <v>104</v>
      </c>
      <c r="I636">
        <v>8</v>
      </c>
      <c r="J636" s="1" t="s">
        <v>1704</v>
      </c>
      <c r="K636" s="1" t="s">
        <v>22</v>
      </c>
      <c r="L636">
        <v>50</v>
      </c>
      <c r="M636" s="4">
        <v>3.4722222222222224E-2</v>
      </c>
      <c r="N636" s="10">
        <v>90.99</v>
      </c>
      <c r="O636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636" s="10">
        <f>Clients_chun_clean[[#This Row],[Facture_Mensuelle]]*Clients_chun_clean[[#This Row],[Remise]]</f>
        <v>0</v>
      </c>
      <c r="Q636">
        <v>4</v>
      </c>
    </row>
    <row r="637" spans="1:17" x14ac:dyDescent="0.25">
      <c r="A637" s="1" t="s">
        <v>648</v>
      </c>
      <c r="B637" s="1" t="s">
        <v>686</v>
      </c>
      <c r="C637" s="1" t="s">
        <v>35</v>
      </c>
      <c r="D637" s="1" t="str">
        <f>VLOOKUP(Clients_chun_clean[[#This Row],[Province_Client]],Master_Logs_reseau_registre!B637:F1708,2,0)</f>
        <v>ANT-0276</v>
      </c>
      <c r="E637" s="1" t="s">
        <v>1506</v>
      </c>
      <c r="F637" s="1" t="s">
        <v>1507</v>
      </c>
      <c r="G637" s="1" t="s">
        <v>811</v>
      </c>
      <c r="H637">
        <v>49</v>
      </c>
      <c r="I637">
        <v>4</v>
      </c>
      <c r="J637" s="1" t="s">
        <v>1704</v>
      </c>
      <c r="K637" s="1" t="s">
        <v>22</v>
      </c>
      <c r="L637">
        <v>25</v>
      </c>
      <c r="M637" s="4">
        <v>1.7361111111111112E-2</v>
      </c>
      <c r="N637" s="10">
        <v>22.77</v>
      </c>
      <c r="O637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637" s="10">
        <f>Clients_chun_clean[[#This Row],[Facture_Mensuelle]]*Clients_chun_clean[[#This Row],[Remise]]</f>
        <v>0</v>
      </c>
      <c r="Q637">
        <v>3</v>
      </c>
    </row>
    <row r="638" spans="1:17" x14ac:dyDescent="0.25">
      <c r="A638" s="1" t="s">
        <v>648</v>
      </c>
      <c r="B638" s="1" t="s">
        <v>687</v>
      </c>
      <c r="C638" s="1" t="s">
        <v>37</v>
      </c>
      <c r="D638" s="1" t="str">
        <f>VLOOKUP(Clients_chun_clean[[#This Row],[Province_Client]],Master_Logs_reseau_registre!B638:F1709,2,0)</f>
        <v>ANT-0357</v>
      </c>
      <c r="E638" s="1" t="s">
        <v>1503</v>
      </c>
      <c r="F638" s="1" t="s">
        <v>1509</v>
      </c>
      <c r="G638" s="1" t="s">
        <v>808</v>
      </c>
      <c r="H638">
        <v>35</v>
      </c>
      <c r="I638">
        <v>2</v>
      </c>
      <c r="J638" s="1" t="s">
        <v>1704</v>
      </c>
      <c r="K638" s="1" t="s">
        <v>11</v>
      </c>
      <c r="L638">
        <v>332</v>
      </c>
      <c r="M638" s="4">
        <v>0.23055555555555557</v>
      </c>
      <c r="N638" s="10">
        <v>11.15</v>
      </c>
      <c r="O638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638" s="10">
        <f>Clients_chun_clean[[#This Row],[Facture_Mensuelle]]*Clients_chun_clean[[#This Row],[Remise]]</f>
        <v>5.0175000000000001</v>
      </c>
      <c r="Q638">
        <v>0</v>
      </c>
    </row>
    <row r="639" spans="1:17" x14ac:dyDescent="0.25">
      <c r="A639" s="1" t="s">
        <v>648</v>
      </c>
      <c r="B639" s="1" t="s">
        <v>688</v>
      </c>
      <c r="C639" s="1" t="s">
        <v>127</v>
      </c>
      <c r="D639" s="1" t="str">
        <f>VLOOKUP(Clients_chun_clean[[#This Row],[Province_Client]],Master_Logs_reseau_registre!B639:F1710,2,0)</f>
        <v>ANT-0248</v>
      </c>
      <c r="E639" s="1" t="s">
        <v>1506</v>
      </c>
      <c r="F639" s="1" t="s">
        <v>1507</v>
      </c>
      <c r="G639" s="1" t="s">
        <v>813</v>
      </c>
      <c r="H639">
        <v>90</v>
      </c>
      <c r="I639">
        <v>7</v>
      </c>
      <c r="J639" s="1" t="s">
        <v>1705</v>
      </c>
      <c r="K639" s="1" t="s">
        <v>14</v>
      </c>
      <c r="L639">
        <v>195</v>
      </c>
      <c r="M639" s="4">
        <v>0.13541666666666666</v>
      </c>
      <c r="N639" s="10">
        <v>52.71</v>
      </c>
      <c r="O639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639" s="10">
        <f>Clients_chun_clean[[#This Row],[Facture_Mensuelle]]*Clients_chun_clean[[#This Row],[Remise]]</f>
        <v>5.2710000000000008</v>
      </c>
      <c r="Q639">
        <v>2</v>
      </c>
    </row>
    <row r="640" spans="1:17" x14ac:dyDescent="0.25">
      <c r="A640" s="1" t="s">
        <v>648</v>
      </c>
      <c r="B640" s="1" t="s">
        <v>689</v>
      </c>
      <c r="C640" s="1" t="s">
        <v>26</v>
      </c>
      <c r="D640" s="1" t="str">
        <f>VLOOKUP(Clients_chun_clean[[#This Row],[Province_Client]],Master_Logs_reseau_registre!B640:F1711,2,0)</f>
        <v>ANT-0775</v>
      </c>
      <c r="E640" s="1" t="s">
        <v>1508</v>
      </c>
      <c r="F640" s="1" t="s">
        <v>1509</v>
      </c>
      <c r="G640" s="1" t="s">
        <v>811</v>
      </c>
      <c r="H640">
        <v>22</v>
      </c>
      <c r="I640">
        <v>1</v>
      </c>
      <c r="J640" s="1" t="s">
        <v>1705</v>
      </c>
      <c r="K640" s="1" t="s">
        <v>14</v>
      </c>
      <c r="L640">
        <v>374</v>
      </c>
      <c r="M640" s="4">
        <v>0.25972222222222224</v>
      </c>
      <c r="N640" s="10">
        <v>40.06</v>
      </c>
      <c r="O640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640" s="10">
        <f>Clients_chun_clean[[#This Row],[Facture_Mensuelle]]*Clients_chun_clean[[#This Row],[Remise]]</f>
        <v>18.027000000000001</v>
      </c>
      <c r="Q640">
        <v>5</v>
      </c>
    </row>
    <row r="641" spans="1:17" x14ac:dyDescent="0.25">
      <c r="A641" s="1" t="s">
        <v>648</v>
      </c>
      <c r="B641" s="1" t="s">
        <v>690</v>
      </c>
      <c r="C641" s="1" t="s">
        <v>16</v>
      </c>
      <c r="D641" s="1" t="str">
        <f>VLOOKUP(Clients_chun_clean[[#This Row],[Province_Client]],Master_Logs_reseau_registre!B641:F1712,2,0)</f>
        <v>ANT-0837</v>
      </c>
      <c r="E641" s="1" t="s">
        <v>1503</v>
      </c>
      <c r="F641" s="1" t="s">
        <v>1509</v>
      </c>
      <c r="G641" s="1" t="s">
        <v>811</v>
      </c>
      <c r="H641">
        <v>119</v>
      </c>
      <c r="I641">
        <v>9</v>
      </c>
      <c r="J641" s="1" t="s">
        <v>1704</v>
      </c>
      <c r="K641" s="1" t="s">
        <v>22</v>
      </c>
      <c r="L641">
        <v>475</v>
      </c>
      <c r="M641" s="4">
        <v>0.3298611111111111</v>
      </c>
      <c r="N641" s="10">
        <v>25.98</v>
      </c>
      <c r="O641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641" s="10">
        <f>Clients_chun_clean[[#This Row],[Facture_Mensuelle]]*Clients_chun_clean[[#This Row],[Remise]]</f>
        <v>11.691000000000001</v>
      </c>
      <c r="Q641">
        <v>4</v>
      </c>
    </row>
    <row r="642" spans="1:17" x14ac:dyDescent="0.25">
      <c r="A642" s="1" t="s">
        <v>648</v>
      </c>
      <c r="B642" s="1" t="s">
        <v>691</v>
      </c>
      <c r="C642" s="1" t="s">
        <v>51</v>
      </c>
      <c r="D642" s="1" t="str">
        <f>VLOOKUP(Clients_chun_clean[[#This Row],[Province_Client]],Master_Logs_reseau_registre!B642:F1713,2,0)</f>
        <v>ANT-0524</v>
      </c>
      <c r="E642" s="1" t="s">
        <v>1506</v>
      </c>
      <c r="F642" s="1" t="s">
        <v>1507</v>
      </c>
      <c r="G642" s="1" t="s">
        <v>813</v>
      </c>
      <c r="H642">
        <v>18</v>
      </c>
      <c r="I642">
        <v>1</v>
      </c>
      <c r="J642" s="1" t="s">
        <v>1705</v>
      </c>
      <c r="K642" s="1" t="s">
        <v>14</v>
      </c>
      <c r="L642">
        <v>216</v>
      </c>
      <c r="M642" s="4">
        <v>0.15</v>
      </c>
      <c r="N642" s="10">
        <v>33.74</v>
      </c>
      <c r="O642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642" s="10">
        <f>Clients_chun_clean[[#This Row],[Facture_Mensuelle]]*Clients_chun_clean[[#This Row],[Remise]]</f>
        <v>3.3740000000000006</v>
      </c>
      <c r="Q642">
        <v>5</v>
      </c>
    </row>
    <row r="643" spans="1:17" x14ac:dyDescent="0.25">
      <c r="A643" s="1" t="s">
        <v>648</v>
      </c>
      <c r="B643" s="1" t="s">
        <v>692</v>
      </c>
      <c r="C643" s="1" t="s">
        <v>21</v>
      </c>
      <c r="D643" s="1" t="str">
        <f>VLOOKUP(Clients_chun_clean[[#This Row],[Province_Client]],Master_Logs_reseau_registre!B643:F1714,2,0)</f>
        <v>ANT-0557</v>
      </c>
      <c r="E643" s="1" t="s">
        <v>1508</v>
      </c>
      <c r="F643" s="1" t="s">
        <v>1509</v>
      </c>
      <c r="G643" s="1" t="s">
        <v>811</v>
      </c>
      <c r="H643">
        <v>75</v>
      </c>
      <c r="I643">
        <v>6</v>
      </c>
      <c r="J643" s="1" t="s">
        <v>1704</v>
      </c>
      <c r="K643" s="1" t="s">
        <v>22</v>
      </c>
      <c r="L643">
        <v>99</v>
      </c>
      <c r="M643" s="4">
        <v>6.8750000000000006E-2</v>
      </c>
      <c r="N643" s="10">
        <v>16.93</v>
      </c>
      <c r="O643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643" s="10">
        <f>Clients_chun_clean[[#This Row],[Facture_Mensuelle]]*Clients_chun_clean[[#This Row],[Remise]]</f>
        <v>0</v>
      </c>
      <c r="Q643">
        <v>5</v>
      </c>
    </row>
    <row r="644" spans="1:17" x14ac:dyDescent="0.25">
      <c r="A644" s="1" t="s">
        <v>648</v>
      </c>
      <c r="B644" s="1" t="s">
        <v>693</v>
      </c>
      <c r="C644" s="1" t="s">
        <v>31</v>
      </c>
      <c r="D644" s="1" t="str">
        <f>VLOOKUP(Clients_chun_clean[[#This Row],[Province_Client]],Master_Logs_reseau_registre!B644:F1715,2,0)</f>
        <v>ANT-0714</v>
      </c>
      <c r="E644" s="1" t="s">
        <v>1508</v>
      </c>
      <c r="F644" s="1" t="s">
        <v>1509</v>
      </c>
      <c r="G644" s="1" t="s">
        <v>813</v>
      </c>
      <c r="H644">
        <v>59</v>
      </c>
      <c r="I644">
        <v>4</v>
      </c>
      <c r="J644" s="1" t="s">
        <v>1704</v>
      </c>
      <c r="K644" s="1" t="s">
        <v>19</v>
      </c>
      <c r="L644">
        <v>150</v>
      </c>
      <c r="M644" s="4">
        <v>0.10416666666666667</v>
      </c>
      <c r="N644" s="10">
        <v>71.13</v>
      </c>
      <c r="O644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644" s="10">
        <f>Clients_chun_clean[[#This Row],[Facture_Mensuelle]]*Clients_chun_clean[[#This Row],[Remise]]</f>
        <v>0</v>
      </c>
      <c r="Q644">
        <v>0</v>
      </c>
    </row>
    <row r="645" spans="1:17" x14ac:dyDescent="0.25">
      <c r="A645" s="1" t="s">
        <v>648</v>
      </c>
      <c r="B645" s="1" t="s">
        <v>694</v>
      </c>
      <c r="C645" s="1" t="s">
        <v>51</v>
      </c>
      <c r="D645" s="1" t="str">
        <f>VLOOKUP(Clients_chun_clean[[#This Row],[Province_Client]],Master_Logs_reseau_registre!B645:F1716,2,0)</f>
        <v>ANT-0524</v>
      </c>
      <c r="E645" s="1" t="s">
        <v>1506</v>
      </c>
      <c r="F645" s="1" t="s">
        <v>1507</v>
      </c>
      <c r="G645" s="1" t="s">
        <v>813</v>
      </c>
      <c r="H645">
        <v>16</v>
      </c>
      <c r="I645">
        <v>1</v>
      </c>
      <c r="J645" s="1" t="s">
        <v>1704</v>
      </c>
      <c r="K645" s="1" t="s">
        <v>11</v>
      </c>
      <c r="L645">
        <v>96</v>
      </c>
      <c r="M645" s="4">
        <v>6.6666666666666666E-2</v>
      </c>
      <c r="N645" s="10">
        <v>86.78</v>
      </c>
      <c r="O645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645" s="10">
        <f>Clients_chun_clean[[#This Row],[Facture_Mensuelle]]*Clients_chun_clean[[#This Row],[Remise]]</f>
        <v>39.051000000000002</v>
      </c>
      <c r="Q645">
        <v>1</v>
      </c>
    </row>
    <row r="646" spans="1:17" x14ac:dyDescent="0.25">
      <c r="A646" s="1" t="s">
        <v>648</v>
      </c>
      <c r="B646" s="1" t="s">
        <v>695</v>
      </c>
      <c r="C646" s="1" t="s">
        <v>64</v>
      </c>
      <c r="D646" s="1" t="str">
        <f>VLOOKUP(Clients_chun_clean[[#This Row],[Province_Client]],Master_Logs_reseau_registre!B646:F1717,2,0)</f>
        <v>ANT-0964</v>
      </c>
      <c r="E646" s="1" t="s">
        <v>1503</v>
      </c>
      <c r="F646" s="1" t="s">
        <v>1509</v>
      </c>
      <c r="G646" s="1" t="s">
        <v>813</v>
      </c>
      <c r="H646">
        <v>17</v>
      </c>
      <c r="I646">
        <v>1</v>
      </c>
      <c r="J646" s="1" t="s">
        <v>1705</v>
      </c>
      <c r="K646" s="1" t="s">
        <v>14</v>
      </c>
      <c r="L646">
        <v>206</v>
      </c>
      <c r="M646" s="4">
        <v>0.14305555555555555</v>
      </c>
      <c r="N646" s="10">
        <v>63.46</v>
      </c>
      <c r="O646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646" s="10">
        <f>Clients_chun_clean[[#This Row],[Facture_Mensuelle]]*Clients_chun_clean[[#This Row],[Remise]]</f>
        <v>6.3460000000000001</v>
      </c>
      <c r="Q646">
        <v>3</v>
      </c>
    </row>
    <row r="647" spans="1:17" x14ac:dyDescent="0.25">
      <c r="A647" s="1" t="s">
        <v>648</v>
      </c>
      <c r="B647" s="1" t="s">
        <v>696</v>
      </c>
      <c r="C647" s="1" t="s">
        <v>57</v>
      </c>
      <c r="D647" s="1" t="str">
        <f>VLOOKUP(Clients_chun_clean[[#This Row],[Province_Client]],Master_Logs_reseau_registre!B647:F1718,2,0)</f>
        <v>ANT-0066</v>
      </c>
      <c r="E647" s="1" t="s">
        <v>1503</v>
      </c>
      <c r="F647" s="1" t="s">
        <v>1509</v>
      </c>
      <c r="G647" s="1" t="s">
        <v>811</v>
      </c>
      <c r="H647">
        <v>41</v>
      </c>
      <c r="I647">
        <v>3</v>
      </c>
      <c r="J647" s="1" t="s">
        <v>1704</v>
      </c>
      <c r="K647" s="1" t="s">
        <v>22</v>
      </c>
      <c r="L647">
        <v>90</v>
      </c>
      <c r="M647" s="4">
        <v>6.25E-2</v>
      </c>
      <c r="N647" s="10">
        <v>97.26</v>
      </c>
      <c r="O647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647" s="10">
        <f>Clients_chun_clean[[#This Row],[Facture_Mensuelle]]*Clients_chun_clean[[#This Row],[Remise]]</f>
        <v>0</v>
      </c>
      <c r="Q647">
        <v>1</v>
      </c>
    </row>
    <row r="648" spans="1:17" x14ac:dyDescent="0.25">
      <c r="A648" s="1" t="s">
        <v>648</v>
      </c>
      <c r="B648" s="1" t="s">
        <v>697</v>
      </c>
      <c r="C648" s="1" t="s">
        <v>62</v>
      </c>
      <c r="D648" s="1" t="str">
        <f>VLOOKUP(Clients_chun_clean[[#This Row],[Province_Client]],Master_Logs_reseau_registre!B648:F1719,2,0)</f>
        <v>ANT-0737</v>
      </c>
      <c r="E648" s="1" t="s">
        <v>1503</v>
      </c>
      <c r="F648" s="1" t="s">
        <v>1509</v>
      </c>
      <c r="G648" s="1" t="s">
        <v>811</v>
      </c>
      <c r="H648">
        <v>111</v>
      </c>
      <c r="I648">
        <v>9</v>
      </c>
      <c r="J648" s="1" t="s">
        <v>1704</v>
      </c>
      <c r="K648" s="1" t="s">
        <v>11</v>
      </c>
      <c r="L648">
        <v>304</v>
      </c>
      <c r="M648" s="4">
        <v>0.21111111111111111</v>
      </c>
      <c r="N648" s="10">
        <v>62.48</v>
      </c>
      <c r="O648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648" s="10">
        <f>Clients_chun_clean[[#This Row],[Facture_Mensuelle]]*Clients_chun_clean[[#This Row],[Remise]]</f>
        <v>28.116</v>
      </c>
      <c r="Q648">
        <v>5</v>
      </c>
    </row>
    <row r="649" spans="1:17" x14ac:dyDescent="0.25">
      <c r="A649" s="1" t="s">
        <v>648</v>
      </c>
      <c r="B649" s="1" t="s">
        <v>698</v>
      </c>
      <c r="C649" s="1" t="s">
        <v>64</v>
      </c>
      <c r="D649" s="1" t="str">
        <f>VLOOKUP(Clients_chun_clean[[#This Row],[Province_Client]],Master_Logs_reseau_registre!B649:F1720,2,0)</f>
        <v>ANT-0964</v>
      </c>
      <c r="E649" s="1" t="s">
        <v>1503</v>
      </c>
      <c r="F649" s="1" t="s">
        <v>1509</v>
      </c>
      <c r="G649" s="1" t="s">
        <v>811</v>
      </c>
      <c r="H649">
        <v>19</v>
      </c>
      <c r="I649">
        <v>1</v>
      </c>
      <c r="J649" s="1" t="s">
        <v>1704</v>
      </c>
      <c r="K649" s="1" t="s">
        <v>19</v>
      </c>
      <c r="L649">
        <v>141</v>
      </c>
      <c r="M649" s="4">
        <v>9.7916666666666666E-2</v>
      </c>
      <c r="N649" s="10">
        <v>53.95</v>
      </c>
      <c r="O649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649" s="10">
        <f>Clients_chun_clean[[#This Row],[Facture_Mensuelle]]*Clients_chun_clean[[#This Row],[Remise]]</f>
        <v>0</v>
      </c>
      <c r="Q649">
        <v>1</v>
      </c>
    </row>
    <row r="650" spans="1:17" x14ac:dyDescent="0.25">
      <c r="A650" s="1" t="s">
        <v>699</v>
      </c>
      <c r="B650" s="1" t="s">
        <v>700</v>
      </c>
      <c r="C650" s="1" t="s">
        <v>18</v>
      </c>
      <c r="D650" s="1" t="str">
        <f>VLOOKUP(Clients_chun_clean[[#This Row],[Province_Client]],Master_Logs_reseau_registre!B650:F1721,2,0)</f>
        <v>ANT-0957</v>
      </c>
      <c r="E650" s="1" t="s">
        <v>1506</v>
      </c>
      <c r="F650" s="1" t="s">
        <v>1507</v>
      </c>
      <c r="G650" s="1" t="s">
        <v>808</v>
      </c>
      <c r="H650">
        <v>20</v>
      </c>
      <c r="I650">
        <v>1</v>
      </c>
      <c r="J650" s="1" t="s">
        <v>1704</v>
      </c>
      <c r="K650" s="1" t="s">
        <v>19</v>
      </c>
      <c r="L650">
        <v>297</v>
      </c>
      <c r="M650" s="4">
        <v>0.20624999999999999</v>
      </c>
      <c r="N650" s="10">
        <v>14.77</v>
      </c>
      <c r="O650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650" s="10">
        <f>Clients_chun_clean[[#This Row],[Facture_Mensuelle]]*Clients_chun_clean[[#This Row],[Remise]]</f>
        <v>6.6464999999999996</v>
      </c>
      <c r="Q650">
        <v>0</v>
      </c>
    </row>
    <row r="651" spans="1:17" x14ac:dyDescent="0.25">
      <c r="A651" s="1" t="s">
        <v>699</v>
      </c>
      <c r="B651" s="1" t="s">
        <v>701</v>
      </c>
      <c r="C651" s="1" t="s">
        <v>37</v>
      </c>
      <c r="D651" s="1" t="str">
        <f>VLOOKUP(Clients_chun_clean[[#This Row],[Province_Client]],Master_Logs_reseau_registre!B651:F1722,2,0)</f>
        <v>ANT-0357</v>
      </c>
      <c r="E651" s="1" t="s">
        <v>1503</v>
      </c>
      <c r="F651" s="1" t="s">
        <v>1516</v>
      </c>
      <c r="G651" s="1" t="s">
        <v>808</v>
      </c>
      <c r="H651">
        <v>67</v>
      </c>
      <c r="I651">
        <v>5</v>
      </c>
      <c r="J651" s="1" t="s">
        <v>1704</v>
      </c>
      <c r="K651" s="1" t="s">
        <v>11</v>
      </c>
      <c r="L651">
        <v>262</v>
      </c>
      <c r="M651" s="4">
        <v>0.18194444444444444</v>
      </c>
      <c r="N651" s="10">
        <v>28.46</v>
      </c>
      <c r="O651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651" s="10">
        <f>Clients_chun_clean[[#This Row],[Facture_Mensuelle]]*Clients_chun_clean[[#This Row],[Remise]]</f>
        <v>12.807</v>
      </c>
      <c r="Q651">
        <v>3</v>
      </c>
    </row>
    <row r="652" spans="1:17" x14ac:dyDescent="0.25">
      <c r="A652" s="1" t="s">
        <v>699</v>
      </c>
      <c r="B652" s="1" t="s">
        <v>702</v>
      </c>
      <c r="C652" s="1" t="s">
        <v>10</v>
      </c>
      <c r="D652" s="1" t="str">
        <f>VLOOKUP(Clients_chun_clean[[#This Row],[Province_Client]],Master_Logs_reseau_registre!B652:F1723,2,0)</f>
        <v>ANT-0059</v>
      </c>
      <c r="E652" s="1" t="s">
        <v>1503</v>
      </c>
      <c r="F652" s="1" t="s">
        <v>1516</v>
      </c>
      <c r="G652" s="1" t="s">
        <v>808</v>
      </c>
      <c r="H652">
        <v>38</v>
      </c>
      <c r="I652">
        <v>3</v>
      </c>
      <c r="J652" s="1" t="s">
        <v>1704</v>
      </c>
      <c r="K652" s="1" t="s">
        <v>22</v>
      </c>
      <c r="L652">
        <v>191</v>
      </c>
      <c r="M652" s="4">
        <v>0.13263888888888889</v>
      </c>
      <c r="N652" s="10">
        <v>22.97</v>
      </c>
      <c r="O652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652" s="10">
        <f>Clients_chun_clean[[#This Row],[Facture_Mensuelle]]*Clients_chun_clean[[#This Row],[Remise]]</f>
        <v>0</v>
      </c>
      <c r="Q652">
        <v>3</v>
      </c>
    </row>
    <row r="653" spans="1:17" x14ac:dyDescent="0.25">
      <c r="A653" s="1" t="s">
        <v>699</v>
      </c>
      <c r="B653" s="1" t="s">
        <v>703</v>
      </c>
      <c r="C653" s="1" t="s">
        <v>21</v>
      </c>
      <c r="D653" s="1" t="str">
        <f>VLOOKUP(Clients_chun_clean[[#This Row],[Province_Client]],Master_Logs_reseau_registre!B653:F1724,2,0)</f>
        <v>ANT-0557</v>
      </c>
      <c r="E653" s="1" t="s">
        <v>1508</v>
      </c>
      <c r="F653" s="1" t="s">
        <v>1516</v>
      </c>
      <c r="G653" s="1" t="s">
        <v>808</v>
      </c>
      <c r="H653">
        <v>80</v>
      </c>
      <c r="I653">
        <v>6</v>
      </c>
      <c r="J653" s="1" t="s">
        <v>1704</v>
      </c>
      <c r="K653" s="1" t="s">
        <v>19</v>
      </c>
      <c r="L653">
        <v>65</v>
      </c>
      <c r="M653" s="4">
        <v>4.5138888888888888E-2</v>
      </c>
      <c r="N653" s="10">
        <v>76.64</v>
      </c>
      <c r="O653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653" s="10">
        <f>Clients_chun_clean[[#This Row],[Facture_Mensuelle]]*Clients_chun_clean[[#This Row],[Remise]]</f>
        <v>0</v>
      </c>
      <c r="Q653">
        <v>3</v>
      </c>
    </row>
    <row r="654" spans="1:17" x14ac:dyDescent="0.25">
      <c r="A654" s="1" t="s">
        <v>699</v>
      </c>
      <c r="B654" s="1" t="s">
        <v>704</v>
      </c>
      <c r="C654" s="1" t="s">
        <v>33</v>
      </c>
      <c r="D654" s="1" t="str">
        <f>VLOOKUP(Clients_chun_clean[[#This Row],[Province_Client]],Master_Logs_reseau_registre!B654:F1725,2,0)</f>
        <v>ANT-0270</v>
      </c>
      <c r="E654" s="1" t="s">
        <v>1503</v>
      </c>
      <c r="F654" s="1" t="s">
        <v>1504</v>
      </c>
      <c r="G654" s="1" t="s">
        <v>808</v>
      </c>
      <c r="H654">
        <v>72</v>
      </c>
      <c r="I654">
        <v>6</v>
      </c>
      <c r="J654" s="1" t="s">
        <v>1705</v>
      </c>
      <c r="K654" s="1" t="s">
        <v>14</v>
      </c>
      <c r="L654">
        <v>317</v>
      </c>
      <c r="M654" s="4">
        <v>0.22013888888888888</v>
      </c>
      <c r="N654" s="10">
        <v>54.58</v>
      </c>
      <c r="O654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654" s="10">
        <f>Clients_chun_clean[[#This Row],[Facture_Mensuelle]]*Clients_chun_clean[[#This Row],[Remise]]</f>
        <v>24.561</v>
      </c>
      <c r="Q654">
        <v>1</v>
      </c>
    </row>
    <row r="655" spans="1:17" x14ac:dyDescent="0.25">
      <c r="A655" s="1" t="s">
        <v>699</v>
      </c>
      <c r="B655" s="1" t="s">
        <v>705</v>
      </c>
      <c r="C655" s="1" t="s">
        <v>18</v>
      </c>
      <c r="D655" s="1" t="str">
        <f>VLOOKUP(Clients_chun_clean[[#This Row],[Province_Client]],Master_Logs_reseau_registre!B655:F1726,2,0)</f>
        <v>ANT-0957</v>
      </c>
      <c r="E655" s="1" t="s">
        <v>1506</v>
      </c>
      <c r="F655" s="1" t="s">
        <v>1507</v>
      </c>
      <c r="G655" s="1" t="s">
        <v>808</v>
      </c>
      <c r="H655">
        <v>86</v>
      </c>
      <c r="I655">
        <v>7</v>
      </c>
      <c r="J655" s="1" t="s">
        <v>1704</v>
      </c>
      <c r="K655" s="1" t="s">
        <v>11</v>
      </c>
      <c r="L655">
        <v>278</v>
      </c>
      <c r="M655" s="4">
        <v>0.19305555555555556</v>
      </c>
      <c r="N655" s="10">
        <v>30.12</v>
      </c>
      <c r="O655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655" s="10">
        <f>Clients_chun_clean[[#This Row],[Facture_Mensuelle]]*Clients_chun_clean[[#This Row],[Remise]]</f>
        <v>13.554</v>
      </c>
      <c r="Q655">
        <v>0</v>
      </c>
    </row>
    <row r="656" spans="1:17" x14ac:dyDescent="0.25">
      <c r="A656" s="1" t="s">
        <v>699</v>
      </c>
      <c r="B656" s="1" t="s">
        <v>706</v>
      </c>
      <c r="C656" s="1" t="s">
        <v>40</v>
      </c>
      <c r="D656" s="1" t="str">
        <f>VLOOKUP(Clients_chun_clean[[#This Row],[Province_Client]],Master_Logs_reseau_registre!B656:F1727,2,0)</f>
        <v>ANT-0843</v>
      </c>
      <c r="E656" s="1" t="s">
        <v>1503</v>
      </c>
      <c r="F656" s="1" t="s">
        <v>1504</v>
      </c>
      <c r="G656" s="1" t="s">
        <v>808</v>
      </c>
      <c r="H656">
        <v>21</v>
      </c>
      <c r="I656">
        <v>1</v>
      </c>
      <c r="J656" s="1" t="s">
        <v>1704</v>
      </c>
      <c r="K656" s="1" t="s">
        <v>22</v>
      </c>
      <c r="L656">
        <v>460</v>
      </c>
      <c r="M656" s="4">
        <v>0.31944444444444442</v>
      </c>
      <c r="N656" s="10">
        <v>70.81</v>
      </c>
      <c r="O656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656" s="10">
        <f>Clients_chun_clean[[#This Row],[Facture_Mensuelle]]*Clients_chun_clean[[#This Row],[Remise]]</f>
        <v>31.864500000000003</v>
      </c>
      <c r="Q656">
        <v>2</v>
      </c>
    </row>
    <row r="657" spans="1:17" x14ac:dyDescent="0.25">
      <c r="A657" s="1" t="s">
        <v>699</v>
      </c>
      <c r="B657" s="1" t="s">
        <v>707</v>
      </c>
      <c r="C657" s="1" t="s">
        <v>33</v>
      </c>
      <c r="D657" s="1" t="str">
        <f>VLOOKUP(Clients_chun_clean[[#This Row],[Province_Client]],Master_Logs_reseau_registre!B657:F1728,2,0)</f>
        <v>ANT-0270</v>
      </c>
      <c r="E657" s="1" t="s">
        <v>1503</v>
      </c>
      <c r="F657" s="1" t="s">
        <v>1504</v>
      </c>
      <c r="G657" s="1" t="s">
        <v>808</v>
      </c>
      <c r="H657">
        <v>39</v>
      </c>
      <c r="I657">
        <v>3</v>
      </c>
      <c r="J657" s="1" t="s">
        <v>1705</v>
      </c>
      <c r="K657" s="1" t="s">
        <v>14</v>
      </c>
      <c r="L657">
        <v>289</v>
      </c>
      <c r="M657" s="4">
        <v>0.20069444444444445</v>
      </c>
      <c r="N657" s="10">
        <v>86.7</v>
      </c>
      <c r="O657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657" s="10">
        <f>Clients_chun_clean[[#This Row],[Facture_Mensuelle]]*Clients_chun_clean[[#This Row],[Remise]]</f>
        <v>39.015000000000001</v>
      </c>
      <c r="Q657">
        <v>3</v>
      </c>
    </row>
    <row r="658" spans="1:17" x14ac:dyDescent="0.25">
      <c r="A658" s="1" t="s">
        <v>699</v>
      </c>
      <c r="B658" s="1" t="s">
        <v>708</v>
      </c>
      <c r="C658" s="1" t="s">
        <v>131</v>
      </c>
      <c r="D658" s="1" t="str">
        <f>VLOOKUP(Clients_chun_clean[[#This Row],[Province_Client]],Master_Logs_reseau_registre!B658:F1729,2,0)</f>
        <v>ANT-0563</v>
      </c>
      <c r="E658" s="1" t="s">
        <v>1508</v>
      </c>
      <c r="F658" s="1" t="s">
        <v>1516</v>
      </c>
      <c r="G658" s="1" t="s">
        <v>811</v>
      </c>
      <c r="H658">
        <v>63</v>
      </c>
      <c r="I658">
        <v>5</v>
      </c>
      <c r="J658" s="1" t="s">
        <v>1705</v>
      </c>
      <c r="K658" s="1" t="s">
        <v>14</v>
      </c>
      <c r="L658">
        <v>449</v>
      </c>
      <c r="M658" s="4">
        <v>0.31180555555555556</v>
      </c>
      <c r="N658" s="10">
        <v>37.08</v>
      </c>
      <c r="O658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658" s="10">
        <f>Clients_chun_clean[[#This Row],[Facture_Mensuelle]]*Clients_chun_clean[[#This Row],[Remise]]</f>
        <v>16.686</v>
      </c>
      <c r="Q658">
        <v>0</v>
      </c>
    </row>
    <row r="659" spans="1:17" x14ac:dyDescent="0.25">
      <c r="A659" s="1" t="s">
        <v>699</v>
      </c>
      <c r="B659" s="1" t="s">
        <v>709</v>
      </c>
      <c r="C659" s="1" t="s">
        <v>16</v>
      </c>
      <c r="D659" s="1" t="str">
        <f>VLOOKUP(Clients_chun_clean[[#This Row],[Province_Client]],Master_Logs_reseau_registre!B659:F1730,2,0)</f>
        <v>ANT-0837</v>
      </c>
      <c r="E659" s="1" t="s">
        <v>1503</v>
      </c>
      <c r="F659" s="1" t="s">
        <v>1504</v>
      </c>
      <c r="G659" s="1" t="s">
        <v>808</v>
      </c>
      <c r="H659">
        <v>37</v>
      </c>
      <c r="I659">
        <v>3</v>
      </c>
      <c r="J659" s="1" t="s">
        <v>1705</v>
      </c>
      <c r="K659" s="1" t="s">
        <v>14</v>
      </c>
      <c r="L659">
        <v>150</v>
      </c>
      <c r="M659" s="4">
        <v>0.10416666666666667</v>
      </c>
      <c r="N659" s="10">
        <v>37.979999999999997</v>
      </c>
      <c r="O659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659" s="10">
        <f>Clients_chun_clean[[#This Row],[Facture_Mensuelle]]*Clients_chun_clean[[#This Row],[Remise]]</f>
        <v>3.798</v>
      </c>
      <c r="Q659">
        <v>4</v>
      </c>
    </row>
    <row r="660" spans="1:17" x14ac:dyDescent="0.25">
      <c r="A660" s="1" t="s">
        <v>699</v>
      </c>
      <c r="B660" s="1" t="s">
        <v>710</v>
      </c>
      <c r="C660" s="1" t="s">
        <v>51</v>
      </c>
      <c r="D660" s="1" t="str">
        <f>VLOOKUP(Clients_chun_clean[[#This Row],[Province_Client]],Master_Logs_reseau_registre!B660:F1731,2,0)</f>
        <v>ANT-0524</v>
      </c>
      <c r="E660" s="1" t="s">
        <v>1506</v>
      </c>
      <c r="F660" s="1" t="s">
        <v>1507</v>
      </c>
      <c r="G660" s="1" t="s">
        <v>808</v>
      </c>
      <c r="H660">
        <v>9</v>
      </c>
      <c r="I660">
        <v>0</v>
      </c>
      <c r="J660" s="1" t="s">
        <v>1704</v>
      </c>
      <c r="K660" s="1" t="s">
        <v>19</v>
      </c>
      <c r="L660">
        <v>27</v>
      </c>
      <c r="M660" s="4">
        <v>1.8749999999999999E-2</v>
      </c>
      <c r="N660" s="10">
        <v>99.02</v>
      </c>
      <c r="O660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660" s="10">
        <f>Clients_chun_clean[[#This Row],[Facture_Mensuelle]]*Clients_chun_clean[[#This Row],[Remise]]</f>
        <v>0</v>
      </c>
      <c r="Q660">
        <v>3</v>
      </c>
    </row>
    <row r="661" spans="1:17" x14ac:dyDescent="0.25">
      <c r="A661" s="1" t="s">
        <v>699</v>
      </c>
      <c r="B661" s="1" t="s">
        <v>711</v>
      </c>
      <c r="C661" s="1" t="s">
        <v>67</v>
      </c>
      <c r="D661" s="1" t="str">
        <f>VLOOKUP(Clients_chun_clean[[#This Row],[Province_Client]],Master_Logs_reseau_registre!B661:F1732,2,0)</f>
        <v>ANT-0533</v>
      </c>
      <c r="E661" s="1" t="s">
        <v>1508</v>
      </c>
      <c r="F661" s="1" t="s">
        <v>1509</v>
      </c>
      <c r="G661" s="1" t="s">
        <v>811</v>
      </c>
      <c r="H661">
        <v>103</v>
      </c>
      <c r="I661">
        <v>8</v>
      </c>
      <c r="J661" s="1" t="s">
        <v>1704</v>
      </c>
      <c r="K661" s="1" t="s">
        <v>11</v>
      </c>
      <c r="L661">
        <v>386</v>
      </c>
      <c r="M661" s="4">
        <v>0.26805555555555555</v>
      </c>
      <c r="N661" s="10">
        <v>10.58</v>
      </c>
      <c r="O661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661" s="10">
        <f>Clients_chun_clean[[#This Row],[Facture_Mensuelle]]*Clients_chun_clean[[#This Row],[Remise]]</f>
        <v>4.7610000000000001</v>
      </c>
      <c r="Q661">
        <v>0</v>
      </c>
    </row>
    <row r="662" spans="1:17" x14ac:dyDescent="0.25">
      <c r="A662" s="1" t="s">
        <v>699</v>
      </c>
      <c r="B662" s="1" t="s">
        <v>712</v>
      </c>
      <c r="C662" s="1" t="s">
        <v>16</v>
      </c>
      <c r="D662" s="1" t="str">
        <f>VLOOKUP(Clients_chun_clean[[#This Row],[Province_Client]],Master_Logs_reseau_registre!B662:F1733,2,0)</f>
        <v>ANT-0837</v>
      </c>
      <c r="E662" s="1" t="s">
        <v>1503</v>
      </c>
      <c r="F662" s="1" t="s">
        <v>1504</v>
      </c>
      <c r="G662" s="1" t="s">
        <v>808</v>
      </c>
      <c r="H662">
        <v>38</v>
      </c>
      <c r="I662">
        <v>3</v>
      </c>
      <c r="J662" s="1" t="s">
        <v>1704</v>
      </c>
      <c r="K662" s="1" t="s">
        <v>11</v>
      </c>
      <c r="L662">
        <v>432</v>
      </c>
      <c r="M662" s="4">
        <v>0.3</v>
      </c>
      <c r="N662" s="10">
        <v>53.65</v>
      </c>
      <c r="O662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662" s="10">
        <f>Clients_chun_clean[[#This Row],[Facture_Mensuelle]]*Clients_chun_clean[[#This Row],[Remise]]</f>
        <v>24.142499999999998</v>
      </c>
      <c r="Q662">
        <v>4</v>
      </c>
    </row>
    <row r="663" spans="1:17" x14ac:dyDescent="0.25">
      <c r="A663" s="1" t="s">
        <v>699</v>
      </c>
      <c r="B663" s="1" t="s">
        <v>713</v>
      </c>
      <c r="C663" s="1" t="s">
        <v>13</v>
      </c>
      <c r="D663" s="1" t="str">
        <f>VLOOKUP(Clients_chun_clean[[#This Row],[Province_Client]],Master_Logs_reseau_registre!B663:F1734,2,0)</f>
        <v>ANT-0287</v>
      </c>
      <c r="E663" s="1" t="s">
        <v>1503</v>
      </c>
      <c r="F663" s="1" t="s">
        <v>1504</v>
      </c>
      <c r="G663" s="1" t="s">
        <v>808</v>
      </c>
      <c r="H663">
        <v>2</v>
      </c>
      <c r="I663">
        <v>0</v>
      </c>
      <c r="J663" s="1" t="s">
        <v>1704</v>
      </c>
      <c r="K663" s="1" t="s">
        <v>11</v>
      </c>
      <c r="L663">
        <v>201</v>
      </c>
      <c r="M663" s="4">
        <v>0.13958333333333334</v>
      </c>
      <c r="N663" s="10">
        <v>71.900000000000006</v>
      </c>
      <c r="O663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663" s="10">
        <f>Clients_chun_clean[[#This Row],[Facture_Mensuelle]]*Clients_chun_clean[[#This Row],[Remise]]</f>
        <v>32.355000000000004</v>
      </c>
      <c r="Q663">
        <v>2</v>
      </c>
    </row>
    <row r="664" spans="1:17" x14ac:dyDescent="0.25">
      <c r="A664" s="1" t="s">
        <v>699</v>
      </c>
      <c r="B664" s="1" t="s">
        <v>714</v>
      </c>
      <c r="C664" s="1" t="s">
        <v>60</v>
      </c>
      <c r="D664" s="1" t="str">
        <f>VLOOKUP(Clients_chun_clean[[#This Row],[Province_Client]],Master_Logs_reseau_registre!B664:F1735,2,0)</f>
        <v>ANT-0988</v>
      </c>
      <c r="E664" s="1" t="s">
        <v>1503</v>
      </c>
      <c r="F664" s="1" t="s">
        <v>1504</v>
      </c>
      <c r="G664" s="1" t="s">
        <v>808</v>
      </c>
      <c r="H664">
        <v>59</v>
      </c>
      <c r="I664">
        <v>4</v>
      </c>
      <c r="J664" s="1" t="s">
        <v>1704</v>
      </c>
      <c r="K664" s="1" t="s">
        <v>22</v>
      </c>
      <c r="L664">
        <v>64</v>
      </c>
      <c r="M664" s="4">
        <v>4.4444444444444446E-2</v>
      </c>
      <c r="N664" s="10">
        <v>20.32</v>
      </c>
      <c r="O664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664" s="10">
        <f>Clients_chun_clean[[#This Row],[Facture_Mensuelle]]*Clients_chun_clean[[#This Row],[Remise]]</f>
        <v>0</v>
      </c>
      <c r="Q664">
        <v>0</v>
      </c>
    </row>
    <row r="665" spans="1:17" x14ac:dyDescent="0.25">
      <c r="A665" s="1" t="s">
        <v>699</v>
      </c>
      <c r="B665" s="1" t="s">
        <v>715</v>
      </c>
      <c r="C665" s="1" t="s">
        <v>127</v>
      </c>
      <c r="D665" s="1" t="str">
        <f>VLOOKUP(Clients_chun_clean[[#This Row],[Province_Client]],Master_Logs_reseau_registre!B665:F1736,2,0)</f>
        <v>ANT-0754</v>
      </c>
      <c r="E665" s="1" t="s">
        <v>1508</v>
      </c>
      <c r="F665" s="1" t="s">
        <v>1509</v>
      </c>
      <c r="G665" s="1" t="s">
        <v>813</v>
      </c>
      <c r="H665">
        <v>6</v>
      </c>
      <c r="I665">
        <v>0</v>
      </c>
      <c r="J665" s="1" t="s">
        <v>1705</v>
      </c>
      <c r="K665" s="1" t="s">
        <v>14</v>
      </c>
      <c r="L665">
        <v>206</v>
      </c>
      <c r="M665" s="4">
        <v>0.14305555555555555</v>
      </c>
      <c r="N665" s="10">
        <v>10</v>
      </c>
      <c r="O665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665" s="10">
        <f>Clients_chun_clean[[#This Row],[Facture_Mensuelle]]*Clients_chun_clean[[#This Row],[Remise]]</f>
        <v>1</v>
      </c>
      <c r="Q665">
        <v>5</v>
      </c>
    </row>
    <row r="666" spans="1:17" x14ac:dyDescent="0.25">
      <c r="A666" s="1" t="s">
        <v>699</v>
      </c>
      <c r="B666" s="1" t="s">
        <v>716</v>
      </c>
      <c r="C666" s="1" t="s">
        <v>73</v>
      </c>
      <c r="D666" s="1" t="str">
        <f>VLOOKUP(Clients_chun_clean[[#This Row],[Province_Client]],Master_Logs_reseau_registre!B666:F1737,2,0)</f>
        <v>ANT-0436</v>
      </c>
      <c r="E666" s="1" t="s">
        <v>1503</v>
      </c>
      <c r="F666" s="1" t="s">
        <v>1504</v>
      </c>
      <c r="G666" s="1" t="s">
        <v>808</v>
      </c>
      <c r="H666">
        <v>28</v>
      </c>
      <c r="I666">
        <v>2</v>
      </c>
      <c r="J666" s="1" t="s">
        <v>1704</v>
      </c>
      <c r="K666" s="1" t="s">
        <v>11</v>
      </c>
      <c r="L666">
        <v>343</v>
      </c>
      <c r="M666" s="4">
        <v>0.23819444444444443</v>
      </c>
      <c r="N666" s="10">
        <v>64.34</v>
      </c>
      <c r="O666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666" s="10">
        <f>Clients_chun_clean[[#This Row],[Facture_Mensuelle]]*Clients_chun_clean[[#This Row],[Remise]]</f>
        <v>28.953000000000003</v>
      </c>
      <c r="Q666">
        <v>5</v>
      </c>
    </row>
    <row r="667" spans="1:17" x14ac:dyDescent="0.25">
      <c r="A667" s="1" t="s">
        <v>699</v>
      </c>
      <c r="B667" s="1" t="s">
        <v>717</v>
      </c>
      <c r="C667" s="1" t="s">
        <v>29</v>
      </c>
      <c r="D667" s="1" t="str">
        <f>VLOOKUP(Clients_chun_clean[[#This Row],[Province_Client]],Master_Logs_reseau_registre!B667:F1738,2,0)</f>
        <v>ANT-0794</v>
      </c>
      <c r="E667" s="1" t="s">
        <v>1508</v>
      </c>
      <c r="F667" s="1" t="s">
        <v>1509</v>
      </c>
      <c r="G667" s="1" t="s">
        <v>813</v>
      </c>
      <c r="H667">
        <v>37</v>
      </c>
      <c r="I667">
        <v>3</v>
      </c>
      <c r="J667" s="1" t="s">
        <v>1704</v>
      </c>
      <c r="K667" s="1" t="s">
        <v>22</v>
      </c>
      <c r="L667">
        <v>3</v>
      </c>
      <c r="M667" s="4">
        <v>2.0833333333333333E-3</v>
      </c>
      <c r="N667" s="10">
        <v>20.89</v>
      </c>
      <c r="O667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667" s="10">
        <f>Clients_chun_clean[[#This Row],[Facture_Mensuelle]]*Clients_chun_clean[[#This Row],[Remise]]</f>
        <v>0</v>
      </c>
      <c r="Q667">
        <v>5</v>
      </c>
    </row>
    <row r="668" spans="1:17" x14ac:dyDescent="0.25">
      <c r="A668" s="1" t="s">
        <v>699</v>
      </c>
      <c r="B668" s="1" t="s">
        <v>718</v>
      </c>
      <c r="C668" s="1" t="s">
        <v>67</v>
      </c>
      <c r="D668" s="1" t="str">
        <f>VLOOKUP(Clients_chun_clean[[#This Row],[Province_Client]],Master_Logs_reseau_registre!B668:F1739,2,0)</f>
        <v>ANT-0533</v>
      </c>
      <c r="E668" s="1" t="s">
        <v>1508</v>
      </c>
      <c r="F668" s="1" t="s">
        <v>1509</v>
      </c>
      <c r="G668" s="1" t="s">
        <v>813</v>
      </c>
      <c r="H668">
        <v>106</v>
      </c>
      <c r="I668">
        <v>8</v>
      </c>
      <c r="J668" s="1" t="s">
        <v>1704</v>
      </c>
      <c r="K668" s="1" t="s">
        <v>22</v>
      </c>
      <c r="L668">
        <v>236</v>
      </c>
      <c r="M668" s="4">
        <v>0.16388888888888889</v>
      </c>
      <c r="N668" s="10">
        <v>18.72</v>
      </c>
      <c r="O668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668" s="10">
        <f>Clients_chun_clean[[#This Row],[Facture_Mensuelle]]*Clients_chun_clean[[#This Row],[Remise]]</f>
        <v>0</v>
      </c>
      <c r="Q668">
        <v>4</v>
      </c>
    </row>
    <row r="669" spans="1:17" x14ac:dyDescent="0.25">
      <c r="A669" s="1" t="s">
        <v>699</v>
      </c>
      <c r="B669" s="1" t="s">
        <v>719</v>
      </c>
      <c r="C669" s="1" t="s">
        <v>13</v>
      </c>
      <c r="D669" s="1" t="str">
        <f>VLOOKUP(Clients_chun_clean[[#This Row],[Province_Client]],Master_Logs_reseau_registre!B669:F1740,2,0)</f>
        <v>ANT-0287</v>
      </c>
      <c r="E669" s="1" t="s">
        <v>1503</v>
      </c>
      <c r="F669" s="1" t="s">
        <v>1504</v>
      </c>
      <c r="G669" s="1" t="s">
        <v>808</v>
      </c>
      <c r="H669">
        <v>76</v>
      </c>
      <c r="I669">
        <v>6</v>
      </c>
      <c r="J669" s="1" t="s">
        <v>1704</v>
      </c>
      <c r="K669" s="1" t="s">
        <v>11</v>
      </c>
      <c r="L669">
        <v>413</v>
      </c>
      <c r="M669" s="4">
        <v>0.28680555555555554</v>
      </c>
      <c r="N669" s="10">
        <v>28.39</v>
      </c>
      <c r="O669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669" s="10">
        <f>Clients_chun_clean[[#This Row],[Facture_Mensuelle]]*Clients_chun_clean[[#This Row],[Remise]]</f>
        <v>12.775500000000001</v>
      </c>
      <c r="Q669">
        <v>3</v>
      </c>
    </row>
    <row r="670" spans="1:17" x14ac:dyDescent="0.25">
      <c r="A670" s="1" t="s">
        <v>699</v>
      </c>
      <c r="B670" s="1" t="s">
        <v>720</v>
      </c>
      <c r="C670" s="1" t="s">
        <v>21</v>
      </c>
      <c r="D670" s="1" t="str">
        <f>VLOOKUP(Clients_chun_clean[[#This Row],[Province_Client]],Master_Logs_reseau_registre!B670:F1741,2,0)</f>
        <v>ANT-0557</v>
      </c>
      <c r="E670" s="1" t="s">
        <v>1508</v>
      </c>
      <c r="F670" s="1" t="s">
        <v>1507</v>
      </c>
      <c r="G670" s="1" t="s">
        <v>811</v>
      </c>
      <c r="H670">
        <v>16</v>
      </c>
      <c r="I670">
        <v>1</v>
      </c>
      <c r="J670" s="1" t="s">
        <v>1704</v>
      </c>
      <c r="K670" s="1" t="s">
        <v>22</v>
      </c>
      <c r="L670">
        <v>390</v>
      </c>
      <c r="M670" s="4">
        <v>0.27083333333333331</v>
      </c>
      <c r="N670" s="10">
        <v>52.64</v>
      </c>
      <c r="O670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670" s="10">
        <f>Clients_chun_clean[[#This Row],[Facture_Mensuelle]]*Clients_chun_clean[[#This Row],[Remise]]</f>
        <v>23.688000000000002</v>
      </c>
      <c r="Q670">
        <v>0</v>
      </c>
    </row>
    <row r="671" spans="1:17" x14ac:dyDescent="0.25">
      <c r="A671" s="1" t="s">
        <v>699</v>
      </c>
      <c r="B671" s="1" t="s">
        <v>721</v>
      </c>
      <c r="C671" s="1" t="s">
        <v>78</v>
      </c>
      <c r="D671" s="1" t="str">
        <f>VLOOKUP(Clients_chun_clean[[#This Row],[Province_Client]],Master_Logs_reseau_registre!B671:F1742,2,0)</f>
        <v>ANT-0531</v>
      </c>
      <c r="E671" s="1" t="s">
        <v>1506</v>
      </c>
      <c r="F671" s="1" t="s">
        <v>1504</v>
      </c>
      <c r="G671" s="1" t="s">
        <v>808</v>
      </c>
      <c r="H671">
        <v>7</v>
      </c>
      <c r="I671">
        <v>0</v>
      </c>
      <c r="J671" s="1" t="s">
        <v>1705</v>
      </c>
      <c r="K671" s="1" t="s">
        <v>14</v>
      </c>
      <c r="L671">
        <v>447</v>
      </c>
      <c r="M671" s="4">
        <v>0.31041666666666667</v>
      </c>
      <c r="N671" s="10">
        <v>84.95</v>
      </c>
      <c r="O671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671" s="10">
        <f>Clients_chun_clean[[#This Row],[Facture_Mensuelle]]*Clients_chun_clean[[#This Row],[Remise]]</f>
        <v>38.227499999999999</v>
      </c>
      <c r="Q671">
        <v>2</v>
      </c>
    </row>
    <row r="672" spans="1:17" x14ac:dyDescent="0.25">
      <c r="A672" s="1" t="s">
        <v>699</v>
      </c>
      <c r="B672" s="1" t="s">
        <v>722</v>
      </c>
      <c r="C672" s="1" t="s">
        <v>131</v>
      </c>
      <c r="D672" s="1" t="str">
        <f>VLOOKUP(Clients_chun_clean[[#This Row],[Province_Client]],Master_Logs_reseau_registre!B672:F1743,2,0)</f>
        <v>ANT-0224</v>
      </c>
      <c r="E672" s="1" t="s">
        <v>1503</v>
      </c>
      <c r="F672" s="1" t="s">
        <v>1504</v>
      </c>
      <c r="G672" s="1" t="s">
        <v>808</v>
      </c>
      <c r="H672">
        <v>63</v>
      </c>
      <c r="I672">
        <v>5</v>
      </c>
      <c r="J672" s="1" t="s">
        <v>1704</v>
      </c>
      <c r="K672" s="1" t="s">
        <v>22</v>
      </c>
      <c r="L672">
        <v>265</v>
      </c>
      <c r="M672" s="4">
        <v>0.18402777777777779</v>
      </c>
      <c r="N672" s="10">
        <v>49.94</v>
      </c>
      <c r="O672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672" s="10">
        <f>Clients_chun_clean[[#This Row],[Facture_Mensuelle]]*Clients_chun_clean[[#This Row],[Remise]]</f>
        <v>22.472999999999999</v>
      </c>
      <c r="Q672">
        <v>1</v>
      </c>
    </row>
    <row r="673" spans="1:17" x14ac:dyDescent="0.25">
      <c r="A673" s="1" t="s">
        <v>699</v>
      </c>
      <c r="B673" s="1" t="s">
        <v>723</v>
      </c>
      <c r="C673" s="1" t="s">
        <v>89</v>
      </c>
      <c r="D673" s="1" t="str">
        <f>VLOOKUP(Clients_chun_clean[[#This Row],[Province_Client]],Master_Logs_reseau_registre!B673:F1744,2,0)</f>
        <v>ANT-0194</v>
      </c>
      <c r="E673" s="1" t="s">
        <v>1508</v>
      </c>
      <c r="F673" s="1" t="s">
        <v>1507</v>
      </c>
      <c r="G673" s="1" t="s">
        <v>813</v>
      </c>
      <c r="H673">
        <v>40</v>
      </c>
      <c r="I673">
        <v>3</v>
      </c>
      <c r="J673" s="1" t="s">
        <v>1704</v>
      </c>
      <c r="K673" s="1" t="s">
        <v>11</v>
      </c>
      <c r="L673">
        <v>235</v>
      </c>
      <c r="M673" s="4">
        <v>0.16319444444444445</v>
      </c>
      <c r="N673" s="10">
        <v>15.01</v>
      </c>
      <c r="O673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673" s="10">
        <f>Clients_chun_clean[[#This Row],[Facture_Mensuelle]]*Clients_chun_clean[[#This Row],[Remise]]</f>
        <v>6.7545000000000002</v>
      </c>
      <c r="Q673">
        <v>3</v>
      </c>
    </row>
    <row r="674" spans="1:17" x14ac:dyDescent="0.25">
      <c r="A674" s="1" t="s">
        <v>699</v>
      </c>
      <c r="B674" s="1" t="s">
        <v>724</v>
      </c>
      <c r="C674" s="1" t="s">
        <v>10</v>
      </c>
      <c r="D674" s="1" t="str">
        <f>VLOOKUP(Clients_chun_clean[[#This Row],[Province_Client]],Master_Logs_reseau_registre!B674:F1745,2,0)</f>
        <v>ANT-0059</v>
      </c>
      <c r="E674" s="1" t="s">
        <v>1503</v>
      </c>
      <c r="F674" s="1" t="s">
        <v>1504</v>
      </c>
      <c r="G674" s="1" t="s">
        <v>808</v>
      </c>
      <c r="H674">
        <v>1</v>
      </c>
      <c r="I674">
        <v>0</v>
      </c>
      <c r="J674" s="1" t="s">
        <v>1704</v>
      </c>
      <c r="K674" s="1" t="s">
        <v>11</v>
      </c>
      <c r="L674">
        <v>429</v>
      </c>
      <c r="M674" s="4">
        <v>0.29791666666666666</v>
      </c>
      <c r="N674" s="10">
        <v>20.96</v>
      </c>
      <c r="O674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674" s="10">
        <f>Clients_chun_clean[[#This Row],[Facture_Mensuelle]]*Clients_chun_clean[[#This Row],[Remise]]</f>
        <v>9.4320000000000004</v>
      </c>
      <c r="Q674">
        <v>5</v>
      </c>
    </row>
    <row r="675" spans="1:17" x14ac:dyDescent="0.25">
      <c r="A675" s="1" t="s">
        <v>699</v>
      </c>
      <c r="B675" s="1" t="s">
        <v>725</v>
      </c>
      <c r="C675" s="1" t="s">
        <v>67</v>
      </c>
      <c r="D675" s="1" t="str">
        <f>VLOOKUP(Clients_chun_clean[[#This Row],[Province_Client]],Master_Logs_reseau_registre!B675:F1746,2,0)</f>
        <v>ANT-0533</v>
      </c>
      <c r="E675" s="1" t="s">
        <v>1508</v>
      </c>
      <c r="F675" s="1" t="s">
        <v>1507</v>
      </c>
      <c r="G675" s="1" t="s">
        <v>813</v>
      </c>
      <c r="H675">
        <v>56</v>
      </c>
      <c r="I675">
        <v>4</v>
      </c>
      <c r="J675" s="1" t="s">
        <v>1704</v>
      </c>
      <c r="K675" s="1" t="s">
        <v>19</v>
      </c>
      <c r="L675">
        <v>27</v>
      </c>
      <c r="M675" s="4">
        <v>1.8749999999999999E-2</v>
      </c>
      <c r="N675" s="10">
        <v>46.41</v>
      </c>
      <c r="O675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675" s="10">
        <f>Clients_chun_clean[[#This Row],[Facture_Mensuelle]]*Clients_chun_clean[[#This Row],[Remise]]</f>
        <v>0</v>
      </c>
      <c r="Q675">
        <v>3</v>
      </c>
    </row>
    <row r="676" spans="1:17" x14ac:dyDescent="0.25">
      <c r="A676" s="1" t="s">
        <v>699</v>
      </c>
      <c r="B676" s="1" t="s">
        <v>726</v>
      </c>
      <c r="C676" s="1" t="s">
        <v>35</v>
      </c>
      <c r="D676" s="1" t="str">
        <f>VLOOKUP(Clients_chun_clean[[#This Row],[Province_Client]],Master_Logs_reseau_registre!B676:F1747,2,0)</f>
        <v>ANT-0276</v>
      </c>
      <c r="E676" s="1" t="s">
        <v>1506</v>
      </c>
      <c r="F676" s="1" t="s">
        <v>1504</v>
      </c>
      <c r="G676" s="1" t="s">
        <v>813</v>
      </c>
      <c r="H676">
        <v>46</v>
      </c>
      <c r="I676">
        <v>3</v>
      </c>
      <c r="J676" s="1" t="s">
        <v>1704</v>
      </c>
      <c r="K676" s="1" t="s">
        <v>11</v>
      </c>
      <c r="L676">
        <v>43</v>
      </c>
      <c r="M676" s="4">
        <v>2.9861111111111113E-2</v>
      </c>
      <c r="N676" s="10">
        <v>98.44</v>
      </c>
      <c r="O676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676" s="10">
        <f>Clients_chun_clean[[#This Row],[Facture_Mensuelle]]*Clients_chun_clean[[#This Row],[Remise]]</f>
        <v>44.298000000000002</v>
      </c>
      <c r="Q676">
        <v>2</v>
      </c>
    </row>
    <row r="677" spans="1:17" x14ac:dyDescent="0.25">
      <c r="A677" s="1" t="s">
        <v>699</v>
      </c>
      <c r="B677" s="1" t="s">
        <v>727</v>
      </c>
      <c r="C677" s="1" t="s">
        <v>33</v>
      </c>
      <c r="D677" s="1" t="str">
        <f>VLOOKUP(Clients_chun_clean[[#This Row],[Province_Client]],Master_Logs_reseau_registre!B677:F1748,2,0)</f>
        <v>ANT-0270</v>
      </c>
      <c r="E677" s="1" t="s">
        <v>1503</v>
      </c>
      <c r="F677" s="1" t="s">
        <v>1504</v>
      </c>
      <c r="G677" s="1" t="s">
        <v>813</v>
      </c>
      <c r="H677">
        <v>85</v>
      </c>
      <c r="I677">
        <v>7</v>
      </c>
      <c r="J677" s="1" t="s">
        <v>1705</v>
      </c>
      <c r="K677" s="1" t="s">
        <v>14</v>
      </c>
      <c r="L677">
        <v>28</v>
      </c>
      <c r="M677" s="4">
        <v>1.9444444444444445E-2</v>
      </c>
      <c r="N677" s="10">
        <v>83.82</v>
      </c>
      <c r="O677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677" s="10">
        <f>Clients_chun_clean[[#This Row],[Facture_Mensuelle]]*Clients_chun_clean[[#This Row],[Remise]]</f>
        <v>8.3819999999999997</v>
      </c>
      <c r="Q677">
        <v>0</v>
      </c>
    </row>
    <row r="678" spans="1:17" x14ac:dyDescent="0.25">
      <c r="A678" s="1" t="s">
        <v>699</v>
      </c>
      <c r="B678" s="1" t="s">
        <v>728</v>
      </c>
      <c r="C678" s="1" t="s">
        <v>62</v>
      </c>
      <c r="D678" s="1" t="str">
        <f>VLOOKUP(Clients_chun_clean[[#This Row],[Province_Client]],Master_Logs_reseau_registre!B678:F1749,2,0)</f>
        <v>ANT-0737</v>
      </c>
      <c r="E678" s="1" t="s">
        <v>1503</v>
      </c>
      <c r="F678" s="1" t="s">
        <v>1504</v>
      </c>
      <c r="G678" s="1" t="s">
        <v>813</v>
      </c>
      <c r="H678">
        <v>107</v>
      </c>
      <c r="I678">
        <v>8</v>
      </c>
      <c r="J678" s="1" t="s">
        <v>1704</v>
      </c>
      <c r="K678" s="1" t="s">
        <v>22</v>
      </c>
      <c r="L678">
        <v>138</v>
      </c>
      <c r="M678" s="4">
        <v>9.583333333333334E-2</v>
      </c>
      <c r="N678" s="10">
        <v>85.75</v>
      </c>
      <c r="O678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678" s="10">
        <f>Clients_chun_clean[[#This Row],[Facture_Mensuelle]]*Clients_chun_clean[[#This Row],[Remise]]</f>
        <v>0</v>
      </c>
      <c r="Q678">
        <v>1</v>
      </c>
    </row>
    <row r="679" spans="1:17" x14ac:dyDescent="0.25">
      <c r="A679" s="1" t="s">
        <v>699</v>
      </c>
      <c r="B679" s="1" t="s">
        <v>729</v>
      </c>
      <c r="C679" s="1" t="s">
        <v>89</v>
      </c>
      <c r="D679" s="1" t="str">
        <f>VLOOKUP(Clients_chun_clean[[#This Row],[Province_Client]],Master_Logs_reseau_registre!B679:F1750,2,0)</f>
        <v>ANT-0194</v>
      </c>
      <c r="E679" s="1" t="s">
        <v>1508</v>
      </c>
      <c r="F679" s="1" t="s">
        <v>1516</v>
      </c>
      <c r="G679" s="1" t="s">
        <v>808</v>
      </c>
      <c r="H679">
        <v>1</v>
      </c>
      <c r="I679">
        <v>0</v>
      </c>
      <c r="J679" s="1" t="s">
        <v>1705</v>
      </c>
      <c r="K679" s="1" t="s">
        <v>14</v>
      </c>
      <c r="L679">
        <v>424</v>
      </c>
      <c r="M679" s="4">
        <v>0.29444444444444445</v>
      </c>
      <c r="N679" s="10">
        <v>59.2</v>
      </c>
      <c r="O679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679" s="10">
        <f>Clients_chun_clean[[#This Row],[Facture_Mensuelle]]*Clients_chun_clean[[#This Row],[Remise]]</f>
        <v>26.64</v>
      </c>
      <c r="Q679">
        <v>2</v>
      </c>
    </row>
    <row r="680" spans="1:17" x14ac:dyDescent="0.25">
      <c r="A680" s="1" t="s">
        <v>699</v>
      </c>
      <c r="B680" s="1" t="s">
        <v>730</v>
      </c>
      <c r="C680" s="1" t="s">
        <v>73</v>
      </c>
      <c r="D680" s="1" t="str">
        <f>VLOOKUP(Clients_chun_clean[[#This Row],[Province_Client]],Master_Logs_reseau_registre!B680:F1751,2,0)</f>
        <v>ANT-0436</v>
      </c>
      <c r="E680" s="1" t="s">
        <v>1503</v>
      </c>
      <c r="F680" s="1" t="s">
        <v>1507</v>
      </c>
      <c r="G680" s="1" t="s">
        <v>811</v>
      </c>
      <c r="H680">
        <v>7</v>
      </c>
      <c r="I680">
        <v>0</v>
      </c>
      <c r="J680" s="1" t="s">
        <v>1705</v>
      </c>
      <c r="K680" s="1" t="s">
        <v>14</v>
      </c>
      <c r="L680">
        <v>332</v>
      </c>
      <c r="M680" s="4">
        <v>0.23055555555555557</v>
      </c>
      <c r="N680" s="10">
        <v>83.95</v>
      </c>
      <c r="O680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680" s="10">
        <f>Clients_chun_clean[[#This Row],[Facture_Mensuelle]]*Clients_chun_clean[[#This Row],[Remise]]</f>
        <v>37.777500000000003</v>
      </c>
      <c r="Q680">
        <v>4</v>
      </c>
    </row>
    <row r="681" spans="1:17" x14ac:dyDescent="0.25">
      <c r="A681" s="1" t="s">
        <v>699</v>
      </c>
      <c r="B681" s="1" t="s">
        <v>731</v>
      </c>
      <c r="C681" s="1" t="s">
        <v>37</v>
      </c>
      <c r="D681" s="1" t="str">
        <f>VLOOKUP(Clients_chun_clean[[#This Row],[Province_Client]],Master_Logs_reseau_registre!B681:F1752,2,0)</f>
        <v>ANT-0357</v>
      </c>
      <c r="E681" s="1" t="s">
        <v>1503</v>
      </c>
      <c r="F681" s="1" t="s">
        <v>1507</v>
      </c>
      <c r="G681" s="1" t="s">
        <v>811</v>
      </c>
      <c r="H681">
        <v>33</v>
      </c>
      <c r="I681">
        <v>2</v>
      </c>
      <c r="J681" s="1" t="s">
        <v>1704</v>
      </c>
      <c r="K681" s="1" t="s">
        <v>19</v>
      </c>
      <c r="L681">
        <v>54</v>
      </c>
      <c r="M681" s="4">
        <v>3.7499999999999999E-2</v>
      </c>
      <c r="N681" s="10">
        <v>71.319999999999993</v>
      </c>
      <c r="O681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681" s="10">
        <f>Clients_chun_clean[[#This Row],[Facture_Mensuelle]]*Clients_chun_clean[[#This Row],[Remise]]</f>
        <v>0</v>
      </c>
      <c r="Q681">
        <v>4</v>
      </c>
    </row>
    <row r="682" spans="1:17" x14ac:dyDescent="0.25">
      <c r="A682" s="1" t="s">
        <v>699</v>
      </c>
      <c r="B682" s="1" t="s">
        <v>732</v>
      </c>
      <c r="C682" s="1" t="s">
        <v>78</v>
      </c>
      <c r="D682" s="1" t="str">
        <f>VLOOKUP(Clients_chun_clean[[#This Row],[Province_Client]],Master_Logs_reseau_registre!B682:F1753,2,0)</f>
        <v>ANT-0531</v>
      </c>
      <c r="E682" s="1" t="s">
        <v>1506</v>
      </c>
      <c r="F682" s="1" t="s">
        <v>1504</v>
      </c>
      <c r="G682" s="1" t="s">
        <v>813</v>
      </c>
      <c r="H682">
        <v>18</v>
      </c>
      <c r="I682">
        <v>1</v>
      </c>
      <c r="J682" s="1" t="s">
        <v>1704</v>
      </c>
      <c r="K682" s="1" t="s">
        <v>22</v>
      </c>
      <c r="L682">
        <v>170</v>
      </c>
      <c r="M682" s="4">
        <v>0.11805555555555555</v>
      </c>
      <c r="N682" s="10">
        <v>87.34</v>
      </c>
      <c r="O682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682" s="10">
        <f>Clients_chun_clean[[#This Row],[Facture_Mensuelle]]*Clients_chun_clean[[#This Row],[Remise]]</f>
        <v>0</v>
      </c>
      <c r="Q682">
        <v>1</v>
      </c>
    </row>
    <row r="683" spans="1:17" x14ac:dyDescent="0.25">
      <c r="A683" s="1" t="s">
        <v>699</v>
      </c>
      <c r="B683" s="1" t="s">
        <v>733</v>
      </c>
      <c r="C683" s="1" t="s">
        <v>31</v>
      </c>
      <c r="D683" s="1" t="str">
        <f>VLOOKUP(Clients_chun_clean[[#This Row],[Province_Client]],Master_Logs_reseau_registre!B683:F1754,2,0)</f>
        <v>ANT-0714</v>
      </c>
      <c r="E683" s="1" t="s">
        <v>1508</v>
      </c>
      <c r="F683" s="1" t="s">
        <v>1516</v>
      </c>
      <c r="G683" s="1" t="s">
        <v>808</v>
      </c>
      <c r="H683">
        <v>45</v>
      </c>
      <c r="I683">
        <v>3</v>
      </c>
      <c r="J683" s="1" t="s">
        <v>1705</v>
      </c>
      <c r="K683" s="1" t="s">
        <v>14</v>
      </c>
      <c r="L683">
        <v>304</v>
      </c>
      <c r="M683" s="4">
        <v>0.21111111111111111</v>
      </c>
      <c r="N683" s="10">
        <v>65.540000000000006</v>
      </c>
      <c r="O683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683" s="10">
        <f>Clients_chun_clean[[#This Row],[Facture_Mensuelle]]*Clients_chun_clean[[#This Row],[Remise]]</f>
        <v>29.493000000000002</v>
      </c>
      <c r="Q683">
        <v>2</v>
      </c>
    </row>
    <row r="684" spans="1:17" x14ac:dyDescent="0.25">
      <c r="A684" s="1" t="s">
        <v>699</v>
      </c>
      <c r="B684" s="1" t="s">
        <v>734</v>
      </c>
      <c r="C684" s="1" t="s">
        <v>51</v>
      </c>
      <c r="D684" s="1" t="str">
        <f>VLOOKUP(Clients_chun_clean[[#This Row],[Province_Client]],Master_Logs_reseau_registre!B684:F1755,2,0)</f>
        <v>ANT-0850</v>
      </c>
      <c r="E684" s="1" t="s">
        <v>1508</v>
      </c>
      <c r="F684" s="1" t="s">
        <v>1516</v>
      </c>
      <c r="G684" s="1" t="s">
        <v>808</v>
      </c>
      <c r="H684">
        <v>113</v>
      </c>
      <c r="I684">
        <v>9</v>
      </c>
      <c r="J684" s="1" t="s">
        <v>1704</v>
      </c>
      <c r="K684" s="1" t="s">
        <v>11</v>
      </c>
      <c r="L684">
        <v>49</v>
      </c>
      <c r="M684" s="4">
        <v>3.4027777777777775E-2</v>
      </c>
      <c r="N684" s="10">
        <v>48.91</v>
      </c>
      <c r="O684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684" s="10">
        <f>Clients_chun_clean[[#This Row],[Facture_Mensuelle]]*Clients_chun_clean[[#This Row],[Remise]]</f>
        <v>0</v>
      </c>
      <c r="Q684">
        <v>5</v>
      </c>
    </row>
    <row r="685" spans="1:17" x14ac:dyDescent="0.25">
      <c r="A685" s="1" t="s">
        <v>699</v>
      </c>
      <c r="B685" s="1" t="s">
        <v>735</v>
      </c>
      <c r="C685" s="1" t="s">
        <v>10</v>
      </c>
      <c r="D685" s="1" t="str">
        <f>VLOOKUP(Clients_chun_clean[[#This Row],[Province_Client]],Master_Logs_reseau_registre!B685:F1756,2,0)</f>
        <v>ANT-0059</v>
      </c>
      <c r="E685" s="1" t="s">
        <v>1503</v>
      </c>
      <c r="F685" s="1" t="s">
        <v>1507</v>
      </c>
      <c r="G685" s="1" t="s">
        <v>813</v>
      </c>
      <c r="H685">
        <v>37</v>
      </c>
      <c r="I685">
        <v>3</v>
      </c>
      <c r="J685" s="1" t="s">
        <v>1704</v>
      </c>
      <c r="K685" s="1" t="s">
        <v>11</v>
      </c>
      <c r="L685">
        <v>420</v>
      </c>
      <c r="M685" s="4">
        <v>0.29166666666666669</v>
      </c>
      <c r="N685" s="10">
        <v>67.260000000000005</v>
      </c>
      <c r="O685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685" s="10">
        <f>Clients_chun_clean[[#This Row],[Facture_Mensuelle]]*Clients_chun_clean[[#This Row],[Remise]]</f>
        <v>30.267000000000003</v>
      </c>
      <c r="Q685">
        <v>4</v>
      </c>
    </row>
    <row r="686" spans="1:17" x14ac:dyDescent="0.25">
      <c r="A686" s="1" t="s">
        <v>699</v>
      </c>
      <c r="B686" s="1" t="s">
        <v>736</v>
      </c>
      <c r="C686" s="1" t="s">
        <v>24</v>
      </c>
      <c r="D686" s="1" t="str">
        <f>VLOOKUP(Clients_chun_clean[[#This Row],[Province_Client]],Master_Logs_reseau_registre!B686:F1757,2,0)</f>
        <v>ANT-0543</v>
      </c>
      <c r="E686" s="1" t="s">
        <v>1506</v>
      </c>
      <c r="F686" s="1" t="s">
        <v>1504</v>
      </c>
      <c r="G686" s="1" t="s">
        <v>813</v>
      </c>
      <c r="H686">
        <v>101</v>
      </c>
      <c r="I686">
        <v>8</v>
      </c>
      <c r="J686" s="1" t="s">
        <v>1705</v>
      </c>
      <c r="K686" s="1" t="s">
        <v>14</v>
      </c>
      <c r="L686">
        <v>148</v>
      </c>
      <c r="M686" s="4">
        <v>0.10277777777777777</v>
      </c>
      <c r="N686" s="10">
        <v>26.63</v>
      </c>
      <c r="O686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686" s="10">
        <f>Clients_chun_clean[[#This Row],[Facture_Mensuelle]]*Clients_chun_clean[[#This Row],[Remise]]</f>
        <v>2.6630000000000003</v>
      </c>
      <c r="Q686">
        <v>3</v>
      </c>
    </row>
    <row r="687" spans="1:17" x14ac:dyDescent="0.25">
      <c r="A687" s="1" t="s">
        <v>699</v>
      </c>
      <c r="B687" s="1" t="s">
        <v>737</v>
      </c>
      <c r="C687" s="1" t="s">
        <v>127</v>
      </c>
      <c r="D687" s="1" t="str">
        <f>VLOOKUP(Clients_chun_clean[[#This Row],[Province_Client]],Master_Logs_reseau_registre!B687:F1758,2,0)</f>
        <v>ANT-0622</v>
      </c>
      <c r="E687" s="1" t="s">
        <v>1503</v>
      </c>
      <c r="F687" s="1" t="s">
        <v>1504</v>
      </c>
      <c r="G687" s="1" t="s">
        <v>813</v>
      </c>
      <c r="H687">
        <v>110</v>
      </c>
      <c r="I687">
        <v>9</v>
      </c>
      <c r="J687" s="1" t="s">
        <v>1704</v>
      </c>
      <c r="K687" s="1" t="s">
        <v>11</v>
      </c>
      <c r="L687">
        <v>289</v>
      </c>
      <c r="M687" s="4">
        <v>0.20069444444444445</v>
      </c>
      <c r="N687" s="10">
        <v>83.67</v>
      </c>
      <c r="O687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687" s="10">
        <f>Clients_chun_clean[[#This Row],[Facture_Mensuelle]]*Clients_chun_clean[[#This Row],[Remise]]</f>
        <v>37.651499999999999</v>
      </c>
      <c r="Q687">
        <v>4</v>
      </c>
    </row>
    <row r="688" spans="1:17" x14ac:dyDescent="0.25">
      <c r="A688" s="1" t="s">
        <v>699</v>
      </c>
      <c r="B688" s="1" t="s">
        <v>738</v>
      </c>
      <c r="C688" s="1" t="s">
        <v>89</v>
      </c>
      <c r="D688" s="1" t="str">
        <f>VLOOKUP(Clients_chun_clean[[#This Row],[Province_Client]],Master_Logs_reseau_registre!B688:F1759,2,0)</f>
        <v>ANT-0194</v>
      </c>
      <c r="E688" s="1" t="s">
        <v>1508</v>
      </c>
      <c r="F688" s="1" t="s">
        <v>1504</v>
      </c>
      <c r="G688" s="1" t="s">
        <v>808</v>
      </c>
      <c r="H688">
        <v>65</v>
      </c>
      <c r="I688">
        <v>5</v>
      </c>
      <c r="J688" s="1" t="s">
        <v>1705</v>
      </c>
      <c r="K688" s="1" t="s">
        <v>14</v>
      </c>
      <c r="L688">
        <v>246</v>
      </c>
      <c r="M688" s="4">
        <v>0.17083333333333334</v>
      </c>
      <c r="N688" s="10">
        <v>69.17</v>
      </c>
      <c r="O688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688" s="10">
        <f>Clients_chun_clean[[#This Row],[Facture_Mensuelle]]*Clients_chun_clean[[#This Row],[Remise]]</f>
        <v>31.1265</v>
      </c>
      <c r="Q688">
        <v>0</v>
      </c>
    </row>
    <row r="689" spans="1:17" x14ac:dyDescent="0.25">
      <c r="A689" s="1" t="s">
        <v>699</v>
      </c>
      <c r="B689" s="1" t="s">
        <v>739</v>
      </c>
      <c r="C689" s="1" t="s">
        <v>24</v>
      </c>
      <c r="D689" s="1" t="str">
        <f>VLOOKUP(Clients_chun_clean[[#This Row],[Province_Client]],Master_Logs_reseau_registre!B689:F1760,2,0)</f>
        <v>ANT-0543</v>
      </c>
      <c r="E689" s="1" t="s">
        <v>1506</v>
      </c>
      <c r="F689" s="1" t="s">
        <v>1504</v>
      </c>
      <c r="G689" s="1" t="s">
        <v>808</v>
      </c>
      <c r="H689">
        <v>86</v>
      </c>
      <c r="I689">
        <v>7</v>
      </c>
      <c r="J689" s="1" t="s">
        <v>1705</v>
      </c>
      <c r="K689" s="1" t="s">
        <v>14</v>
      </c>
      <c r="L689">
        <v>353</v>
      </c>
      <c r="M689" s="4">
        <v>0.24513888888888888</v>
      </c>
      <c r="N689" s="10">
        <v>25.37</v>
      </c>
      <c r="O689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689" s="10">
        <f>Clients_chun_clean[[#This Row],[Facture_Mensuelle]]*Clients_chun_clean[[#This Row],[Remise]]</f>
        <v>11.416500000000001</v>
      </c>
      <c r="Q689">
        <v>1</v>
      </c>
    </row>
    <row r="690" spans="1:17" x14ac:dyDescent="0.25">
      <c r="A690" s="1" t="s">
        <v>699</v>
      </c>
      <c r="B690" s="1" t="s">
        <v>740</v>
      </c>
      <c r="C690" s="1" t="s">
        <v>24</v>
      </c>
      <c r="D690" s="1" t="str">
        <f>VLOOKUP(Clients_chun_clean[[#This Row],[Province_Client]],Master_Logs_reseau_registre!B690:F1761,2,0)</f>
        <v>ANT-0543</v>
      </c>
      <c r="E690" s="1" t="s">
        <v>1506</v>
      </c>
      <c r="F690" s="1" t="s">
        <v>1504</v>
      </c>
      <c r="G690" s="1" t="s">
        <v>808</v>
      </c>
      <c r="H690">
        <v>99</v>
      </c>
      <c r="I690">
        <v>8</v>
      </c>
      <c r="J690" s="1" t="s">
        <v>1705</v>
      </c>
      <c r="K690" s="1" t="s">
        <v>14</v>
      </c>
      <c r="L690">
        <v>169</v>
      </c>
      <c r="M690" s="4">
        <v>0.11736111111111111</v>
      </c>
      <c r="N690" s="10">
        <v>76.75</v>
      </c>
      <c r="O690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690" s="10">
        <f>Clients_chun_clean[[#This Row],[Facture_Mensuelle]]*Clients_chun_clean[[#This Row],[Remise]]</f>
        <v>7.6750000000000007</v>
      </c>
      <c r="Q690">
        <v>5</v>
      </c>
    </row>
    <row r="691" spans="1:17" x14ac:dyDescent="0.25">
      <c r="A691" s="1" t="s">
        <v>699</v>
      </c>
      <c r="B691" s="1" t="s">
        <v>741</v>
      </c>
      <c r="C691" s="1" t="s">
        <v>21</v>
      </c>
      <c r="D691" s="1" t="str">
        <f>VLOOKUP(Clients_chun_clean[[#This Row],[Province_Client]],Master_Logs_reseau_registre!B691:F1762,2,0)</f>
        <v>ANT-0883</v>
      </c>
      <c r="E691" s="1" t="s">
        <v>1508</v>
      </c>
      <c r="F691" s="1" t="s">
        <v>1504</v>
      </c>
      <c r="G691" s="1" t="s">
        <v>808</v>
      </c>
      <c r="H691">
        <v>72</v>
      </c>
      <c r="I691">
        <v>6</v>
      </c>
      <c r="J691" s="1" t="s">
        <v>1705</v>
      </c>
      <c r="K691" s="1" t="s">
        <v>14</v>
      </c>
      <c r="L691">
        <v>442</v>
      </c>
      <c r="M691" s="4">
        <v>0.30694444444444446</v>
      </c>
      <c r="N691" s="10">
        <v>59.2</v>
      </c>
      <c r="O691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691" s="10">
        <f>Clients_chun_clean[[#This Row],[Facture_Mensuelle]]*Clients_chun_clean[[#This Row],[Remise]]</f>
        <v>26.64</v>
      </c>
      <c r="Q691">
        <v>1</v>
      </c>
    </row>
    <row r="692" spans="1:17" x14ac:dyDescent="0.25">
      <c r="A692" s="1" t="s">
        <v>699</v>
      </c>
      <c r="B692" s="1" t="s">
        <v>742</v>
      </c>
      <c r="C692" s="1" t="s">
        <v>35</v>
      </c>
      <c r="D692" s="1" t="str">
        <f>VLOOKUP(Clients_chun_clean[[#This Row],[Province_Client]],Master_Logs_reseau_registre!B692:F1763,2,0)</f>
        <v>ANT-0276</v>
      </c>
      <c r="E692" s="1" t="s">
        <v>1506</v>
      </c>
      <c r="F692" s="1" t="s">
        <v>1504</v>
      </c>
      <c r="G692" s="1" t="s">
        <v>808</v>
      </c>
      <c r="H692">
        <v>20</v>
      </c>
      <c r="I692">
        <v>1</v>
      </c>
      <c r="J692" s="1" t="s">
        <v>1705</v>
      </c>
      <c r="K692" s="1" t="s">
        <v>14</v>
      </c>
      <c r="L692">
        <v>31</v>
      </c>
      <c r="M692" s="4">
        <v>2.1527777777777778E-2</v>
      </c>
      <c r="N692" s="10">
        <v>52.85</v>
      </c>
      <c r="O692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692" s="10">
        <f>Clients_chun_clean[[#This Row],[Facture_Mensuelle]]*Clients_chun_clean[[#This Row],[Remise]]</f>
        <v>5.2850000000000001</v>
      </c>
      <c r="Q692">
        <v>2</v>
      </c>
    </row>
    <row r="693" spans="1:17" x14ac:dyDescent="0.25">
      <c r="A693" s="1" t="s">
        <v>699</v>
      </c>
      <c r="B693" s="1" t="s">
        <v>743</v>
      </c>
      <c r="C693" s="1" t="s">
        <v>51</v>
      </c>
      <c r="D693" s="1" t="str">
        <f>VLOOKUP(Clients_chun_clean[[#This Row],[Province_Client]],Master_Logs_reseau_registre!B693:F1764,2,0)</f>
        <v>ANT-0430</v>
      </c>
      <c r="E693" s="1" t="s">
        <v>1506</v>
      </c>
      <c r="F693" s="1" t="s">
        <v>1504</v>
      </c>
      <c r="G693" s="1" t="s">
        <v>808</v>
      </c>
      <c r="H693">
        <v>12</v>
      </c>
      <c r="I693">
        <v>1</v>
      </c>
      <c r="J693" s="1" t="s">
        <v>1704</v>
      </c>
      <c r="K693" s="1" t="s">
        <v>19</v>
      </c>
      <c r="L693">
        <v>62</v>
      </c>
      <c r="M693" s="4">
        <v>4.3055555555555555E-2</v>
      </c>
      <c r="N693" s="10">
        <v>36.1</v>
      </c>
      <c r="O693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693" s="10">
        <f>Clients_chun_clean[[#This Row],[Facture_Mensuelle]]*Clients_chun_clean[[#This Row],[Remise]]</f>
        <v>0</v>
      </c>
      <c r="Q693">
        <v>5</v>
      </c>
    </row>
    <row r="694" spans="1:17" x14ac:dyDescent="0.25">
      <c r="A694" s="1" t="s">
        <v>699</v>
      </c>
      <c r="B694" s="1" t="s">
        <v>744</v>
      </c>
      <c r="C694" s="1" t="s">
        <v>64</v>
      </c>
      <c r="D694" s="1" t="str">
        <f>VLOOKUP(Clients_chun_clean[[#This Row],[Province_Client]],Master_Logs_reseau_registre!B694:F1765,2,0)</f>
        <v>ANT-0964</v>
      </c>
      <c r="E694" s="1" t="s">
        <v>1503</v>
      </c>
      <c r="F694" s="1" t="s">
        <v>1516</v>
      </c>
      <c r="G694" s="1" t="s">
        <v>811</v>
      </c>
      <c r="H694">
        <v>92</v>
      </c>
      <c r="I694">
        <v>7</v>
      </c>
      <c r="J694" s="1" t="s">
        <v>1704</v>
      </c>
      <c r="K694" s="1" t="s">
        <v>19</v>
      </c>
      <c r="L694">
        <v>379</v>
      </c>
      <c r="M694" s="4">
        <v>0.26319444444444445</v>
      </c>
      <c r="N694" s="10">
        <v>70.08</v>
      </c>
      <c r="O694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694" s="10">
        <f>Clients_chun_clean[[#This Row],[Facture_Mensuelle]]*Clients_chun_clean[[#This Row],[Remise]]</f>
        <v>31.536000000000001</v>
      </c>
      <c r="Q694">
        <v>5</v>
      </c>
    </row>
    <row r="695" spans="1:17" x14ac:dyDescent="0.25">
      <c r="A695" s="1" t="s">
        <v>699</v>
      </c>
      <c r="B695" s="1" t="s">
        <v>745</v>
      </c>
      <c r="C695" s="1" t="s">
        <v>26</v>
      </c>
      <c r="D695" s="1" t="str">
        <f>VLOOKUP(Clients_chun_clean[[#This Row],[Province_Client]],Master_Logs_reseau_registre!B695:F1766,2,0)</f>
        <v>ANT-0292</v>
      </c>
      <c r="E695" s="1" t="s">
        <v>1508</v>
      </c>
      <c r="F695" s="1" t="s">
        <v>1504</v>
      </c>
      <c r="G695" s="1" t="s">
        <v>813</v>
      </c>
      <c r="H695">
        <v>35</v>
      </c>
      <c r="I695">
        <v>2</v>
      </c>
      <c r="J695" s="1" t="s">
        <v>1705</v>
      </c>
      <c r="K695" s="1" t="s">
        <v>14</v>
      </c>
      <c r="L695">
        <v>299</v>
      </c>
      <c r="M695" s="4">
        <v>0.2076388888888889</v>
      </c>
      <c r="N695" s="10">
        <v>96.32</v>
      </c>
      <c r="O695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695" s="10">
        <f>Clients_chun_clean[[#This Row],[Facture_Mensuelle]]*Clients_chun_clean[[#This Row],[Remise]]</f>
        <v>43.344000000000001</v>
      </c>
      <c r="Q695">
        <v>4</v>
      </c>
    </row>
    <row r="696" spans="1:17" x14ac:dyDescent="0.25">
      <c r="A696" s="1" t="s">
        <v>699</v>
      </c>
      <c r="B696" s="1" t="s">
        <v>746</v>
      </c>
      <c r="C696" s="1" t="s">
        <v>13</v>
      </c>
      <c r="D696" s="1" t="str">
        <f>VLOOKUP(Clients_chun_clean[[#This Row],[Province_Client]],Master_Logs_reseau_registre!B696:F1767,2,0)</f>
        <v>ANT-0287</v>
      </c>
      <c r="E696" s="1" t="s">
        <v>1503</v>
      </c>
      <c r="F696" s="1" t="s">
        <v>1507</v>
      </c>
      <c r="G696" s="1" t="s">
        <v>808</v>
      </c>
      <c r="H696">
        <v>19</v>
      </c>
      <c r="I696">
        <v>1</v>
      </c>
      <c r="J696" s="1" t="s">
        <v>1704</v>
      </c>
      <c r="K696" s="1" t="s">
        <v>19</v>
      </c>
      <c r="L696">
        <v>345</v>
      </c>
      <c r="M696" s="4">
        <v>0.23958333333333334</v>
      </c>
      <c r="N696" s="10">
        <v>54.37</v>
      </c>
      <c r="O696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696" s="10">
        <f>Clients_chun_clean[[#This Row],[Facture_Mensuelle]]*Clients_chun_clean[[#This Row],[Remise]]</f>
        <v>24.4665</v>
      </c>
      <c r="Q696">
        <v>2</v>
      </c>
    </row>
    <row r="697" spans="1:17" x14ac:dyDescent="0.25">
      <c r="A697" s="1" t="s">
        <v>699</v>
      </c>
      <c r="B697" s="1" t="s">
        <v>747</v>
      </c>
      <c r="C697" s="1" t="s">
        <v>44</v>
      </c>
      <c r="D697" s="1" t="str">
        <f>VLOOKUP(Clients_chun_clean[[#This Row],[Province_Client]],Master_Logs_reseau_registre!B697:F1768,2,0)</f>
        <v>ANT-0056</v>
      </c>
      <c r="E697" s="1" t="s">
        <v>1506</v>
      </c>
      <c r="F697" s="1" t="s">
        <v>1504</v>
      </c>
      <c r="G697" s="1" t="s">
        <v>813</v>
      </c>
      <c r="H697">
        <v>94</v>
      </c>
      <c r="I697">
        <v>7</v>
      </c>
      <c r="J697" s="1" t="s">
        <v>1704</v>
      </c>
      <c r="K697" s="1" t="s">
        <v>22</v>
      </c>
      <c r="L697">
        <v>261</v>
      </c>
      <c r="M697" s="4">
        <v>0.18124999999999999</v>
      </c>
      <c r="N697" s="10">
        <v>70.09</v>
      </c>
      <c r="O697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697" s="10">
        <f>Clients_chun_clean[[#This Row],[Facture_Mensuelle]]*Clients_chun_clean[[#This Row],[Remise]]</f>
        <v>31.540500000000002</v>
      </c>
      <c r="Q697">
        <v>3</v>
      </c>
    </row>
    <row r="698" spans="1:17" x14ac:dyDescent="0.25">
      <c r="A698" s="1" t="s">
        <v>699</v>
      </c>
      <c r="B698" s="1" t="s">
        <v>748</v>
      </c>
      <c r="C698" s="1" t="s">
        <v>127</v>
      </c>
      <c r="D698" s="1" t="str">
        <f>VLOOKUP(Clients_chun_clean[[#This Row],[Province_Client]],Master_Logs_reseau_registre!B698:F1769,2,0)</f>
        <v>ANT-0622</v>
      </c>
      <c r="E698" s="1" t="s">
        <v>1503</v>
      </c>
      <c r="F698" s="1" t="s">
        <v>1516</v>
      </c>
      <c r="G698" s="1" t="s">
        <v>811</v>
      </c>
      <c r="H698">
        <v>26</v>
      </c>
      <c r="I698">
        <v>2</v>
      </c>
      <c r="J698" s="1" t="s">
        <v>1704</v>
      </c>
      <c r="K698" s="1" t="s">
        <v>11</v>
      </c>
      <c r="L698">
        <v>378</v>
      </c>
      <c r="M698" s="4">
        <v>0.26250000000000001</v>
      </c>
      <c r="N698" s="10">
        <v>45.21</v>
      </c>
      <c r="O698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698" s="10">
        <f>Clients_chun_clean[[#This Row],[Facture_Mensuelle]]*Clients_chun_clean[[#This Row],[Remise]]</f>
        <v>20.3445</v>
      </c>
      <c r="Q698">
        <v>5</v>
      </c>
    </row>
    <row r="699" spans="1:17" x14ac:dyDescent="0.25">
      <c r="A699" s="1" t="s">
        <v>699</v>
      </c>
      <c r="B699" s="1" t="s">
        <v>749</v>
      </c>
      <c r="C699" s="1" t="s">
        <v>13</v>
      </c>
      <c r="D699" s="1" t="str">
        <f>VLOOKUP(Clients_chun_clean[[#This Row],[Province_Client]],Master_Logs_reseau_registre!B699:F1770,2,0)</f>
        <v>ANT-0287</v>
      </c>
      <c r="E699" s="1" t="s">
        <v>1503</v>
      </c>
      <c r="F699" s="1" t="s">
        <v>1516</v>
      </c>
      <c r="G699" s="1" t="s">
        <v>811</v>
      </c>
      <c r="H699">
        <v>56</v>
      </c>
      <c r="I699">
        <v>4</v>
      </c>
      <c r="J699" s="1" t="s">
        <v>1704</v>
      </c>
      <c r="K699" s="1" t="s">
        <v>22</v>
      </c>
      <c r="L699">
        <v>367</v>
      </c>
      <c r="M699" s="4">
        <v>0.25486111111111109</v>
      </c>
      <c r="N699" s="10">
        <v>72.790000000000006</v>
      </c>
      <c r="O699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699" s="10">
        <f>Clients_chun_clean[[#This Row],[Facture_Mensuelle]]*Clients_chun_clean[[#This Row],[Remise]]</f>
        <v>32.755500000000005</v>
      </c>
      <c r="Q699">
        <v>1</v>
      </c>
    </row>
    <row r="700" spans="1:17" x14ac:dyDescent="0.25">
      <c r="A700" s="1" t="s">
        <v>750</v>
      </c>
      <c r="B700" s="1" t="s">
        <v>751</v>
      </c>
      <c r="C700" s="1" t="s">
        <v>35</v>
      </c>
      <c r="D700" s="1" t="str">
        <f>VLOOKUP(Clients_chun_clean[[#This Row],[Province_Client]],Master_Logs_reseau_registre!B700:F1771,2,0)</f>
        <v>ANT-0276</v>
      </c>
      <c r="E700" s="1" t="s">
        <v>1506</v>
      </c>
      <c r="F700" s="1" t="s">
        <v>1507</v>
      </c>
      <c r="G700" s="1" t="s">
        <v>808</v>
      </c>
      <c r="H700">
        <v>97</v>
      </c>
      <c r="I700">
        <v>8</v>
      </c>
      <c r="J700" s="1" t="s">
        <v>1704</v>
      </c>
      <c r="K700" s="1" t="s">
        <v>19</v>
      </c>
      <c r="L700">
        <v>173</v>
      </c>
      <c r="M700" s="4">
        <v>0.12013888888888889</v>
      </c>
      <c r="N700" s="10">
        <v>19.37</v>
      </c>
      <c r="O700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700" s="10">
        <f>Clients_chun_clean[[#This Row],[Facture_Mensuelle]]*Clients_chun_clean[[#This Row],[Remise]]</f>
        <v>0</v>
      </c>
      <c r="Q700">
        <v>5</v>
      </c>
    </row>
    <row r="701" spans="1:17" x14ac:dyDescent="0.25">
      <c r="A701" s="1" t="s">
        <v>750</v>
      </c>
      <c r="B701" s="1" t="s">
        <v>752</v>
      </c>
      <c r="C701" s="1" t="s">
        <v>131</v>
      </c>
      <c r="D701" s="1" t="str">
        <f>VLOOKUP(Clients_chun_clean[[#This Row],[Province_Client]],Master_Logs_reseau_registre!B701:F1772,2,0)</f>
        <v>ANT-0045</v>
      </c>
      <c r="E701" s="1" t="s">
        <v>1503</v>
      </c>
      <c r="F701" s="1" t="s">
        <v>1516</v>
      </c>
      <c r="G701" s="1" t="s">
        <v>811</v>
      </c>
      <c r="H701">
        <v>54</v>
      </c>
      <c r="I701">
        <v>4</v>
      </c>
      <c r="J701" s="1" t="s">
        <v>1704</v>
      </c>
      <c r="K701" s="1" t="s">
        <v>22</v>
      </c>
      <c r="L701">
        <v>215</v>
      </c>
      <c r="M701" s="4">
        <v>0.14930555555555555</v>
      </c>
      <c r="N701" s="10">
        <v>54.69</v>
      </c>
      <c r="O701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701" s="10">
        <f>Clients_chun_clean[[#This Row],[Facture_Mensuelle]]*Clients_chun_clean[[#This Row],[Remise]]</f>
        <v>0</v>
      </c>
      <c r="Q701">
        <v>0</v>
      </c>
    </row>
    <row r="702" spans="1:17" x14ac:dyDescent="0.25">
      <c r="A702" s="1" t="s">
        <v>750</v>
      </c>
      <c r="B702" s="1" t="s">
        <v>753</v>
      </c>
      <c r="C702" s="1" t="s">
        <v>40</v>
      </c>
      <c r="D702" s="1" t="str">
        <f>VLOOKUP(Clients_chun_clean[[#This Row],[Province_Client]],Master_Logs_reseau_registre!B702:F1773,2,0)</f>
        <v>ANT-0708</v>
      </c>
      <c r="E702" s="1" t="s">
        <v>1508</v>
      </c>
      <c r="F702" s="1" t="s">
        <v>1509</v>
      </c>
      <c r="G702" s="1" t="s">
        <v>808</v>
      </c>
      <c r="H702">
        <v>119</v>
      </c>
      <c r="I702">
        <v>9</v>
      </c>
      <c r="J702" s="1" t="s">
        <v>1704</v>
      </c>
      <c r="K702" s="1" t="s">
        <v>19</v>
      </c>
      <c r="L702">
        <v>133</v>
      </c>
      <c r="M702" s="4">
        <v>9.2361111111111116E-2</v>
      </c>
      <c r="N702" s="10">
        <v>30.27</v>
      </c>
      <c r="O702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702" s="10">
        <f>Clients_chun_clean[[#This Row],[Facture_Mensuelle]]*Clients_chun_clean[[#This Row],[Remise]]</f>
        <v>0</v>
      </c>
      <c r="Q702">
        <v>5</v>
      </c>
    </row>
    <row r="703" spans="1:17" x14ac:dyDescent="0.25">
      <c r="A703" s="1" t="s">
        <v>750</v>
      </c>
      <c r="B703" s="1" t="s">
        <v>754</v>
      </c>
      <c r="C703" s="1" t="s">
        <v>16</v>
      </c>
      <c r="D703" s="1" t="str">
        <f>VLOOKUP(Clients_chun_clean[[#This Row],[Province_Client]],Master_Logs_reseau_registre!B703:F1774,2,0)</f>
        <v>ANT-0370</v>
      </c>
      <c r="E703" s="1" t="s">
        <v>1506</v>
      </c>
      <c r="F703" s="1" t="s">
        <v>1507</v>
      </c>
      <c r="G703" s="1" t="s">
        <v>808</v>
      </c>
      <c r="H703">
        <v>9</v>
      </c>
      <c r="I703">
        <v>0</v>
      </c>
      <c r="J703" s="1" t="s">
        <v>1704</v>
      </c>
      <c r="K703" s="1" t="s">
        <v>22</v>
      </c>
      <c r="L703">
        <v>102</v>
      </c>
      <c r="M703" s="4">
        <v>7.0833333333333331E-2</v>
      </c>
      <c r="N703" s="10">
        <v>41.52</v>
      </c>
      <c r="O703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703" s="10">
        <f>Clients_chun_clean[[#This Row],[Facture_Mensuelle]]*Clients_chun_clean[[#This Row],[Remise]]</f>
        <v>0</v>
      </c>
      <c r="Q703">
        <v>0</v>
      </c>
    </row>
    <row r="704" spans="1:17" x14ac:dyDescent="0.25">
      <c r="A704" s="1" t="s">
        <v>750</v>
      </c>
      <c r="B704" s="1" t="s">
        <v>755</v>
      </c>
      <c r="C704" s="1" t="s">
        <v>26</v>
      </c>
      <c r="D704" s="1" t="str">
        <f>VLOOKUP(Clients_chun_clean[[#This Row],[Province_Client]],Master_Logs_reseau_registre!B704:F1775,2,0)</f>
        <v>ANT-0507</v>
      </c>
      <c r="E704" s="1" t="s">
        <v>1506</v>
      </c>
      <c r="F704" s="1" t="s">
        <v>1507</v>
      </c>
      <c r="G704" s="1" t="s">
        <v>808</v>
      </c>
      <c r="H704">
        <v>8</v>
      </c>
      <c r="I704">
        <v>0</v>
      </c>
      <c r="J704" s="1" t="s">
        <v>1704</v>
      </c>
      <c r="K704" s="1" t="s">
        <v>19</v>
      </c>
      <c r="L704">
        <v>171</v>
      </c>
      <c r="M704" s="4">
        <v>0.11874999999999999</v>
      </c>
      <c r="N704" s="10">
        <v>52.98</v>
      </c>
      <c r="O704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704" s="10">
        <f>Clients_chun_clean[[#This Row],[Facture_Mensuelle]]*Clients_chun_clean[[#This Row],[Remise]]</f>
        <v>0</v>
      </c>
      <c r="Q704">
        <v>0</v>
      </c>
    </row>
    <row r="705" spans="1:17" x14ac:dyDescent="0.25">
      <c r="A705" s="1" t="s">
        <v>750</v>
      </c>
      <c r="B705" s="1" t="s">
        <v>756</v>
      </c>
      <c r="C705" s="1" t="s">
        <v>131</v>
      </c>
      <c r="D705" s="1" t="str">
        <f>VLOOKUP(Clients_chun_clean[[#This Row],[Province_Client]],Master_Logs_reseau_registre!B705:F1776,2,0)</f>
        <v>ANT-0045</v>
      </c>
      <c r="E705" s="1" t="s">
        <v>1503</v>
      </c>
      <c r="F705" s="1" t="s">
        <v>1509</v>
      </c>
      <c r="G705" s="1" t="s">
        <v>808</v>
      </c>
      <c r="H705">
        <v>79</v>
      </c>
      <c r="I705">
        <v>6</v>
      </c>
      <c r="J705" s="1" t="s">
        <v>1704</v>
      </c>
      <c r="K705" s="1" t="s">
        <v>11</v>
      </c>
      <c r="L705">
        <v>454</v>
      </c>
      <c r="M705" s="4">
        <v>0.31527777777777777</v>
      </c>
      <c r="N705" s="10">
        <v>80.34</v>
      </c>
      <c r="O705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705" s="10">
        <f>Clients_chun_clean[[#This Row],[Facture_Mensuelle]]*Clients_chun_clean[[#This Row],[Remise]]</f>
        <v>36.153000000000006</v>
      </c>
      <c r="Q705">
        <v>2</v>
      </c>
    </row>
    <row r="706" spans="1:17" x14ac:dyDescent="0.25">
      <c r="A706" s="1" t="s">
        <v>750</v>
      </c>
      <c r="B706" s="1" t="s">
        <v>757</v>
      </c>
      <c r="C706" s="1" t="s">
        <v>26</v>
      </c>
      <c r="D706" s="1" t="str">
        <f>VLOOKUP(Clients_chun_clean[[#This Row],[Province_Client]],Master_Logs_reseau_registre!B706:F1777,2,0)</f>
        <v>ANT-0507</v>
      </c>
      <c r="E706" s="1" t="s">
        <v>1506</v>
      </c>
      <c r="F706" s="1" t="s">
        <v>1507</v>
      </c>
      <c r="G706" s="1" t="s">
        <v>808</v>
      </c>
      <c r="H706">
        <v>33</v>
      </c>
      <c r="I706">
        <v>2</v>
      </c>
      <c r="J706" s="1" t="s">
        <v>1705</v>
      </c>
      <c r="K706" s="1" t="s">
        <v>14</v>
      </c>
      <c r="L706">
        <v>391</v>
      </c>
      <c r="M706" s="4">
        <v>0.27152777777777776</v>
      </c>
      <c r="N706" s="10">
        <v>88.88</v>
      </c>
      <c r="O706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706" s="10">
        <f>Clients_chun_clean[[#This Row],[Facture_Mensuelle]]*Clients_chun_clean[[#This Row],[Remise]]</f>
        <v>39.996000000000002</v>
      </c>
      <c r="Q706">
        <v>4</v>
      </c>
    </row>
    <row r="707" spans="1:17" x14ac:dyDescent="0.25">
      <c r="A707" s="1" t="s">
        <v>750</v>
      </c>
      <c r="B707" s="1" t="s">
        <v>758</v>
      </c>
      <c r="C707" s="1" t="s">
        <v>31</v>
      </c>
      <c r="D707" s="1" t="str">
        <f>VLOOKUP(Clients_chun_clean[[#This Row],[Province_Client]],Master_Logs_reseau_registre!B707:F1778,2,0)</f>
        <v>ANT-0714</v>
      </c>
      <c r="E707" s="1" t="s">
        <v>1508</v>
      </c>
      <c r="F707" s="1" t="s">
        <v>1516</v>
      </c>
      <c r="G707" s="1" t="s">
        <v>813</v>
      </c>
      <c r="H707">
        <v>15</v>
      </c>
      <c r="I707">
        <v>1</v>
      </c>
      <c r="J707" s="1" t="s">
        <v>1704</v>
      </c>
      <c r="K707" s="1" t="s">
        <v>19</v>
      </c>
      <c r="L707">
        <v>30</v>
      </c>
      <c r="M707" s="4">
        <v>2.0833333333333332E-2</v>
      </c>
      <c r="N707" s="10">
        <v>30.5</v>
      </c>
      <c r="O707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707" s="10">
        <f>Clients_chun_clean[[#This Row],[Facture_Mensuelle]]*Clients_chun_clean[[#This Row],[Remise]]</f>
        <v>0</v>
      </c>
      <c r="Q707">
        <v>1</v>
      </c>
    </row>
    <row r="708" spans="1:17" x14ac:dyDescent="0.25">
      <c r="A708" s="1" t="s">
        <v>750</v>
      </c>
      <c r="B708" s="1" t="s">
        <v>759</v>
      </c>
      <c r="C708" s="1" t="s">
        <v>13</v>
      </c>
      <c r="D708" s="1" t="str">
        <f>VLOOKUP(Clients_chun_clean[[#This Row],[Province_Client]],Master_Logs_reseau_registre!B708:F1779,2,0)</f>
        <v>ANT-0287</v>
      </c>
      <c r="E708" s="1" t="s">
        <v>1503</v>
      </c>
      <c r="F708" s="1" t="s">
        <v>1504</v>
      </c>
      <c r="G708" s="1" t="s">
        <v>808</v>
      </c>
      <c r="H708">
        <v>5</v>
      </c>
      <c r="I708">
        <v>0</v>
      </c>
      <c r="J708" s="1" t="s">
        <v>1704</v>
      </c>
      <c r="K708" s="1" t="s">
        <v>11</v>
      </c>
      <c r="L708">
        <v>71</v>
      </c>
      <c r="M708" s="4">
        <v>4.9305555555555554E-2</v>
      </c>
      <c r="N708" s="10">
        <v>93.81</v>
      </c>
      <c r="O708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708" s="10">
        <f>Clients_chun_clean[[#This Row],[Facture_Mensuelle]]*Clients_chun_clean[[#This Row],[Remise]]</f>
        <v>42.214500000000001</v>
      </c>
      <c r="Q708">
        <v>3</v>
      </c>
    </row>
    <row r="709" spans="1:17" x14ac:dyDescent="0.25">
      <c r="A709" s="1" t="s">
        <v>750</v>
      </c>
      <c r="B709" s="1" t="s">
        <v>760</v>
      </c>
      <c r="C709" s="1" t="s">
        <v>29</v>
      </c>
      <c r="D709" s="1" t="str">
        <f>VLOOKUP(Clients_chun_clean[[#This Row],[Province_Client]],Master_Logs_reseau_registre!B709:F1780,2,0)</f>
        <v>ANT-0985</v>
      </c>
      <c r="E709" s="1" t="s">
        <v>1503</v>
      </c>
      <c r="F709" s="1" t="s">
        <v>1504</v>
      </c>
      <c r="G709" s="1" t="s">
        <v>808</v>
      </c>
      <c r="H709">
        <v>109</v>
      </c>
      <c r="I709">
        <v>9</v>
      </c>
      <c r="J709" s="1" t="s">
        <v>1704</v>
      </c>
      <c r="K709" s="1" t="s">
        <v>22</v>
      </c>
      <c r="L709">
        <v>104</v>
      </c>
      <c r="M709" s="4">
        <v>7.2222222222222215E-2</v>
      </c>
      <c r="N709" s="10">
        <v>12.37</v>
      </c>
      <c r="O709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709" s="10">
        <f>Clients_chun_clean[[#This Row],[Facture_Mensuelle]]*Clients_chun_clean[[#This Row],[Remise]]</f>
        <v>0</v>
      </c>
      <c r="Q709">
        <v>5</v>
      </c>
    </row>
    <row r="710" spans="1:17" x14ac:dyDescent="0.25">
      <c r="A710" s="1" t="s">
        <v>750</v>
      </c>
      <c r="B710" s="1" t="s">
        <v>761</v>
      </c>
      <c r="C710" s="1" t="s">
        <v>89</v>
      </c>
      <c r="D710" s="1" t="str">
        <f>VLOOKUP(Clients_chun_clean[[#This Row],[Province_Client]],Master_Logs_reseau_registre!B710:F1781,2,0)</f>
        <v>ANT-0194</v>
      </c>
      <c r="E710" s="1" t="s">
        <v>1508</v>
      </c>
      <c r="F710" s="1" t="s">
        <v>1516</v>
      </c>
      <c r="G710" s="1" t="s">
        <v>813</v>
      </c>
      <c r="H710">
        <v>96</v>
      </c>
      <c r="I710">
        <v>8</v>
      </c>
      <c r="J710" s="1" t="s">
        <v>1705</v>
      </c>
      <c r="K710" s="1" t="s">
        <v>14</v>
      </c>
      <c r="L710">
        <v>280</v>
      </c>
      <c r="M710" s="4">
        <v>0.19444444444444445</v>
      </c>
      <c r="N710" s="10">
        <v>80.36</v>
      </c>
      <c r="O710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710" s="10">
        <f>Clients_chun_clean[[#This Row],[Facture_Mensuelle]]*Clients_chun_clean[[#This Row],[Remise]]</f>
        <v>36.161999999999999</v>
      </c>
      <c r="Q710">
        <v>5</v>
      </c>
    </row>
    <row r="711" spans="1:17" x14ac:dyDescent="0.25">
      <c r="A711" s="1" t="s">
        <v>750</v>
      </c>
      <c r="B711" s="1" t="s">
        <v>762</v>
      </c>
      <c r="C711" s="1" t="s">
        <v>37</v>
      </c>
      <c r="D711" s="1" t="str">
        <f>VLOOKUP(Clients_chun_clean[[#This Row],[Province_Client]],Master_Logs_reseau_registre!B711:F1782,2,0)</f>
        <v>ANT-0721</v>
      </c>
      <c r="E711" s="1" t="s">
        <v>1506</v>
      </c>
      <c r="F711" s="1" t="s">
        <v>1507</v>
      </c>
      <c r="G711" s="1" t="s">
        <v>808</v>
      </c>
      <c r="H711">
        <v>10</v>
      </c>
      <c r="I711">
        <v>0</v>
      </c>
      <c r="J711" s="1" t="s">
        <v>1704</v>
      </c>
      <c r="K711" s="1" t="s">
        <v>22</v>
      </c>
      <c r="L711">
        <v>418</v>
      </c>
      <c r="M711" s="4">
        <v>0.2902777777777778</v>
      </c>
      <c r="N711" s="10">
        <v>27.66</v>
      </c>
      <c r="O711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711" s="10">
        <f>Clients_chun_clean[[#This Row],[Facture_Mensuelle]]*Clients_chun_clean[[#This Row],[Remise]]</f>
        <v>12.447000000000001</v>
      </c>
      <c r="Q711">
        <v>2</v>
      </c>
    </row>
    <row r="712" spans="1:17" x14ac:dyDescent="0.25">
      <c r="A712" s="1" t="s">
        <v>750</v>
      </c>
      <c r="B712" s="1" t="s">
        <v>763</v>
      </c>
      <c r="C712" s="1" t="s">
        <v>73</v>
      </c>
      <c r="D712" s="1" t="str">
        <f>VLOOKUP(Clients_chun_clean[[#This Row],[Province_Client]],Master_Logs_reseau_registre!B712:F1783,2,0)</f>
        <v>ANT-0096</v>
      </c>
      <c r="E712" s="1" t="s">
        <v>1508</v>
      </c>
      <c r="F712" s="1" t="s">
        <v>1509</v>
      </c>
      <c r="G712" s="1" t="s">
        <v>813</v>
      </c>
      <c r="H712">
        <v>57</v>
      </c>
      <c r="I712">
        <v>4</v>
      </c>
      <c r="J712" s="1" t="s">
        <v>1704</v>
      </c>
      <c r="K712" s="1" t="s">
        <v>22</v>
      </c>
      <c r="L712">
        <v>375</v>
      </c>
      <c r="M712" s="4">
        <v>0.26041666666666669</v>
      </c>
      <c r="N712" s="10">
        <v>64.73</v>
      </c>
      <c r="O712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712" s="10">
        <f>Clients_chun_clean[[#This Row],[Facture_Mensuelle]]*Clients_chun_clean[[#This Row],[Remise]]</f>
        <v>29.128500000000003</v>
      </c>
      <c r="Q712">
        <v>1</v>
      </c>
    </row>
    <row r="713" spans="1:17" x14ac:dyDescent="0.25">
      <c r="A713" s="1" t="s">
        <v>750</v>
      </c>
      <c r="B713" s="1" t="s">
        <v>764</v>
      </c>
      <c r="C713" s="1" t="s">
        <v>137</v>
      </c>
      <c r="D713" s="1" t="str">
        <f>VLOOKUP(Clients_chun_clean[[#This Row],[Province_Client]],Master_Logs_reseau_registre!B713:F1784,2,0)</f>
        <v>ANT-0446</v>
      </c>
      <c r="E713" s="1" t="s">
        <v>1506</v>
      </c>
      <c r="F713" s="1" t="s">
        <v>1516</v>
      </c>
      <c r="G713" s="1" t="s">
        <v>813</v>
      </c>
      <c r="H713">
        <v>98</v>
      </c>
      <c r="I713">
        <v>8</v>
      </c>
      <c r="J713" s="1" t="s">
        <v>1705</v>
      </c>
      <c r="K713" s="1" t="s">
        <v>14</v>
      </c>
      <c r="L713">
        <v>168</v>
      </c>
      <c r="M713" s="4">
        <v>0.11666666666666667</v>
      </c>
      <c r="N713" s="10">
        <v>44.14</v>
      </c>
      <c r="O713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713" s="10">
        <f>Clients_chun_clean[[#This Row],[Facture_Mensuelle]]*Clients_chun_clean[[#This Row],[Remise]]</f>
        <v>4.4140000000000006</v>
      </c>
      <c r="Q713">
        <v>3</v>
      </c>
    </row>
    <row r="714" spans="1:17" x14ac:dyDescent="0.25">
      <c r="A714" s="1" t="s">
        <v>750</v>
      </c>
      <c r="B714" s="1" t="s">
        <v>765</v>
      </c>
      <c r="C714" s="1" t="s">
        <v>13</v>
      </c>
      <c r="D714" s="1" t="str">
        <f>VLOOKUP(Clients_chun_clean[[#This Row],[Province_Client]],Master_Logs_reseau_registre!B714:F1785,2,0)</f>
        <v>ANT-0287</v>
      </c>
      <c r="E714" s="1" t="s">
        <v>1503</v>
      </c>
      <c r="F714" s="1" t="s">
        <v>1516</v>
      </c>
      <c r="G714" s="1" t="s">
        <v>813</v>
      </c>
      <c r="H714">
        <v>48</v>
      </c>
      <c r="I714">
        <v>4</v>
      </c>
      <c r="J714" s="1" t="s">
        <v>1704</v>
      </c>
      <c r="K714" s="1" t="s">
        <v>11</v>
      </c>
      <c r="L714">
        <v>473</v>
      </c>
      <c r="M714" s="4">
        <v>0.32847222222222222</v>
      </c>
      <c r="N714" s="10">
        <v>71.52</v>
      </c>
      <c r="O714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714" s="10">
        <f>Clients_chun_clean[[#This Row],[Facture_Mensuelle]]*Clients_chun_clean[[#This Row],[Remise]]</f>
        <v>32.183999999999997</v>
      </c>
      <c r="Q714">
        <v>5</v>
      </c>
    </row>
    <row r="715" spans="1:17" x14ac:dyDescent="0.25">
      <c r="A715" s="1" t="s">
        <v>750</v>
      </c>
      <c r="B715" s="1" t="s">
        <v>766</v>
      </c>
      <c r="C715" s="1" t="s">
        <v>73</v>
      </c>
      <c r="D715" s="1" t="str">
        <f>VLOOKUP(Clients_chun_clean[[#This Row],[Province_Client]],Master_Logs_reseau_registre!B715:F1786,2,0)</f>
        <v>ANT-0096</v>
      </c>
      <c r="E715" s="1" t="s">
        <v>1508</v>
      </c>
      <c r="F715" s="1" t="s">
        <v>1509</v>
      </c>
      <c r="G715" s="1" t="s">
        <v>813</v>
      </c>
      <c r="H715">
        <v>78</v>
      </c>
      <c r="I715">
        <v>6</v>
      </c>
      <c r="J715" s="1" t="s">
        <v>1704</v>
      </c>
      <c r="K715" s="1" t="s">
        <v>11</v>
      </c>
      <c r="L715">
        <v>387</v>
      </c>
      <c r="M715" s="4">
        <v>0.26874999999999999</v>
      </c>
      <c r="N715" s="10">
        <v>11.63</v>
      </c>
      <c r="O715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715" s="10">
        <f>Clients_chun_clean[[#This Row],[Facture_Mensuelle]]*Clients_chun_clean[[#This Row],[Remise]]</f>
        <v>5.2335000000000003</v>
      </c>
      <c r="Q715">
        <v>2</v>
      </c>
    </row>
    <row r="716" spans="1:17" x14ac:dyDescent="0.25">
      <c r="A716" s="1" t="s">
        <v>750</v>
      </c>
      <c r="B716" s="1" t="s">
        <v>767</v>
      </c>
      <c r="C716" s="1" t="s">
        <v>67</v>
      </c>
      <c r="D716" s="1" t="str">
        <f>VLOOKUP(Clients_chun_clean[[#This Row],[Province_Client]],Master_Logs_reseau_registre!B716:F1787,2,0)</f>
        <v>ANT-0533</v>
      </c>
      <c r="E716" s="1" t="s">
        <v>1508</v>
      </c>
      <c r="F716" s="1" t="s">
        <v>1509</v>
      </c>
      <c r="G716" s="1" t="s">
        <v>811</v>
      </c>
      <c r="H716">
        <v>81</v>
      </c>
      <c r="I716">
        <v>6</v>
      </c>
      <c r="J716" s="1" t="s">
        <v>1704</v>
      </c>
      <c r="K716" s="1" t="s">
        <v>22</v>
      </c>
      <c r="L716">
        <v>339</v>
      </c>
      <c r="M716" s="4">
        <v>0.23541666666666666</v>
      </c>
      <c r="N716" s="10">
        <v>53.4</v>
      </c>
      <c r="O716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716" s="10">
        <f>Clients_chun_clean[[#This Row],[Facture_Mensuelle]]*Clients_chun_clean[[#This Row],[Remise]]</f>
        <v>24.03</v>
      </c>
      <c r="Q716">
        <v>2</v>
      </c>
    </row>
    <row r="717" spans="1:17" x14ac:dyDescent="0.25">
      <c r="A717" s="1" t="s">
        <v>750</v>
      </c>
      <c r="B717" s="1" t="s">
        <v>768</v>
      </c>
      <c r="C717" s="1" t="s">
        <v>44</v>
      </c>
      <c r="D717" s="1" t="str">
        <f>VLOOKUP(Clients_chun_clean[[#This Row],[Province_Client]],Master_Logs_reseau_registre!B717:F1788,2,0)</f>
        <v>ANT-0056</v>
      </c>
      <c r="E717" s="1" t="s">
        <v>1506</v>
      </c>
      <c r="F717" s="1" t="s">
        <v>1516</v>
      </c>
      <c r="G717" s="1" t="s">
        <v>813</v>
      </c>
      <c r="H717">
        <v>108</v>
      </c>
      <c r="I717">
        <v>9</v>
      </c>
      <c r="J717" s="1" t="s">
        <v>1704</v>
      </c>
      <c r="K717" s="1" t="s">
        <v>19</v>
      </c>
      <c r="L717">
        <v>467</v>
      </c>
      <c r="M717" s="4">
        <v>0.32430555555555557</v>
      </c>
      <c r="N717" s="10">
        <v>44.84</v>
      </c>
      <c r="O717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717" s="10">
        <f>Clients_chun_clean[[#This Row],[Facture_Mensuelle]]*Clients_chun_clean[[#This Row],[Remise]]</f>
        <v>20.178000000000001</v>
      </c>
      <c r="Q717">
        <v>4</v>
      </c>
    </row>
    <row r="718" spans="1:17" x14ac:dyDescent="0.25">
      <c r="A718" s="1" t="s">
        <v>750</v>
      </c>
      <c r="B718" s="1" t="s">
        <v>769</v>
      </c>
      <c r="C718" s="1" t="s">
        <v>37</v>
      </c>
      <c r="D718" s="1" t="str">
        <f>VLOOKUP(Clients_chun_clean[[#This Row],[Province_Client]],Master_Logs_reseau_registre!B718:F1789,2,0)</f>
        <v>ANT-0721</v>
      </c>
      <c r="E718" s="1" t="s">
        <v>1506</v>
      </c>
      <c r="F718" s="1" t="s">
        <v>1504</v>
      </c>
      <c r="G718" s="1" t="s">
        <v>811</v>
      </c>
      <c r="H718">
        <v>4</v>
      </c>
      <c r="I718">
        <v>0</v>
      </c>
      <c r="J718" s="1" t="s">
        <v>1705</v>
      </c>
      <c r="K718" s="1" t="s">
        <v>14</v>
      </c>
      <c r="L718">
        <v>449</v>
      </c>
      <c r="M718" s="4">
        <v>0.31180555555555556</v>
      </c>
      <c r="N718" s="10">
        <v>43.95</v>
      </c>
      <c r="O718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718" s="10">
        <f>Clients_chun_clean[[#This Row],[Facture_Mensuelle]]*Clients_chun_clean[[#This Row],[Remise]]</f>
        <v>19.777500000000003</v>
      </c>
      <c r="Q718">
        <v>2</v>
      </c>
    </row>
    <row r="719" spans="1:17" x14ac:dyDescent="0.25">
      <c r="A719" s="1" t="s">
        <v>750</v>
      </c>
      <c r="B719" s="1" t="s">
        <v>770</v>
      </c>
      <c r="C719" s="1" t="s">
        <v>78</v>
      </c>
      <c r="D719" s="1" t="str">
        <f>VLOOKUP(Clients_chun_clean[[#This Row],[Province_Client]],Master_Logs_reseau_registre!B719:F1790,2,0)</f>
        <v>ANT-0407</v>
      </c>
      <c r="E719" s="1" t="s">
        <v>1503</v>
      </c>
      <c r="F719" s="1" t="s">
        <v>1516</v>
      </c>
      <c r="G719" s="1" t="s">
        <v>811</v>
      </c>
      <c r="H719">
        <v>119</v>
      </c>
      <c r="I719">
        <v>9</v>
      </c>
      <c r="J719" s="1" t="s">
        <v>1705</v>
      </c>
      <c r="K719" s="1" t="s">
        <v>14</v>
      </c>
      <c r="L719">
        <v>31</v>
      </c>
      <c r="M719" s="4">
        <v>2.1527777777777778E-2</v>
      </c>
      <c r="N719" s="10">
        <v>21.27</v>
      </c>
      <c r="O719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719" s="10">
        <f>Clients_chun_clean[[#This Row],[Facture_Mensuelle]]*Clients_chun_clean[[#This Row],[Remise]]</f>
        <v>2.1270000000000002</v>
      </c>
      <c r="Q719">
        <v>5</v>
      </c>
    </row>
    <row r="720" spans="1:17" x14ac:dyDescent="0.25">
      <c r="A720" s="1" t="s">
        <v>750</v>
      </c>
      <c r="B720" s="1" t="s">
        <v>771</v>
      </c>
      <c r="C720" s="1" t="s">
        <v>89</v>
      </c>
      <c r="D720" s="1" t="str">
        <f>VLOOKUP(Clients_chun_clean[[#This Row],[Province_Client]],Master_Logs_reseau_registre!B720:F1791,2,0)</f>
        <v>ANT-0607</v>
      </c>
      <c r="E720" s="1" t="s">
        <v>1506</v>
      </c>
      <c r="F720" s="1" t="s">
        <v>1507</v>
      </c>
      <c r="G720" s="1" t="s">
        <v>811</v>
      </c>
      <c r="H720">
        <v>23</v>
      </c>
      <c r="I720">
        <v>1</v>
      </c>
      <c r="J720" s="1" t="s">
        <v>1705</v>
      </c>
      <c r="K720" s="1" t="s">
        <v>14</v>
      </c>
      <c r="L720">
        <v>120</v>
      </c>
      <c r="M720" s="4">
        <v>8.3333333333333329E-2</v>
      </c>
      <c r="N720" s="10">
        <v>73.12</v>
      </c>
      <c r="O720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720" s="10">
        <f>Clients_chun_clean[[#This Row],[Facture_Mensuelle]]*Clients_chun_clean[[#This Row],[Remise]]</f>
        <v>7.3120000000000012</v>
      </c>
      <c r="Q720">
        <v>1</v>
      </c>
    </row>
    <row r="721" spans="1:17" x14ac:dyDescent="0.25">
      <c r="A721" s="1" t="s">
        <v>750</v>
      </c>
      <c r="B721" s="1" t="s">
        <v>772</v>
      </c>
      <c r="C721" s="1" t="s">
        <v>89</v>
      </c>
      <c r="D721" s="1" t="str">
        <f>VLOOKUP(Clients_chun_clean[[#This Row],[Province_Client]],Master_Logs_reseau_registre!B721:F1792,2,0)</f>
        <v>ANT-0607</v>
      </c>
      <c r="E721" s="1" t="s">
        <v>1506</v>
      </c>
      <c r="F721" s="1" t="s">
        <v>1507</v>
      </c>
      <c r="G721" s="1" t="s">
        <v>811</v>
      </c>
      <c r="H721">
        <v>42</v>
      </c>
      <c r="I721">
        <v>3</v>
      </c>
      <c r="J721" s="1" t="s">
        <v>1704</v>
      </c>
      <c r="K721" s="1" t="s">
        <v>19</v>
      </c>
      <c r="L721">
        <v>252</v>
      </c>
      <c r="M721" s="4">
        <v>0.17499999999999999</v>
      </c>
      <c r="N721" s="10">
        <v>59.46</v>
      </c>
      <c r="O721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721" s="10">
        <f>Clients_chun_clean[[#This Row],[Facture_Mensuelle]]*Clients_chun_clean[[#This Row],[Remise]]</f>
        <v>26.757000000000001</v>
      </c>
      <c r="Q721">
        <v>4</v>
      </c>
    </row>
    <row r="722" spans="1:17" x14ac:dyDescent="0.25">
      <c r="A722" s="1" t="s">
        <v>750</v>
      </c>
      <c r="B722" s="1" t="s">
        <v>773</v>
      </c>
      <c r="C722" s="1" t="s">
        <v>21</v>
      </c>
      <c r="D722" s="1" t="str">
        <f>VLOOKUP(Clients_chun_clean[[#This Row],[Province_Client]],Master_Logs_reseau_registre!B722:F1793,2,0)</f>
        <v>ANT-0813</v>
      </c>
      <c r="E722" s="1" t="s">
        <v>1508</v>
      </c>
      <c r="F722" s="1" t="s">
        <v>1509</v>
      </c>
      <c r="G722" s="1" t="s">
        <v>811</v>
      </c>
      <c r="H722">
        <v>14</v>
      </c>
      <c r="I722">
        <v>1</v>
      </c>
      <c r="J722" s="1" t="s">
        <v>1704</v>
      </c>
      <c r="K722" s="1" t="s">
        <v>19</v>
      </c>
      <c r="L722">
        <v>37</v>
      </c>
      <c r="M722" s="4">
        <v>2.5694444444444443E-2</v>
      </c>
      <c r="N722" s="10">
        <v>20.399999999999999</v>
      </c>
      <c r="O722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722" s="10">
        <f>Clients_chun_clean[[#This Row],[Facture_Mensuelle]]*Clients_chun_clean[[#This Row],[Remise]]</f>
        <v>0</v>
      </c>
      <c r="Q722">
        <v>2</v>
      </c>
    </row>
    <row r="723" spans="1:17" x14ac:dyDescent="0.25">
      <c r="A723" s="1" t="s">
        <v>750</v>
      </c>
      <c r="B723" s="1" t="s">
        <v>774</v>
      </c>
      <c r="C723" s="1" t="s">
        <v>89</v>
      </c>
      <c r="D723" s="1" t="str">
        <f>VLOOKUP(Clients_chun_clean[[#This Row],[Province_Client]],Master_Logs_reseau_registre!B723:F1794,2,0)</f>
        <v>ANT-0607</v>
      </c>
      <c r="E723" s="1" t="s">
        <v>1506</v>
      </c>
      <c r="F723" s="1" t="s">
        <v>1507</v>
      </c>
      <c r="G723" s="1" t="s">
        <v>811</v>
      </c>
      <c r="H723">
        <v>90</v>
      </c>
      <c r="I723">
        <v>7</v>
      </c>
      <c r="J723" s="1" t="s">
        <v>1704</v>
      </c>
      <c r="K723" s="1" t="s">
        <v>22</v>
      </c>
      <c r="L723">
        <v>412</v>
      </c>
      <c r="M723" s="4">
        <v>0.28611111111111109</v>
      </c>
      <c r="N723" s="10">
        <v>20.62</v>
      </c>
      <c r="O723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723" s="10">
        <f>Clients_chun_clean[[#This Row],[Facture_Mensuelle]]*Clients_chun_clean[[#This Row],[Remise]]</f>
        <v>9.2789999999999999</v>
      </c>
      <c r="Q723">
        <v>2</v>
      </c>
    </row>
    <row r="724" spans="1:17" x14ac:dyDescent="0.25">
      <c r="A724" s="1" t="s">
        <v>750</v>
      </c>
      <c r="B724" s="1" t="s">
        <v>775</v>
      </c>
      <c r="C724" s="1" t="s">
        <v>31</v>
      </c>
      <c r="D724" s="1" t="str">
        <f>VLOOKUP(Clients_chun_clean[[#This Row],[Province_Client]],Master_Logs_reseau_registre!B724:F1795,2,0)</f>
        <v>ANT-0714</v>
      </c>
      <c r="E724" s="1" t="s">
        <v>1508</v>
      </c>
      <c r="F724" s="1" t="s">
        <v>1516</v>
      </c>
      <c r="G724" s="1" t="s">
        <v>811</v>
      </c>
      <c r="H724">
        <v>58</v>
      </c>
      <c r="I724">
        <v>4</v>
      </c>
      <c r="J724" s="1" t="s">
        <v>1704</v>
      </c>
      <c r="K724" s="1" t="s">
        <v>11</v>
      </c>
      <c r="L724">
        <v>485</v>
      </c>
      <c r="M724" s="4">
        <v>0.33680555555555558</v>
      </c>
      <c r="N724" s="10">
        <v>65.41</v>
      </c>
      <c r="O724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724" s="10">
        <f>Clients_chun_clean[[#This Row],[Facture_Mensuelle]]*Clients_chun_clean[[#This Row],[Remise]]</f>
        <v>29.4345</v>
      </c>
      <c r="Q724">
        <v>5</v>
      </c>
    </row>
    <row r="725" spans="1:17" x14ac:dyDescent="0.25">
      <c r="A725" s="1" t="s">
        <v>750</v>
      </c>
      <c r="B725" s="1" t="s">
        <v>776</v>
      </c>
      <c r="C725" s="1" t="s">
        <v>131</v>
      </c>
      <c r="D725" s="1" t="str">
        <f>VLOOKUP(Clients_chun_clean[[#This Row],[Province_Client]],Master_Logs_reseau_registre!B725:F1796,2,0)</f>
        <v>ANT-0045</v>
      </c>
      <c r="E725" s="1" t="s">
        <v>1503</v>
      </c>
      <c r="F725" s="1" t="s">
        <v>1516</v>
      </c>
      <c r="G725" s="1" t="s">
        <v>811</v>
      </c>
      <c r="H725">
        <v>49</v>
      </c>
      <c r="I725">
        <v>4</v>
      </c>
      <c r="J725" s="1" t="s">
        <v>1704</v>
      </c>
      <c r="K725" s="1" t="s">
        <v>19</v>
      </c>
      <c r="L725">
        <v>288</v>
      </c>
      <c r="M725" s="4">
        <v>0.2</v>
      </c>
      <c r="N725" s="10">
        <v>91.32</v>
      </c>
      <c r="O725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725" s="10">
        <f>Clients_chun_clean[[#This Row],[Facture_Mensuelle]]*Clients_chun_clean[[#This Row],[Remise]]</f>
        <v>41.094000000000001</v>
      </c>
      <c r="Q725">
        <v>4</v>
      </c>
    </row>
    <row r="726" spans="1:17" x14ac:dyDescent="0.25">
      <c r="A726" s="1" t="s">
        <v>750</v>
      </c>
      <c r="B726" s="1" t="s">
        <v>777</v>
      </c>
      <c r="C726" s="1" t="s">
        <v>40</v>
      </c>
      <c r="D726" s="1" t="str">
        <f>VLOOKUP(Clients_chun_clean[[#This Row],[Province_Client]],Master_Logs_reseau_registre!B726:F1797,2,0)</f>
        <v>ANT-0134</v>
      </c>
      <c r="E726" s="1" t="s">
        <v>1506</v>
      </c>
      <c r="F726" s="1" t="s">
        <v>1507</v>
      </c>
      <c r="G726" s="1" t="s">
        <v>811</v>
      </c>
      <c r="H726">
        <v>18</v>
      </c>
      <c r="I726">
        <v>1</v>
      </c>
      <c r="J726" s="1" t="s">
        <v>1704</v>
      </c>
      <c r="K726" s="1" t="s">
        <v>19</v>
      </c>
      <c r="L726">
        <v>463</v>
      </c>
      <c r="M726" s="4">
        <v>0.3215277777777778</v>
      </c>
      <c r="N726" s="10">
        <v>41.66</v>
      </c>
      <c r="O726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726" s="10">
        <f>Clients_chun_clean[[#This Row],[Facture_Mensuelle]]*Clients_chun_clean[[#This Row],[Remise]]</f>
        <v>18.747</v>
      </c>
      <c r="Q726">
        <v>4</v>
      </c>
    </row>
    <row r="727" spans="1:17" x14ac:dyDescent="0.25">
      <c r="A727" s="1" t="s">
        <v>750</v>
      </c>
      <c r="B727" s="1" t="s">
        <v>778</v>
      </c>
      <c r="C727" s="1" t="s">
        <v>62</v>
      </c>
      <c r="D727" s="1" t="str">
        <f>VLOOKUP(Clients_chun_clean[[#This Row],[Province_Client]],Master_Logs_reseau_registre!B727:F1798,2,0)</f>
        <v>ANT-0718</v>
      </c>
      <c r="E727" s="1" t="s">
        <v>1508</v>
      </c>
      <c r="F727" s="1" t="s">
        <v>1516</v>
      </c>
      <c r="G727" s="1" t="s">
        <v>811</v>
      </c>
      <c r="H727">
        <v>82</v>
      </c>
      <c r="I727">
        <v>6</v>
      </c>
      <c r="J727" s="1" t="s">
        <v>1705</v>
      </c>
      <c r="K727" s="1" t="s">
        <v>14</v>
      </c>
      <c r="L727">
        <v>312</v>
      </c>
      <c r="M727" s="4">
        <v>0.21666666666666667</v>
      </c>
      <c r="N727" s="10">
        <v>40.880000000000003</v>
      </c>
      <c r="O727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727" s="10">
        <f>Clients_chun_clean[[#This Row],[Facture_Mensuelle]]*Clients_chun_clean[[#This Row],[Remise]]</f>
        <v>18.396000000000001</v>
      </c>
      <c r="Q727">
        <v>0</v>
      </c>
    </row>
    <row r="728" spans="1:17" x14ac:dyDescent="0.25">
      <c r="A728" s="1" t="s">
        <v>750</v>
      </c>
      <c r="B728" s="1" t="s">
        <v>779</v>
      </c>
      <c r="C728" s="1" t="s">
        <v>64</v>
      </c>
      <c r="D728" s="1" t="str">
        <f>VLOOKUP(Clients_chun_clean[[#This Row],[Province_Client]],Master_Logs_reseau_registre!B728:F1799,2,0)</f>
        <v>ANT-0029</v>
      </c>
      <c r="E728" s="1" t="s">
        <v>1508</v>
      </c>
      <c r="F728" s="1" t="s">
        <v>1516</v>
      </c>
      <c r="G728" s="1" t="s">
        <v>811</v>
      </c>
      <c r="H728">
        <v>74</v>
      </c>
      <c r="I728">
        <v>6</v>
      </c>
      <c r="J728" s="1" t="s">
        <v>1704</v>
      </c>
      <c r="K728" s="1" t="s">
        <v>22</v>
      </c>
      <c r="L728">
        <v>359</v>
      </c>
      <c r="M728" s="4">
        <v>0.24930555555555556</v>
      </c>
      <c r="N728" s="10">
        <v>92.63</v>
      </c>
      <c r="O728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728" s="10">
        <f>Clients_chun_clean[[#This Row],[Facture_Mensuelle]]*Clients_chun_clean[[#This Row],[Remise]]</f>
        <v>41.683500000000002</v>
      </c>
      <c r="Q728">
        <v>0</v>
      </c>
    </row>
    <row r="729" spans="1:17" x14ac:dyDescent="0.25">
      <c r="A729" s="1" t="s">
        <v>750</v>
      </c>
      <c r="B729" s="1" t="s">
        <v>780</v>
      </c>
      <c r="C729" s="1" t="s">
        <v>18</v>
      </c>
      <c r="D729" s="1" t="str">
        <f>VLOOKUP(Clients_chun_clean[[#This Row],[Province_Client]],Master_Logs_reseau_registre!B729:F1800,2,0)</f>
        <v>ANT-0957</v>
      </c>
      <c r="E729" s="1" t="s">
        <v>1506</v>
      </c>
      <c r="F729" s="1" t="s">
        <v>1504</v>
      </c>
      <c r="G729" s="1" t="s">
        <v>808</v>
      </c>
      <c r="H729">
        <v>72</v>
      </c>
      <c r="I729">
        <v>6</v>
      </c>
      <c r="J729" s="1" t="s">
        <v>1704</v>
      </c>
      <c r="K729" s="1" t="s">
        <v>19</v>
      </c>
      <c r="L729">
        <v>427</v>
      </c>
      <c r="M729" s="4">
        <v>0.29652777777777778</v>
      </c>
      <c r="N729" s="10">
        <v>31.44</v>
      </c>
      <c r="O729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729" s="10">
        <f>Clients_chun_clean[[#This Row],[Facture_Mensuelle]]*Clients_chun_clean[[#This Row],[Remise]]</f>
        <v>14.148000000000001</v>
      </c>
      <c r="Q729">
        <v>2</v>
      </c>
    </row>
    <row r="730" spans="1:17" x14ac:dyDescent="0.25">
      <c r="A730" s="1" t="s">
        <v>750</v>
      </c>
      <c r="B730" s="1" t="s">
        <v>781</v>
      </c>
      <c r="C730" s="1" t="s">
        <v>29</v>
      </c>
      <c r="D730" s="1" t="str">
        <f>VLOOKUP(Clients_chun_clean[[#This Row],[Province_Client]],Master_Logs_reseau_registre!B730:F1801,2,0)</f>
        <v>ANT-0985</v>
      </c>
      <c r="E730" s="1" t="s">
        <v>1503</v>
      </c>
      <c r="F730" s="1" t="s">
        <v>1516</v>
      </c>
      <c r="G730" s="1" t="s">
        <v>811</v>
      </c>
      <c r="H730">
        <v>26</v>
      </c>
      <c r="I730">
        <v>2</v>
      </c>
      <c r="J730" s="1" t="s">
        <v>1704</v>
      </c>
      <c r="K730" s="1" t="s">
        <v>11</v>
      </c>
      <c r="L730">
        <v>391</v>
      </c>
      <c r="M730" s="4">
        <v>0.27152777777777776</v>
      </c>
      <c r="N730" s="10">
        <v>18.28</v>
      </c>
      <c r="O730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730" s="10">
        <f>Clients_chun_clean[[#This Row],[Facture_Mensuelle]]*Clients_chun_clean[[#This Row],[Remise]]</f>
        <v>8.2260000000000009</v>
      </c>
      <c r="Q730">
        <v>3</v>
      </c>
    </row>
    <row r="731" spans="1:17" x14ac:dyDescent="0.25">
      <c r="A731" s="1" t="s">
        <v>750</v>
      </c>
      <c r="B731" s="1" t="s">
        <v>782</v>
      </c>
      <c r="C731" s="1" t="s">
        <v>57</v>
      </c>
      <c r="D731" s="1" t="str">
        <f>VLOOKUP(Clients_chun_clean[[#This Row],[Province_Client]],Master_Logs_reseau_registre!B731:F1802,2,0)</f>
        <v>ANT-0066</v>
      </c>
      <c r="E731" s="1" t="s">
        <v>1503</v>
      </c>
      <c r="F731" s="1" t="s">
        <v>1516</v>
      </c>
      <c r="G731" s="1" t="s">
        <v>811</v>
      </c>
      <c r="H731">
        <v>26</v>
      </c>
      <c r="I731">
        <v>2</v>
      </c>
      <c r="J731" s="1" t="s">
        <v>1704</v>
      </c>
      <c r="K731" s="1" t="s">
        <v>19</v>
      </c>
      <c r="L731">
        <v>413</v>
      </c>
      <c r="M731" s="4">
        <v>0.28680555555555554</v>
      </c>
      <c r="N731" s="10">
        <v>10.9</v>
      </c>
      <c r="O731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731" s="10">
        <f>Clients_chun_clean[[#This Row],[Facture_Mensuelle]]*Clients_chun_clean[[#This Row],[Remise]]</f>
        <v>4.9050000000000002</v>
      </c>
      <c r="Q731">
        <v>5</v>
      </c>
    </row>
    <row r="732" spans="1:17" x14ac:dyDescent="0.25">
      <c r="A732" s="1" t="s">
        <v>750</v>
      </c>
      <c r="B732" s="1" t="s">
        <v>783</v>
      </c>
      <c r="C732" s="1" t="s">
        <v>51</v>
      </c>
      <c r="D732" s="1" t="str">
        <f>VLOOKUP(Clients_chun_clean[[#This Row],[Province_Client]],Master_Logs_reseau_registre!B732:F1803,2,0)</f>
        <v>ANT-0430</v>
      </c>
      <c r="E732" s="1" t="s">
        <v>1506</v>
      </c>
      <c r="F732" s="1" t="s">
        <v>1504</v>
      </c>
      <c r="G732" s="1" t="s">
        <v>808</v>
      </c>
      <c r="H732">
        <v>33</v>
      </c>
      <c r="I732">
        <v>2</v>
      </c>
      <c r="J732" s="1" t="s">
        <v>1704</v>
      </c>
      <c r="K732" s="1" t="s">
        <v>22</v>
      </c>
      <c r="L732">
        <v>18</v>
      </c>
      <c r="M732" s="4">
        <v>1.2500000000000001E-2</v>
      </c>
      <c r="N732" s="10">
        <v>47.18</v>
      </c>
      <c r="O732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732" s="10">
        <f>Clients_chun_clean[[#This Row],[Facture_Mensuelle]]*Clients_chun_clean[[#This Row],[Remise]]</f>
        <v>0</v>
      </c>
      <c r="Q732">
        <v>4</v>
      </c>
    </row>
    <row r="733" spans="1:17" x14ac:dyDescent="0.25">
      <c r="A733" s="1" t="s">
        <v>750</v>
      </c>
      <c r="B733" s="1" t="s">
        <v>784</v>
      </c>
      <c r="C733" s="1" t="s">
        <v>13</v>
      </c>
      <c r="D733" s="1" t="str">
        <f>VLOOKUP(Clients_chun_clean[[#This Row],[Province_Client]],Master_Logs_reseau_registre!B733:F1804,2,0)</f>
        <v>ANT-0287</v>
      </c>
      <c r="E733" s="1" t="s">
        <v>1503</v>
      </c>
      <c r="F733" s="1" t="s">
        <v>1516</v>
      </c>
      <c r="G733" s="1" t="s">
        <v>811</v>
      </c>
      <c r="H733">
        <v>63</v>
      </c>
      <c r="I733">
        <v>5</v>
      </c>
      <c r="J733" s="1" t="s">
        <v>1704</v>
      </c>
      <c r="K733" s="1" t="s">
        <v>11</v>
      </c>
      <c r="L733">
        <v>177</v>
      </c>
      <c r="M733" s="4">
        <v>0.12291666666666666</v>
      </c>
      <c r="N733" s="10">
        <v>77.73</v>
      </c>
      <c r="O733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733" s="10">
        <f>Clients_chun_clean[[#This Row],[Facture_Mensuelle]]*Clients_chun_clean[[#This Row],[Remise]]</f>
        <v>0</v>
      </c>
      <c r="Q733">
        <v>3</v>
      </c>
    </row>
    <row r="734" spans="1:17" x14ac:dyDescent="0.25">
      <c r="A734" s="1" t="s">
        <v>750</v>
      </c>
      <c r="B734" s="1" t="s">
        <v>785</v>
      </c>
      <c r="C734" s="1" t="s">
        <v>51</v>
      </c>
      <c r="D734" s="1" t="str">
        <f>VLOOKUP(Clients_chun_clean[[#This Row],[Province_Client]],Master_Logs_reseau_registre!B734:F1805,2,0)</f>
        <v>ANT-0430</v>
      </c>
      <c r="E734" s="1" t="s">
        <v>1506</v>
      </c>
      <c r="F734" s="1" t="s">
        <v>1504</v>
      </c>
      <c r="G734" s="1" t="s">
        <v>808</v>
      </c>
      <c r="H734">
        <v>57</v>
      </c>
      <c r="I734">
        <v>4</v>
      </c>
      <c r="J734" s="1" t="s">
        <v>1704</v>
      </c>
      <c r="K734" s="1" t="s">
        <v>11</v>
      </c>
      <c r="L734">
        <v>36</v>
      </c>
      <c r="M734" s="4">
        <v>2.5000000000000001E-2</v>
      </c>
      <c r="N734" s="10">
        <v>82.7</v>
      </c>
      <c r="O734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734" s="10">
        <f>Clients_chun_clean[[#This Row],[Facture_Mensuelle]]*Clients_chun_clean[[#This Row],[Remise]]</f>
        <v>37.215000000000003</v>
      </c>
      <c r="Q734">
        <v>2</v>
      </c>
    </row>
    <row r="735" spans="1:17" x14ac:dyDescent="0.25">
      <c r="A735" s="1" t="s">
        <v>750</v>
      </c>
      <c r="B735" s="1" t="s">
        <v>786</v>
      </c>
      <c r="C735" s="1" t="s">
        <v>26</v>
      </c>
      <c r="D735" s="1" t="str">
        <f>VLOOKUP(Clients_chun_clean[[#This Row],[Province_Client]],Master_Logs_reseau_registre!B735:F1806,2,0)</f>
        <v>ANT-0882</v>
      </c>
      <c r="E735" s="1" t="s">
        <v>1503</v>
      </c>
      <c r="F735" s="1" t="s">
        <v>1516</v>
      </c>
      <c r="G735" s="1" t="s">
        <v>811</v>
      </c>
      <c r="H735">
        <v>87</v>
      </c>
      <c r="I735">
        <v>7</v>
      </c>
      <c r="J735" s="1" t="s">
        <v>1705</v>
      </c>
      <c r="K735" s="1" t="s">
        <v>14</v>
      </c>
      <c r="L735">
        <v>486</v>
      </c>
      <c r="M735" s="4">
        <v>0.33750000000000002</v>
      </c>
      <c r="N735" s="10">
        <v>58.26</v>
      </c>
      <c r="O735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735" s="10">
        <f>Clients_chun_clean[[#This Row],[Facture_Mensuelle]]*Clients_chun_clean[[#This Row],[Remise]]</f>
        <v>26.216999999999999</v>
      </c>
      <c r="Q735">
        <v>0</v>
      </c>
    </row>
    <row r="736" spans="1:17" x14ac:dyDescent="0.25">
      <c r="A736" s="1" t="s">
        <v>750</v>
      </c>
      <c r="B736" s="1" t="s">
        <v>787</v>
      </c>
      <c r="C736" s="1" t="s">
        <v>13</v>
      </c>
      <c r="D736" s="1" t="str">
        <f>VLOOKUP(Clients_chun_clean[[#This Row],[Province_Client]],Master_Logs_reseau_registre!B736:F1807,2,0)</f>
        <v>ANT-0287</v>
      </c>
      <c r="E736" s="1" t="s">
        <v>1503</v>
      </c>
      <c r="F736" s="1" t="s">
        <v>1516</v>
      </c>
      <c r="G736" s="1" t="s">
        <v>811</v>
      </c>
      <c r="H736">
        <v>37</v>
      </c>
      <c r="I736">
        <v>3</v>
      </c>
      <c r="J736" s="1" t="s">
        <v>1704</v>
      </c>
      <c r="K736" s="1" t="s">
        <v>11</v>
      </c>
      <c r="L736">
        <v>213</v>
      </c>
      <c r="M736" s="4">
        <v>0.14791666666666667</v>
      </c>
      <c r="N736" s="10">
        <v>14.12</v>
      </c>
      <c r="O736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736" s="10">
        <f>Clients_chun_clean[[#This Row],[Facture_Mensuelle]]*Clients_chun_clean[[#This Row],[Remise]]</f>
        <v>6.3540000000000001</v>
      </c>
      <c r="Q736">
        <v>1</v>
      </c>
    </row>
    <row r="737" spans="1:17" x14ac:dyDescent="0.25">
      <c r="A737" s="1" t="s">
        <v>750</v>
      </c>
      <c r="B737" s="1" t="s">
        <v>788</v>
      </c>
      <c r="C737" s="1" t="s">
        <v>26</v>
      </c>
      <c r="D737" s="1" t="str">
        <f>VLOOKUP(Clients_chun_clean[[#This Row],[Province_Client]],Master_Logs_reseau_registre!B737:F1808,2,0)</f>
        <v>ANT-0882</v>
      </c>
      <c r="E737" s="1" t="s">
        <v>1503</v>
      </c>
      <c r="F737" s="1" t="s">
        <v>1516</v>
      </c>
      <c r="G737" s="1" t="s">
        <v>811</v>
      </c>
      <c r="H737">
        <v>29</v>
      </c>
      <c r="I737">
        <v>2</v>
      </c>
      <c r="J737" s="1" t="s">
        <v>1704</v>
      </c>
      <c r="K737" s="1" t="s">
        <v>19</v>
      </c>
      <c r="L737">
        <v>306</v>
      </c>
      <c r="M737" s="4">
        <v>0.21249999999999999</v>
      </c>
      <c r="N737" s="10">
        <v>82.16</v>
      </c>
      <c r="O737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737" s="10">
        <f>Clients_chun_clean[[#This Row],[Facture_Mensuelle]]*Clients_chun_clean[[#This Row],[Remise]]</f>
        <v>36.972000000000001</v>
      </c>
      <c r="Q737">
        <v>1</v>
      </c>
    </row>
    <row r="738" spans="1:17" x14ac:dyDescent="0.25">
      <c r="A738" s="1" t="s">
        <v>750</v>
      </c>
      <c r="B738" s="1" t="s">
        <v>789</v>
      </c>
      <c r="C738" s="1" t="s">
        <v>78</v>
      </c>
      <c r="D738" s="1" t="str">
        <f>VLOOKUP(Clients_chun_clean[[#This Row],[Province_Client]],Master_Logs_reseau_registre!B738:F1809,2,0)</f>
        <v>ANT-0407</v>
      </c>
      <c r="E738" s="1" t="s">
        <v>1503</v>
      </c>
      <c r="F738" s="1" t="s">
        <v>1516</v>
      </c>
      <c r="G738" s="1" t="s">
        <v>811</v>
      </c>
      <c r="H738">
        <v>26</v>
      </c>
      <c r="I738">
        <v>2</v>
      </c>
      <c r="J738" s="1" t="s">
        <v>1704</v>
      </c>
      <c r="K738" s="1" t="s">
        <v>22</v>
      </c>
      <c r="L738">
        <v>378</v>
      </c>
      <c r="M738" s="4">
        <v>0.26250000000000001</v>
      </c>
      <c r="N738" s="10">
        <v>88.59</v>
      </c>
      <c r="O738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738" s="10">
        <f>Clients_chun_clean[[#This Row],[Facture_Mensuelle]]*Clients_chun_clean[[#This Row],[Remise]]</f>
        <v>39.865500000000004</v>
      </c>
      <c r="Q738">
        <v>4</v>
      </c>
    </row>
    <row r="739" spans="1:17" x14ac:dyDescent="0.25">
      <c r="A739" s="1" t="s">
        <v>750</v>
      </c>
      <c r="B739" s="1" t="s">
        <v>790</v>
      </c>
      <c r="C739" s="1" t="s">
        <v>137</v>
      </c>
      <c r="D739" s="1" t="str">
        <f>VLOOKUP(Clients_chun_clean[[#This Row],[Province_Client]],Master_Logs_reseau_registre!B739:F1810,2,0)</f>
        <v>ANT-0446</v>
      </c>
      <c r="E739" s="1" t="s">
        <v>1506</v>
      </c>
      <c r="F739" s="1" t="s">
        <v>1516</v>
      </c>
      <c r="G739" s="1" t="s">
        <v>813</v>
      </c>
      <c r="H739">
        <v>95</v>
      </c>
      <c r="I739">
        <v>7</v>
      </c>
      <c r="J739" s="1" t="s">
        <v>1704</v>
      </c>
      <c r="K739" s="1" t="s">
        <v>11</v>
      </c>
      <c r="L739">
        <v>313</v>
      </c>
      <c r="M739" s="4">
        <v>0.21736111111111112</v>
      </c>
      <c r="N739" s="10">
        <v>32.49</v>
      </c>
      <c r="O739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739" s="10">
        <f>Clients_chun_clean[[#This Row],[Facture_Mensuelle]]*Clients_chun_clean[[#This Row],[Remise]]</f>
        <v>14.620500000000002</v>
      </c>
      <c r="Q739">
        <v>1</v>
      </c>
    </row>
    <row r="740" spans="1:17" x14ac:dyDescent="0.25">
      <c r="A740" s="1" t="s">
        <v>750</v>
      </c>
      <c r="B740" s="1" t="s">
        <v>791</v>
      </c>
      <c r="C740" s="1" t="s">
        <v>57</v>
      </c>
      <c r="D740" s="1" t="str">
        <f>VLOOKUP(Clients_chun_clean[[#This Row],[Province_Client]],Master_Logs_reseau_registre!B740:F1811,2,0)</f>
        <v>ANT-0066</v>
      </c>
      <c r="E740" s="1" t="s">
        <v>1503</v>
      </c>
      <c r="F740" s="1" t="s">
        <v>1516</v>
      </c>
      <c r="G740" s="1" t="s">
        <v>813</v>
      </c>
      <c r="H740">
        <v>21</v>
      </c>
      <c r="I740">
        <v>1</v>
      </c>
      <c r="J740" s="1" t="s">
        <v>1704</v>
      </c>
      <c r="K740" s="1" t="s">
        <v>19</v>
      </c>
      <c r="L740">
        <v>475</v>
      </c>
      <c r="M740" s="4">
        <v>0.3298611111111111</v>
      </c>
      <c r="N740" s="10">
        <v>15.12</v>
      </c>
      <c r="O740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740" s="10">
        <f>Clients_chun_clean[[#This Row],[Facture_Mensuelle]]*Clients_chun_clean[[#This Row],[Remise]]</f>
        <v>6.8039999999999994</v>
      </c>
      <c r="Q740">
        <v>2</v>
      </c>
    </row>
    <row r="741" spans="1:17" x14ac:dyDescent="0.25">
      <c r="A741" s="1" t="s">
        <v>750</v>
      </c>
      <c r="B741" s="1" t="s">
        <v>792</v>
      </c>
      <c r="C741" s="1" t="s">
        <v>137</v>
      </c>
      <c r="D741" s="1" t="str">
        <f>VLOOKUP(Clients_chun_clean[[#This Row],[Province_Client]],Master_Logs_reseau_registre!B741:F1812,2,0)</f>
        <v>ANT-0446</v>
      </c>
      <c r="E741" s="1" t="s">
        <v>1506</v>
      </c>
      <c r="F741" s="1" t="s">
        <v>1516</v>
      </c>
      <c r="G741" s="1" t="s">
        <v>811</v>
      </c>
      <c r="H741">
        <v>56</v>
      </c>
      <c r="I741">
        <v>4</v>
      </c>
      <c r="J741" s="1" t="s">
        <v>1704</v>
      </c>
      <c r="K741" s="1" t="s">
        <v>22</v>
      </c>
      <c r="L741">
        <v>41</v>
      </c>
      <c r="M741" s="4">
        <v>2.8472222222222222E-2</v>
      </c>
      <c r="N741" s="10">
        <v>15.1</v>
      </c>
      <c r="O741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741" s="10">
        <f>Clients_chun_clean[[#This Row],[Facture_Mensuelle]]*Clients_chun_clean[[#This Row],[Remise]]</f>
        <v>0</v>
      </c>
      <c r="Q741">
        <v>5</v>
      </c>
    </row>
    <row r="742" spans="1:17" x14ac:dyDescent="0.25">
      <c r="A742" s="1" t="s">
        <v>750</v>
      </c>
      <c r="B742" s="1" t="s">
        <v>793</v>
      </c>
      <c r="C742" s="1" t="s">
        <v>24</v>
      </c>
      <c r="D742" s="1" t="str">
        <f>VLOOKUP(Clients_chun_clean[[#This Row],[Province_Client]],Master_Logs_reseau_registre!B742:F1813,2,0)</f>
        <v>ANT-0543</v>
      </c>
      <c r="E742" s="1" t="s">
        <v>1506</v>
      </c>
      <c r="F742" s="1" t="s">
        <v>1516</v>
      </c>
      <c r="G742" s="1" t="s">
        <v>811</v>
      </c>
      <c r="H742">
        <v>105</v>
      </c>
      <c r="I742">
        <v>8</v>
      </c>
      <c r="J742" s="1" t="s">
        <v>1704</v>
      </c>
      <c r="K742" s="1" t="s">
        <v>11</v>
      </c>
      <c r="L742">
        <v>454</v>
      </c>
      <c r="M742" s="4">
        <v>0.31527777777777777</v>
      </c>
      <c r="N742" s="10">
        <v>49.47</v>
      </c>
      <c r="O742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742" s="10">
        <f>Clients_chun_clean[[#This Row],[Facture_Mensuelle]]*Clients_chun_clean[[#This Row],[Remise]]</f>
        <v>22.261500000000002</v>
      </c>
      <c r="Q742">
        <v>4</v>
      </c>
    </row>
    <row r="743" spans="1:17" x14ac:dyDescent="0.25">
      <c r="A743" s="1" t="s">
        <v>750</v>
      </c>
      <c r="B743" s="1" t="s">
        <v>794</v>
      </c>
      <c r="C743" s="1" t="s">
        <v>18</v>
      </c>
      <c r="D743" s="1" t="str">
        <f>VLOOKUP(Clients_chun_clean[[#This Row],[Province_Client]],Master_Logs_reseau_registre!B743:F1814,2,0)</f>
        <v>ANT-0423</v>
      </c>
      <c r="E743" s="1" t="s">
        <v>1506</v>
      </c>
      <c r="F743" s="1" t="s">
        <v>1516</v>
      </c>
      <c r="G743" s="1" t="s">
        <v>813</v>
      </c>
      <c r="H743">
        <v>68</v>
      </c>
      <c r="I743">
        <v>5</v>
      </c>
      <c r="J743" s="1" t="s">
        <v>1705</v>
      </c>
      <c r="K743" s="1" t="s">
        <v>14</v>
      </c>
      <c r="L743">
        <v>282</v>
      </c>
      <c r="M743" s="4">
        <v>0.19583333333333333</v>
      </c>
      <c r="N743" s="10">
        <v>35.43</v>
      </c>
      <c r="O743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743" s="10">
        <f>Clients_chun_clean[[#This Row],[Facture_Mensuelle]]*Clients_chun_clean[[#This Row],[Remise]]</f>
        <v>15.9435</v>
      </c>
      <c r="Q743">
        <v>1</v>
      </c>
    </row>
    <row r="744" spans="1:17" x14ac:dyDescent="0.25">
      <c r="A744" s="1" t="s">
        <v>750</v>
      </c>
      <c r="B744" s="1" t="s">
        <v>795</v>
      </c>
      <c r="C744" s="1" t="s">
        <v>24</v>
      </c>
      <c r="D744" s="1" t="str">
        <f>VLOOKUP(Clients_chun_clean[[#This Row],[Province_Client]],Master_Logs_reseau_registre!B744:F1815,2,0)</f>
        <v>ANT-0989</v>
      </c>
      <c r="E744" s="1" t="s">
        <v>1508</v>
      </c>
      <c r="F744" s="1" t="s">
        <v>1509</v>
      </c>
      <c r="G744" s="1" t="s">
        <v>811</v>
      </c>
      <c r="H744">
        <v>104</v>
      </c>
      <c r="I744">
        <v>8</v>
      </c>
      <c r="J744" s="1" t="s">
        <v>1704</v>
      </c>
      <c r="K744" s="1" t="s">
        <v>19</v>
      </c>
      <c r="L744">
        <v>245</v>
      </c>
      <c r="M744" s="4">
        <v>0.1701388888888889</v>
      </c>
      <c r="N744" s="10">
        <v>38.270000000000003</v>
      </c>
      <c r="O744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744" s="10">
        <f>Clients_chun_clean[[#This Row],[Facture_Mensuelle]]*Clients_chun_clean[[#This Row],[Remise]]</f>
        <v>17.221500000000002</v>
      </c>
      <c r="Q744">
        <v>0</v>
      </c>
    </row>
    <row r="745" spans="1:17" x14ac:dyDescent="0.25">
      <c r="A745" s="1" t="s">
        <v>750</v>
      </c>
      <c r="B745" s="1" t="s">
        <v>796</v>
      </c>
      <c r="C745" s="1" t="s">
        <v>57</v>
      </c>
      <c r="D745" s="1" t="str">
        <f>VLOOKUP(Clients_chun_clean[[#This Row],[Province_Client]],Master_Logs_reseau_registre!B745:F1816,2,0)</f>
        <v>ANT-0066</v>
      </c>
      <c r="E745" s="1" t="s">
        <v>1503</v>
      </c>
      <c r="F745" s="1" t="s">
        <v>1504</v>
      </c>
      <c r="G745" s="1" t="s">
        <v>813</v>
      </c>
      <c r="H745">
        <v>102</v>
      </c>
      <c r="I745">
        <v>8</v>
      </c>
      <c r="J745" s="1" t="s">
        <v>1704</v>
      </c>
      <c r="K745" s="1" t="s">
        <v>19</v>
      </c>
      <c r="L745">
        <v>484</v>
      </c>
      <c r="M745" s="4">
        <v>0.33611111111111114</v>
      </c>
      <c r="N745" s="10">
        <v>64.22</v>
      </c>
      <c r="O745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745" s="10">
        <f>Clients_chun_clean[[#This Row],[Facture_Mensuelle]]*Clients_chun_clean[[#This Row],[Remise]]</f>
        <v>28.899000000000001</v>
      </c>
      <c r="Q745">
        <v>2</v>
      </c>
    </row>
    <row r="746" spans="1:17" x14ac:dyDescent="0.25">
      <c r="A746" s="1" t="s">
        <v>750</v>
      </c>
      <c r="B746" s="1" t="s">
        <v>797</v>
      </c>
      <c r="C746" s="1" t="s">
        <v>51</v>
      </c>
      <c r="D746" s="1" t="str">
        <f>VLOOKUP(Clients_chun_clean[[#This Row],[Province_Client]],Master_Logs_reseau_registre!B746:F1817,2,0)</f>
        <v>ANT-0238</v>
      </c>
      <c r="E746" s="1" t="s">
        <v>1503</v>
      </c>
      <c r="F746" s="1" t="s">
        <v>1504</v>
      </c>
      <c r="G746" s="1" t="s">
        <v>813</v>
      </c>
      <c r="H746">
        <v>25</v>
      </c>
      <c r="I746">
        <v>2</v>
      </c>
      <c r="J746" s="1" t="s">
        <v>1705</v>
      </c>
      <c r="K746" s="1" t="s">
        <v>14</v>
      </c>
      <c r="L746">
        <v>66</v>
      </c>
      <c r="M746" s="4">
        <v>4.583333333333333E-2</v>
      </c>
      <c r="N746" s="10">
        <v>90.14</v>
      </c>
      <c r="O746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0.1</v>
      </c>
      <c r="P746" s="10">
        <f>Clients_chun_clean[[#This Row],[Facture_Mensuelle]]*Clients_chun_clean[[#This Row],[Remise]]</f>
        <v>9.0140000000000011</v>
      </c>
      <c r="Q746">
        <v>5</v>
      </c>
    </row>
    <row r="747" spans="1:17" x14ac:dyDescent="0.25">
      <c r="A747" s="1" t="s">
        <v>750</v>
      </c>
      <c r="B747" s="1" t="s">
        <v>798</v>
      </c>
      <c r="C747" s="1" t="s">
        <v>29</v>
      </c>
      <c r="D747" s="1" t="str">
        <f>VLOOKUP(Clients_chun_clean[[#This Row],[Province_Client]],Master_Logs_reseau_registre!B747:F1818,2,0)</f>
        <v>ANT-0985</v>
      </c>
      <c r="E747" s="1" t="s">
        <v>1503</v>
      </c>
      <c r="F747" s="1" t="s">
        <v>1504</v>
      </c>
      <c r="G747" s="1" t="s">
        <v>813</v>
      </c>
      <c r="H747">
        <v>12</v>
      </c>
      <c r="I747">
        <v>1</v>
      </c>
      <c r="J747" s="1" t="s">
        <v>1704</v>
      </c>
      <c r="K747" s="1" t="s">
        <v>11</v>
      </c>
      <c r="L747">
        <v>138</v>
      </c>
      <c r="M747" s="4">
        <v>9.583333333333334E-2</v>
      </c>
      <c r="N747" s="10">
        <v>99.83</v>
      </c>
      <c r="O747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747" s="10">
        <f>Clients_chun_clean[[#This Row],[Facture_Mensuelle]]*Clients_chun_clean[[#This Row],[Remise]]</f>
        <v>44.923499999999997</v>
      </c>
      <c r="Q747">
        <v>1</v>
      </c>
    </row>
    <row r="748" spans="1:17" x14ac:dyDescent="0.25">
      <c r="A748" s="1" t="s">
        <v>750</v>
      </c>
      <c r="B748" s="1" t="s">
        <v>799</v>
      </c>
      <c r="C748" s="1" t="s">
        <v>18</v>
      </c>
      <c r="D748" s="1" t="str">
        <f>VLOOKUP(Clients_chun_clean[[#This Row],[Province_Client]],Master_Logs_reseau_registre!B748:F1819,2,0)</f>
        <v>ANT-0423</v>
      </c>
      <c r="E748" s="1" t="s">
        <v>1506</v>
      </c>
      <c r="F748" s="1" t="s">
        <v>1507</v>
      </c>
      <c r="G748" s="1" t="s">
        <v>808</v>
      </c>
      <c r="H748">
        <v>75</v>
      </c>
      <c r="I748">
        <v>6</v>
      </c>
      <c r="J748" s="1" t="s">
        <v>1704</v>
      </c>
      <c r="K748" s="1" t="s">
        <v>19</v>
      </c>
      <c r="L748">
        <v>370</v>
      </c>
      <c r="M748" s="4">
        <v>0.25694444444444442</v>
      </c>
      <c r="N748" s="10">
        <v>21.67</v>
      </c>
      <c r="O748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0.45</v>
      </c>
      <c r="P748" s="10">
        <f>Clients_chun_clean[[#This Row],[Facture_Mensuelle]]*Clients_chun_clean[[#This Row],[Remise]]</f>
        <v>9.7515000000000018</v>
      </c>
      <c r="Q748">
        <v>0</v>
      </c>
    </row>
    <row r="749" spans="1:17" x14ac:dyDescent="0.25">
      <c r="A749" s="1" t="s">
        <v>750</v>
      </c>
      <c r="B749" s="1" t="s">
        <v>800</v>
      </c>
      <c r="C749" s="1" t="s">
        <v>131</v>
      </c>
      <c r="D749" s="1" t="str">
        <f>VLOOKUP(Clients_chun_clean[[#This Row],[Province_Client]],Master_Logs_reseau_registre!B749:F1820,2,0)</f>
        <v>ANT-0045</v>
      </c>
      <c r="E749" s="1" t="s">
        <v>1503</v>
      </c>
      <c r="F749" s="1" t="s">
        <v>1509</v>
      </c>
      <c r="G749" s="1" t="s">
        <v>808</v>
      </c>
      <c r="H749">
        <v>4</v>
      </c>
      <c r="I749">
        <v>0</v>
      </c>
      <c r="J749" s="1" t="s">
        <v>1704</v>
      </c>
      <c r="K749" s="1" t="s">
        <v>19</v>
      </c>
      <c r="L749">
        <v>21</v>
      </c>
      <c r="M749" s="4">
        <v>1.4583333333333334E-2</v>
      </c>
      <c r="N749" s="10">
        <v>45.8</v>
      </c>
      <c r="O749">
        <f>IF(AND(Clients_chun_clean[[#This Row],[Duree_Cumulee_Panne_Heure]]&gt;TIME(12,0,0),Clients_chun_clean[[#This Row],[Anciennete_An]]&gt;5),0.7,IF(OR(AND(Clients_chun_clean[[#This Row],[Duree_Cumulee_Panne_Heure]]&gt;=TIME(4,0,0),Clients_chun_clean[[#This Row],[Duree_Cumulee_Panne_Heure]]&lt;=TIME(12,0,0)),AND(Clients_chun_clean[[#This Row],[Anciennete_An]]&lt;5,Clients_chun_clean[[#This Row],[Type_Forfait]]="Premium 5G 150Go")),0.45,IF(Clients_chun_clean[[#This Row],[Type_Abonnés]]="B2B",0.1,0)))</f>
        <v>0</v>
      </c>
      <c r="P749" s="10">
        <f>Clients_chun_clean[[#This Row],[Facture_Mensuelle]]*Clients_chun_clean[[#This Row],[Remise]]</f>
        <v>0</v>
      </c>
      <c r="Q749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1C7B3-460A-47D1-8257-229E9FDF461B}">
  <sheetPr>
    <tabColor theme="5"/>
  </sheetPr>
  <dimension ref="A1:K1074"/>
  <sheetViews>
    <sheetView topLeftCell="A1029" workbookViewId="0">
      <selection activeCell="C1" sqref="C1:F1"/>
    </sheetView>
  </sheetViews>
  <sheetFormatPr baseColWidth="10" defaultRowHeight="15" x14ac:dyDescent="0.25"/>
  <cols>
    <col min="1" max="1" width="23.7109375" bestFit="1" customWidth="1"/>
    <col min="2" max="2" width="9.85546875" customWidth="1"/>
    <col min="3" max="3" width="9.85546875" bestFit="1" customWidth="1"/>
    <col min="4" max="4" width="9.85546875" customWidth="1"/>
    <col min="6" max="6" width="9.85546875" customWidth="1"/>
    <col min="7" max="7" width="14" bestFit="1" customWidth="1"/>
    <col min="8" max="8" width="15.42578125" bestFit="1" customWidth="1"/>
    <col min="13" max="14" width="9.85546875" customWidth="1"/>
    <col min="15" max="16" width="19.5703125" bestFit="1" customWidth="1"/>
  </cols>
  <sheetData>
    <row r="1" spans="1:11" x14ac:dyDescent="0.25">
      <c r="A1" t="s">
        <v>0</v>
      </c>
      <c r="B1" t="s">
        <v>1497</v>
      </c>
      <c r="C1" t="s">
        <v>803</v>
      </c>
      <c r="D1" t="s">
        <v>1500</v>
      </c>
      <c r="E1" t="s">
        <v>1501</v>
      </c>
      <c r="F1" t="s">
        <v>805</v>
      </c>
      <c r="G1" t="s">
        <v>801</v>
      </c>
      <c r="H1" t="s">
        <v>802</v>
      </c>
      <c r="I1" t="s">
        <v>1498</v>
      </c>
      <c r="J1" t="s">
        <v>1499</v>
      </c>
      <c r="K1" t="s">
        <v>804</v>
      </c>
    </row>
    <row r="2" spans="1:11" x14ac:dyDescent="0.25">
      <c r="A2" s="1" t="s">
        <v>806</v>
      </c>
      <c r="B2" s="1" t="s">
        <v>37</v>
      </c>
      <c r="C2" s="1" t="s">
        <v>807</v>
      </c>
      <c r="D2" s="1" t="s">
        <v>1506</v>
      </c>
      <c r="E2" s="1" t="s">
        <v>1516</v>
      </c>
      <c r="F2" s="1" t="s">
        <v>808</v>
      </c>
      <c r="G2" s="2">
        <v>45203</v>
      </c>
      <c r="H2" s="3">
        <v>3.2638888888888884E-2</v>
      </c>
      <c r="I2" s="1">
        <v>-11.144149000000001</v>
      </c>
      <c r="J2" s="1">
        <v>27.244658999999999</v>
      </c>
      <c r="K2">
        <v>73</v>
      </c>
    </row>
    <row r="3" spans="1:11" hidden="1" x14ac:dyDescent="0.25">
      <c r="A3" s="1" t="s">
        <v>806</v>
      </c>
      <c r="B3" s="1" t="s">
        <v>1695</v>
      </c>
      <c r="C3" s="1" t="s">
        <v>809</v>
      </c>
      <c r="D3" s="1" t="s">
        <v>1695</v>
      </c>
      <c r="E3" s="1" t="s">
        <v>1695</v>
      </c>
      <c r="F3" s="1" t="s">
        <v>808</v>
      </c>
      <c r="G3" s="2">
        <v>45208</v>
      </c>
      <c r="H3" s="3">
        <v>0.30138888888888893</v>
      </c>
      <c r="I3" s="1" t="s">
        <v>1695</v>
      </c>
      <c r="J3" s="1" t="s">
        <v>1695</v>
      </c>
      <c r="K3">
        <v>38</v>
      </c>
    </row>
    <row r="4" spans="1:11" hidden="1" x14ac:dyDescent="0.25">
      <c r="A4" s="1" t="s">
        <v>806</v>
      </c>
      <c r="B4" s="1" t="s">
        <v>1695</v>
      </c>
      <c r="C4" s="1" t="s">
        <v>810</v>
      </c>
      <c r="D4" s="1" t="s">
        <v>1695</v>
      </c>
      <c r="E4" s="1" t="s">
        <v>1695</v>
      </c>
      <c r="F4" s="1" t="s">
        <v>811</v>
      </c>
      <c r="G4" s="2">
        <v>45204</v>
      </c>
      <c r="H4" s="3">
        <v>0.96249999999999991</v>
      </c>
      <c r="I4" s="1" t="s">
        <v>1695</v>
      </c>
      <c r="J4" s="1" t="s">
        <v>1695</v>
      </c>
      <c r="K4">
        <v>100</v>
      </c>
    </row>
    <row r="5" spans="1:11" hidden="1" x14ac:dyDescent="0.25">
      <c r="A5" s="1" t="s">
        <v>806</v>
      </c>
      <c r="B5" s="1" t="s">
        <v>1695</v>
      </c>
      <c r="C5" s="1" t="s">
        <v>812</v>
      </c>
      <c r="D5" s="1" t="s">
        <v>1695</v>
      </c>
      <c r="E5" s="1" t="s">
        <v>1695</v>
      </c>
      <c r="F5" s="1" t="s">
        <v>813</v>
      </c>
      <c r="G5" s="2">
        <v>45221</v>
      </c>
      <c r="H5" s="3">
        <v>0.99791666666666656</v>
      </c>
      <c r="I5" s="1" t="s">
        <v>1695</v>
      </c>
      <c r="J5" s="1" t="s">
        <v>1695</v>
      </c>
      <c r="K5">
        <v>79</v>
      </c>
    </row>
    <row r="6" spans="1:11" hidden="1" x14ac:dyDescent="0.25">
      <c r="A6" s="1" t="s">
        <v>806</v>
      </c>
      <c r="B6" s="1" t="s">
        <v>1695</v>
      </c>
      <c r="C6" s="1" t="s">
        <v>814</v>
      </c>
      <c r="D6" s="1" t="s">
        <v>1695</v>
      </c>
      <c r="E6" s="1" t="s">
        <v>1695</v>
      </c>
      <c r="F6" s="1" t="s">
        <v>808</v>
      </c>
      <c r="G6" s="2">
        <v>45217</v>
      </c>
      <c r="H6" s="3">
        <v>0.10902777777777772</v>
      </c>
      <c r="I6" s="1" t="s">
        <v>1695</v>
      </c>
      <c r="J6" s="1" t="s">
        <v>1695</v>
      </c>
      <c r="K6">
        <v>59</v>
      </c>
    </row>
    <row r="7" spans="1:11" x14ac:dyDescent="0.25">
      <c r="A7" s="1" t="s">
        <v>806</v>
      </c>
      <c r="B7" s="1" t="s">
        <v>62</v>
      </c>
      <c r="C7" s="1" t="s">
        <v>815</v>
      </c>
      <c r="D7" s="1" t="s">
        <v>1503</v>
      </c>
      <c r="E7" s="1" t="s">
        <v>1504</v>
      </c>
      <c r="F7" s="1" t="s">
        <v>811</v>
      </c>
      <c r="G7" s="2">
        <v>45213</v>
      </c>
      <c r="H7" s="3">
        <v>4.2361111111111072E-2</v>
      </c>
      <c r="I7" s="1">
        <v>-2.8211520000000001</v>
      </c>
      <c r="J7" s="1">
        <v>20.651419000000001</v>
      </c>
      <c r="K7">
        <v>119</v>
      </c>
    </row>
    <row r="8" spans="1:11" x14ac:dyDescent="0.25">
      <c r="A8" s="1" t="s">
        <v>806</v>
      </c>
      <c r="B8" s="1" t="s">
        <v>33</v>
      </c>
      <c r="C8" s="1" t="s">
        <v>816</v>
      </c>
      <c r="D8" s="1" t="s">
        <v>1503</v>
      </c>
      <c r="E8" s="1" t="s">
        <v>1504</v>
      </c>
      <c r="F8" s="1" t="s">
        <v>808</v>
      </c>
      <c r="G8" s="2">
        <v>45202</v>
      </c>
      <c r="H8" s="3">
        <v>0.25972222222222219</v>
      </c>
      <c r="I8" s="1">
        <v>-1.648264</v>
      </c>
      <c r="J8" s="1">
        <v>28.866143999999998</v>
      </c>
      <c r="K8">
        <v>79</v>
      </c>
    </row>
    <row r="9" spans="1:11" hidden="1" x14ac:dyDescent="0.25">
      <c r="A9" s="1" t="s">
        <v>806</v>
      </c>
      <c r="B9" s="1" t="s">
        <v>1695</v>
      </c>
      <c r="C9" s="1" t="s">
        <v>817</v>
      </c>
      <c r="D9" s="1" t="s">
        <v>1695</v>
      </c>
      <c r="E9" s="1" t="s">
        <v>1695</v>
      </c>
      <c r="F9" s="1" t="s">
        <v>808</v>
      </c>
      <c r="G9" s="2">
        <v>45216</v>
      </c>
      <c r="H9" s="3">
        <v>0.79236111111111107</v>
      </c>
      <c r="I9" s="1" t="s">
        <v>1695</v>
      </c>
      <c r="J9" s="1" t="s">
        <v>1695</v>
      </c>
      <c r="K9">
        <v>56</v>
      </c>
    </row>
    <row r="10" spans="1:11" hidden="1" x14ac:dyDescent="0.25">
      <c r="A10" s="1" t="s">
        <v>806</v>
      </c>
      <c r="B10" s="1" t="s">
        <v>1695</v>
      </c>
      <c r="C10" s="1" t="s">
        <v>818</v>
      </c>
      <c r="D10" s="1" t="s">
        <v>1695</v>
      </c>
      <c r="E10" s="1" t="s">
        <v>1695</v>
      </c>
      <c r="F10" s="1" t="s">
        <v>811</v>
      </c>
      <c r="G10" s="2">
        <v>45217</v>
      </c>
      <c r="H10" s="3">
        <v>0.28125</v>
      </c>
      <c r="I10" s="1" t="s">
        <v>1695</v>
      </c>
      <c r="J10" s="1" t="s">
        <v>1695</v>
      </c>
      <c r="K10">
        <v>51</v>
      </c>
    </row>
    <row r="11" spans="1:11" hidden="1" x14ac:dyDescent="0.25">
      <c r="A11" s="1" t="s">
        <v>806</v>
      </c>
      <c r="B11" s="1" t="s">
        <v>1695</v>
      </c>
      <c r="C11" s="1" t="s">
        <v>819</v>
      </c>
      <c r="D11" s="1" t="s">
        <v>1695</v>
      </c>
      <c r="E11" s="1" t="s">
        <v>1695</v>
      </c>
      <c r="F11" s="1" t="s">
        <v>813</v>
      </c>
      <c r="G11" s="2">
        <v>45220</v>
      </c>
      <c r="H11" s="3">
        <v>0.94027777777777777</v>
      </c>
      <c r="I11" s="1" t="s">
        <v>1695</v>
      </c>
      <c r="J11" s="1" t="s">
        <v>1695</v>
      </c>
      <c r="K11">
        <v>33</v>
      </c>
    </row>
    <row r="12" spans="1:11" x14ac:dyDescent="0.25">
      <c r="A12" s="1" t="s">
        <v>806</v>
      </c>
      <c r="B12" s="1" t="s">
        <v>40</v>
      </c>
      <c r="C12" s="1" t="s">
        <v>820</v>
      </c>
      <c r="D12" s="1" t="s">
        <v>1503</v>
      </c>
      <c r="E12" s="1" t="s">
        <v>1504</v>
      </c>
      <c r="F12" s="1" t="s">
        <v>811</v>
      </c>
      <c r="G12" s="2">
        <v>45213</v>
      </c>
      <c r="H12" s="3">
        <v>0.31111111111111112</v>
      </c>
      <c r="I12" s="1">
        <v>4.8319039999999998</v>
      </c>
      <c r="J12" s="1">
        <v>20.733468999999999</v>
      </c>
      <c r="K12">
        <v>22</v>
      </c>
    </row>
    <row r="13" spans="1:11" x14ac:dyDescent="0.25">
      <c r="A13" s="1" t="s">
        <v>806</v>
      </c>
      <c r="B13" s="1" t="s">
        <v>67</v>
      </c>
      <c r="C13" s="1" t="s">
        <v>821</v>
      </c>
      <c r="D13" s="1" t="s">
        <v>1506</v>
      </c>
      <c r="E13" s="1" t="s">
        <v>1507</v>
      </c>
      <c r="F13" s="1" t="s">
        <v>808</v>
      </c>
      <c r="G13" s="2">
        <v>45218</v>
      </c>
      <c r="H13" s="3">
        <v>0.36874999999999991</v>
      </c>
      <c r="I13" s="1">
        <v>-8.4227860000000003</v>
      </c>
      <c r="J13" s="1">
        <v>16.781293000000002</v>
      </c>
      <c r="K13">
        <v>70</v>
      </c>
    </row>
    <row r="14" spans="1:11" x14ac:dyDescent="0.25">
      <c r="A14" s="1" t="s">
        <v>806</v>
      </c>
      <c r="B14" s="1" t="s">
        <v>89</v>
      </c>
      <c r="C14" s="1" t="s">
        <v>822</v>
      </c>
      <c r="D14" s="1" t="s">
        <v>1503</v>
      </c>
      <c r="E14" s="1" t="s">
        <v>1509</v>
      </c>
      <c r="F14" s="1" t="s">
        <v>813</v>
      </c>
      <c r="G14" s="2">
        <v>45227</v>
      </c>
      <c r="H14" s="3">
        <v>3.3333333333333437E-2</v>
      </c>
      <c r="I14" s="1">
        <v>-10.375266999999999</v>
      </c>
      <c r="J14" s="1">
        <v>17.993663000000002</v>
      </c>
      <c r="K14">
        <v>68</v>
      </c>
    </row>
    <row r="15" spans="1:11" hidden="1" x14ac:dyDescent="0.25">
      <c r="A15" s="1" t="s">
        <v>806</v>
      </c>
      <c r="B15" s="1" t="s">
        <v>1695</v>
      </c>
      <c r="C15" s="1" t="s">
        <v>823</v>
      </c>
      <c r="D15" s="1" t="s">
        <v>1695</v>
      </c>
      <c r="E15" s="1" t="s">
        <v>1695</v>
      </c>
      <c r="F15" s="1" t="s">
        <v>811</v>
      </c>
      <c r="G15" s="2">
        <v>45213</v>
      </c>
      <c r="H15" s="3">
        <v>0.42847222222222214</v>
      </c>
      <c r="I15" s="1" t="s">
        <v>1695</v>
      </c>
      <c r="J15" s="1" t="s">
        <v>1695</v>
      </c>
      <c r="K15">
        <v>101</v>
      </c>
    </row>
    <row r="16" spans="1:11" x14ac:dyDescent="0.25">
      <c r="A16" s="1" t="s">
        <v>806</v>
      </c>
      <c r="B16" s="1" t="s">
        <v>67</v>
      </c>
      <c r="C16" s="1" t="s">
        <v>824</v>
      </c>
      <c r="D16" s="1" t="s">
        <v>1508</v>
      </c>
      <c r="E16" s="1" t="s">
        <v>1516</v>
      </c>
      <c r="F16" s="1" t="s">
        <v>813</v>
      </c>
      <c r="G16" s="2">
        <v>45204</v>
      </c>
      <c r="H16" s="3">
        <v>0.28333333333333344</v>
      </c>
      <c r="I16" s="1">
        <v>-2.2371569999999998</v>
      </c>
      <c r="J16" s="1">
        <v>25.926188</v>
      </c>
      <c r="K16">
        <v>11</v>
      </c>
    </row>
    <row r="17" spans="1:11" hidden="1" x14ac:dyDescent="0.25">
      <c r="A17" s="1" t="s">
        <v>806</v>
      </c>
      <c r="B17" s="1" t="s">
        <v>1695</v>
      </c>
      <c r="C17" s="1" t="s">
        <v>825</v>
      </c>
      <c r="D17" s="1" t="s">
        <v>1695</v>
      </c>
      <c r="E17" s="1" t="s">
        <v>1695</v>
      </c>
      <c r="F17" s="1" t="s">
        <v>808</v>
      </c>
      <c r="G17" s="2">
        <v>45210</v>
      </c>
      <c r="H17" s="3">
        <v>0.12847222222222232</v>
      </c>
      <c r="I17" s="1" t="s">
        <v>1695</v>
      </c>
      <c r="J17" s="1" t="s">
        <v>1695</v>
      </c>
      <c r="K17">
        <v>115</v>
      </c>
    </row>
    <row r="18" spans="1:11" x14ac:dyDescent="0.25">
      <c r="A18" s="1" t="s">
        <v>806</v>
      </c>
      <c r="B18" s="1" t="s">
        <v>37</v>
      </c>
      <c r="C18" s="1" t="s">
        <v>826</v>
      </c>
      <c r="D18" s="1" t="s">
        <v>1508</v>
      </c>
      <c r="E18" s="1" t="s">
        <v>1509</v>
      </c>
      <c r="F18" s="1" t="s">
        <v>811</v>
      </c>
      <c r="G18" s="2">
        <v>45212</v>
      </c>
      <c r="H18" s="3">
        <v>0.14027777777777772</v>
      </c>
      <c r="I18" s="1">
        <v>-9.4708620000000003</v>
      </c>
      <c r="J18" s="1">
        <v>29.234387999999999</v>
      </c>
      <c r="K18">
        <v>19</v>
      </c>
    </row>
    <row r="19" spans="1:11" hidden="1" x14ac:dyDescent="0.25">
      <c r="A19" s="1" t="s">
        <v>806</v>
      </c>
      <c r="B19" s="1" t="s">
        <v>1695</v>
      </c>
      <c r="C19" s="1" t="s">
        <v>827</v>
      </c>
      <c r="D19" s="1" t="s">
        <v>1695</v>
      </c>
      <c r="E19" s="1" t="s">
        <v>1695</v>
      </c>
      <c r="F19" s="1" t="s">
        <v>811</v>
      </c>
      <c r="G19" s="2">
        <v>45227</v>
      </c>
      <c r="H19" s="3">
        <v>0.48472222222222228</v>
      </c>
      <c r="I19" s="1" t="s">
        <v>1695</v>
      </c>
      <c r="J19" s="1" t="s">
        <v>1695</v>
      </c>
      <c r="K19">
        <v>24</v>
      </c>
    </row>
    <row r="20" spans="1:11" x14ac:dyDescent="0.25">
      <c r="A20" s="1" t="s">
        <v>806</v>
      </c>
      <c r="B20" s="1" t="s">
        <v>67</v>
      </c>
      <c r="C20" s="1" t="s">
        <v>821</v>
      </c>
      <c r="D20" s="1" t="s">
        <v>1506</v>
      </c>
      <c r="E20" s="1" t="s">
        <v>1507</v>
      </c>
      <c r="F20" s="1" t="s">
        <v>811</v>
      </c>
      <c r="G20" s="2">
        <v>45208</v>
      </c>
      <c r="H20" s="3">
        <v>7.3611111111111072E-2</v>
      </c>
      <c r="I20" s="1">
        <v>-8.4227860000000003</v>
      </c>
      <c r="J20" s="1">
        <v>16.781293000000002</v>
      </c>
      <c r="K20">
        <v>85</v>
      </c>
    </row>
    <row r="21" spans="1:11" x14ac:dyDescent="0.25">
      <c r="A21" s="1" t="s">
        <v>806</v>
      </c>
      <c r="B21" s="1" t="s">
        <v>24</v>
      </c>
      <c r="C21" s="1" t="s">
        <v>828</v>
      </c>
      <c r="D21" s="1" t="s">
        <v>1508</v>
      </c>
      <c r="E21" s="1" t="s">
        <v>1504</v>
      </c>
      <c r="F21" s="1" t="s">
        <v>808</v>
      </c>
      <c r="G21" s="2">
        <v>45214</v>
      </c>
      <c r="H21" s="3">
        <v>0.71319444444444446</v>
      </c>
      <c r="I21" s="1">
        <v>0.172153</v>
      </c>
      <c r="J21" s="1">
        <v>21.091376</v>
      </c>
      <c r="K21">
        <v>25</v>
      </c>
    </row>
    <row r="22" spans="1:11" hidden="1" x14ac:dyDescent="0.25">
      <c r="A22" s="1" t="s">
        <v>806</v>
      </c>
      <c r="B22" s="1" t="s">
        <v>1695</v>
      </c>
      <c r="C22" s="1" t="s">
        <v>829</v>
      </c>
      <c r="D22" s="1" t="s">
        <v>1695</v>
      </c>
      <c r="E22" s="1" t="s">
        <v>1695</v>
      </c>
      <c r="F22" s="1" t="s">
        <v>811</v>
      </c>
      <c r="G22" s="2">
        <v>45229</v>
      </c>
      <c r="H22" s="3">
        <v>0.50347222222222232</v>
      </c>
      <c r="I22" s="1" t="s">
        <v>1695</v>
      </c>
      <c r="J22" s="1" t="s">
        <v>1695</v>
      </c>
      <c r="K22">
        <v>106</v>
      </c>
    </row>
    <row r="23" spans="1:11" hidden="1" x14ac:dyDescent="0.25">
      <c r="A23" s="1" t="s">
        <v>806</v>
      </c>
      <c r="B23" s="1" t="s">
        <v>1695</v>
      </c>
      <c r="C23" s="1" t="s">
        <v>830</v>
      </c>
      <c r="D23" s="1" t="s">
        <v>1695</v>
      </c>
      <c r="E23" s="1" t="s">
        <v>1695</v>
      </c>
      <c r="F23" s="1" t="s">
        <v>813</v>
      </c>
      <c r="G23" s="2">
        <v>45217</v>
      </c>
      <c r="H23" s="3">
        <v>0.41180555555555554</v>
      </c>
      <c r="I23" s="1" t="s">
        <v>1695</v>
      </c>
      <c r="J23" s="1" t="s">
        <v>1695</v>
      </c>
      <c r="K23">
        <v>92</v>
      </c>
    </row>
    <row r="24" spans="1:11" hidden="1" x14ac:dyDescent="0.25">
      <c r="A24" s="1" t="s">
        <v>806</v>
      </c>
      <c r="B24" s="1" t="s">
        <v>1695</v>
      </c>
      <c r="C24" s="1" t="s">
        <v>831</v>
      </c>
      <c r="D24" s="1" t="s">
        <v>1695</v>
      </c>
      <c r="E24" s="1" t="s">
        <v>1695</v>
      </c>
      <c r="F24" s="1" t="s">
        <v>813</v>
      </c>
      <c r="G24" s="2">
        <v>45220</v>
      </c>
      <c r="H24" s="3">
        <v>0.83055555555555549</v>
      </c>
      <c r="I24" s="1" t="s">
        <v>1695</v>
      </c>
      <c r="J24" s="1" t="s">
        <v>1695</v>
      </c>
      <c r="K24">
        <v>59</v>
      </c>
    </row>
    <row r="25" spans="1:11" hidden="1" x14ac:dyDescent="0.25">
      <c r="A25" s="1" t="s">
        <v>806</v>
      </c>
      <c r="B25" s="1" t="s">
        <v>1695</v>
      </c>
      <c r="C25" s="1" t="s">
        <v>819</v>
      </c>
      <c r="D25" s="1" t="s">
        <v>1695</v>
      </c>
      <c r="E25" s="1" t="s">
        <v>1695</v>
      </c>
      <c r="F25" s="1" t="s">
        <v>811</v>
      </c>
      <c r="G25" s="2">
        <v>45227</v>
      </c>
      <c r="H25" s="3">
        <v>0.48333333333333339</v>
      </c>
      <c r="I25" s="1" t="s">
        <v>1695</v>
      </c>
      <c r="J25" s="1" t="s">
        <v>1695</v>
      </c>
      <c r="K25">
        <v>81</v>
      </c>
    </row>
    <row r="26" spans="1:11" x14ac:dyDescent="0.25">
      <c r="A26" s="1" t="s">
        <v>806</v>
      </c>
      <c r="B26" s="1" t="s">
        <v>31</v>
      </c>
      <c r="C26" s="1" t="s">
        <v>832</v>
      </c>
      <c r="D26" s="1" t="s">
        <v>1503</v>
      </c>
      <c r="E26" s="1" t="s">
        <v>1504</v>
      </c>
      <c r="F26" s="1" t="s">
        <v>811</v>
      </c>
      <c r="G26" s="2">
        <v>45206</v>
      </c>
      <c r="H26" s="3">
        <v>0.91944444444444451</v>
      </c>
      <c r="I26" s="1">
        <v>-10.56448</v>
      </c>
      <c r="J26" s="1">
        <v>19.792876</v>
      </c>
      <c r="K26">
        <v>13</v>
      </c>
    </row>
    <row r="27" spans="1:11" x14ac:dyDescent="0.25">
      <c r="A27" s="1" t="s">
        <v>806</v>
      </c>
      <c r="B27" s="1" t="s">
        <v>131</v>
      </c>
      <c r="C27" s="1" t="s">
        <v>833</v>
      </c>
      <c r="D27" s="1" t="s">
        <v>1506</v>
      </c>
      <c r="E27" s="1" t="s">
        <v>1504</v>
      </c>
      <c r="F27" s="1" t="s">
        <v>813</v>
      </c>
      <c r="G27" s="2">
        <v>45201</v>
      </c>
      <c r="H27" s="3">
        <v>0.88472222222222219</v>
      </c>
      <c r="I27" s="1">
        <v>4.6287159999999998</v>
      </c>
      <c r="J27" s="1">
        <v>19.407077999999998</v>
      </c>
      <c r="K27">
        <v>54</v>
      </c>
    </row>
    <row r="28" spans="1:11" hidden="1" x14ac:dyDescent="0.25">
      <c r="A28" s="1" t="s">
        <v>806</v>
      </c>
      <c r="B28" s="1" t="s">
        <v>1695</v>
      </c>
      <c r="C28" s="1" t="s">
        <v>810</v>
      </c>
      <c r="D28" s="1" t="s">
        <v>1695</v>
      </c>
      <c r="E28" s="1" t="s">
        <v>1695</v>
      </c>
      <c r="F28" s="1" t="s">
        <v>813</v>
      </c>
      <c r="G28" s="2">
        <v>45224</v>
      </c>
      <c r="H28" s="3">
        <v>0.37847222222222232</v>
      </c>
      <c r="I28" s="1" t="s">
        <v>1695</v>
      </c>
      <c r="J28" s="1" t="s">
        <v>1695</v>
      </c>
      <c r="K28">
        <v>53</v>
      </c>
    </row>
    <row r="29" spans="1:11" hidden="1" x14ac:dyDescent="0.25">
      <c r="A29" s="1" t="s">
        <v>806</v>
      </c>
      <c r="B29" s="1" t="s">
        <v>1695</v>
      </c>
      <c r="C29" s="1" t="s">
        <v>834</v>
      </c>
      <c r="D29" s="1" t="s">
        <v>1695</v>
      </c>
      <c r="E29" s="1" t="s">
        <v>1695</v>
      </c>
      <c r="F29" s="1" t="s">
        <v>811</v>
      </c>
      <c r="G29" s="2">
        <v>45227</v>
      </c>
      <c r="H29" s="3">
        <v>0.32986111111111116</v>
      </c>
      <c r="I29" s="1" t="s">
        <v>1695</v>
      </c>
      <c r="J29" s="1" t="s">
        <v>1695</v>
      </c>
      <c r="K29">
        <v>81</v>
      </c>
    </row>
    <row r="30" spans="1:11" x14ac:dyDescent="0.25">
      <c r="A30" s="1" t="s">
        <v>806</v>
      </c>
      <c r="B30" s="1" t="s">
        <v>73</v>
      </c>
      <c r="C30" s="1" t="s">
        <v>835</v>
      </c>
      <c r="D30" s="1" t="s">
        <v>1508</v>
      </c>
      <c r="E30" s="1" t="s">
        <v>1509</v>
      </c>
      <c r="F30" s="1" t="s">
        <v>813</v>
      </c>
      <c r="G30" s="2">
        <v>45203</v>
      </c>
      <c r="H30" s="3">
        <v>0.51180555555555562</v>
      </c>
      <c r="I30" s="1">
        <v>0.23583499999999999</v>
      </c>
      <c r="J30" s="1">
        <v>24.889558999999998</v>
      </c>
      <c r="K30">
        <v>64</v>
      </c>
    </row>
    <row r="31" spans="1:11" hidden="1" x14ac:dyDescent="0.25">
      <c r="A31" s="1" t="s">
        <v>806</v>
      </c>
      <c r="B31" s="1" t="s">
        <v>1695</v>
      </c>
      <c r="C31" s="1" t="s">
        <v>836</v>
      </c>
      <c r="D31" s="1" t="s">
        <v>1695</v>
      </c>
      <c r="E31" s="1" t="s">
        <v>1695</v>
      </c>
      <c r="F31" s="1" t="s">
        <v>808</v>
      </c>
      <c r="G31" s="2">
        <v>45214</v>
      </c>
      <c r="H31" s="3">
        <v>0.8701388888888888</v>
      </c>
      <c r="I31" s="1" t="s">
        <v>1695</v>
      </c>
      <c r="J31" s="1" t="s">
        <v>1695</v>
      </c>
      <c r="K31">
        <v>72</v>
      </c>
    </row>
    <row r="32" spans="1:11" x14ac:dyDescent="0.25">
      <c r="A32" s="1" t="s">
        <v>806</v>
      </c>
      <c r="B32" s="1" t="s">
        <v>37</v>
      </c>
      <c r="C32" s="1" t="s">
        <v>837</v>
      </c>
      <c r="D32" s="1" t="s">
        <v>1503</v>
      </c>
      <c r="E32" s="1" t="s">
        <v>1504</v>
      </c>
      <c r="F32" s="1" t="s">
        <v>808</v>
      </c>
      <c r="G32" s="2">
        <v>45211</v>
      </c>
      <c r="H32" s="3">
        <v>0.22430555555555554</v>
      </c>
      <c r="I32" s="1">
        <v>-2.4662510000000002</v>
      </c>
      <c r="J32" s="1">
        <v>18.007998000000001</v>
      </c>
      <c r="K32">
        <v>37</v>
      </c>
    </row>
    <row r="33" spans="1:11" x14ac:dyDescent="0.25">
      <c r="A33" s="1" t="s">
        <v>806</v>
      </c>
      <c r="B33" s="1" t="s">
        <v>89</v>
      </c>
      <c r="C33" s="1" t="s">
        <v>838</v>
      </c>
      <c r="D33" s="1" t="s">
        <v>1506</v>
      </c>
      <c r="E33" s="1" t="s">
        <v>1509</v>
      </c>
      <c r="F33" s="1" t="s">
        <v>808</v>
      </c>
      <c r="G33" s="2">
        <v>45211</v>
      </c>
      <c r="H33" s="3">
        <v>0.27916666666666656</v>
      </c>
      <c r="I33" s="1">
        <v>-8.1437910000000002</v>
      </c>
      <c r="J33" s="1">
        <v>28.946161</v>
      </c>
      <c r="K33">
        <v>75</v>
      </c>
    </row>
    <row r="34" spans="1:11" x14ac:dyDescent="0.25">
      <c r="A34" s="1" t="s">
        <v>806</v>
      </c>
      <c r="B34" s="1" t="s">
        <v>73</v>
      </c>
      <c r="C34" s="1" t="s">
        <v>839</v>
      </c>
      <c r="D34" s="1" t="s">
        <v>1508</v>
      </c>
      <c r="E34" s="1" t="s">
        <v>1504</v>
      </c>
      <c r="F34" s="1" t="s">
        <v>808</v>
      </c>
      <c r="G34" s="2">
        <v>45208</v>
      </c>
      <c r="H34" s="3">
        <v>0.95763888888888893</v>
      </c>
      <c r="I34" s="1">
        <v>-6.1837850000000003</v>
      </c>
      <c r="J34" s="1">
        <v>25.138759</v>
      </c>
      <c r="K34">
        <v>115</v>
      </c>
    </row>
    <row r="35" spans="1:11" x14ac:dyDescent="0.25">
      <c r="A35" s="1" t="s">
        <v>806</v>
      </c>
      <c r="B35" s="1" t="s">
        <v>29</v>
      </c>
      <c r="C35" s="1" t="s">
        <v>840</v>
      </c>
      <c r="D35" s="1" t="s">
        <v>1506</v>
      </c>
      <c r="E35" s="1" t="s">
        <v>1507</v>
      </c>
      <c r="F35" s="1" t="s">
        <v>813</v>
      </c>
      <c r="G35" s="2">
        <v>45221</v>
      </c>
      <c r="H35" s="3">
        <v>0.83611111111111103</v>
      </c>
      <c r="I35" s="1">
        <v>-4.9789079999999997</v>
      </c>
      <c r="J35" s="1">
        <v>28.506295000000001</v>
      </c>
      <c r="K35">
        <v>6</v>
      </c>
    </row>
    <row r="36" spans="1:11" hidden="1" x14ac:dyDescent="0.25">
      <c r="A36" s="1" t="s">
        <v>806</v>
      </c>
      <c r="B36" s="1" t="s">
        <v>1695</v>
      </c>
      <c r="C36" s="1" t="s">
        <v>841</v>
      </c>
      <c r="D36" s="1" t="s">
        <v>1695</v>
      </c>
      <c r="E36" s="1" t="s">
        <v>1695</v>
      </c>
      <c r="F36" s="1" t="s">
        <v>808</v>
      </c>
      <c r="G36" s="2">
        <v>45219</v>
      </c>
      <c r="H36" s="3">
        <v>0.84027777777777768</v>
      </c>
      <c r="I36" s="1" t="s">
        <v>1695</v>
      </c>
      <c r="J36" s="1" t="s">
        <v>1695</v>
      </c>
      <c r="K36">
        <v>92</v>
      </c>
    </row>
    <row r="37" spans="1:11" x14ac:dyDescent="0.25">
      <c r="A37" s="1" t="s">
        <v>806</v>
      </c>
      <c r="B37" s="1" t="s">
        <v>29</v>
      </c>
      <c r="C37" s="1" t="s">
        <v>842</v>
      </c>
      <c r="D37" s="1" t="s">
        <v>1506</v>
      </c>
      <c r="E37" s="1" t="s">
        <v>1507</v>
      </c>
      <c r="F37" s="1" t="s">
        <v>811</v>
      </c>
      <c r="G37" s="2">
        <v>45217</v>
      </c>
      <c r="H37" s="3">
        <v>0.96875</v>
      </c>
      <c r="I37" s="1">
        <v>-10.059846</v>
      </c>
      <c r="J37" s="1">
        <v>14.375757999999999</v>
      </c>
      <c r="K37">
        <v>97</v>
      </c>
    </row>
    <row r="38" spans="1:11" hidden="1" x14ac:dyDescent="0.25">
      <c r="A38" s="1" t="s">
        <v>806</v>
      </c>
      <c r="B38" s="1" t="s">
        <v>1695</v>
      </c>
      <c r="C38" s="1" t="s">
        <v>843</v>
      </c>
      <c r="D38" s="1" t="s">
        <v>1695</v>
      </c>
      <c r="E38" s="1" t="s">
        <v>1695</v>
      </c>
      <c r="F38" s="1" t="s">
        <v>811</v>
      </c>
      <c r="G38" s="2">
        <v>45205</v>
      </c>
      <c r="H38" s="3">
        <v>0.60000000000000009</v>
      </c>
      <c r="I38" s="1" t="s">
        <v>1695</v>
      </c>
      <c r="J38" s="1" t="s">
        <v>1695</v>
      </c>
      <c r="K38">
        <v>19</v>
      </c>
    </row>
    <row r="39" spans="1:11" x14ac:dyDescent="0.25">
      <c r="A39" s="1" t="s">
        <v>806</v>
      </c>
      <c r="B39" s="1" t="s">
        <v>51</v>
      </c>
      <c r="C39" s="1" t="s">
        <v>844</v>
      </c>
      <c r="D39" s="1" t="s">
        <v>1506</v>
      </c>
      <c r="E39" s="1" t="s">
        <v>1507</v>
      </c>
      <c r="F39" s="1" t="s">
        <v>808</v>
      </c>
      <c r="G39" s="2">
        <v>45208</v>
      </c>
      <c r="H39" s="3">
        <v>0.86388888888888893</v>
      </c>
      <c r="I39" s="1">
        <v>-0.77432100000000004</v>
      </c>
      <c r="J39" s="1">
        <v>18.628658999999999</v>
      </c>
      <c r="K39">
        <v>92</v>
      </c>
    </row>
    <row r="40" spans="1:11" hidden="1" x14ac:dyDescent="0.25">
      <c r="A40" s="1" t="s">
        <v>806</v>
      </c>
      <c r="B40" s="1" t="s">
        <v>1695</v>
      </c>
      <c r="C40" s="1" t="s">
        <v>845</v>
      </c>
      <c r="D40" s="1" t="s">
        <v>1695</v>
      </c>
      <c r="E40" s="1" t="s">
        <v>1695</v>
      </c>
      <c r="F40" s="1" t="s">
        <v>811</v>
      </c>
      <c r="G40" s="2">
        <v>45217</v>
      </c>
      <c r="H40" s="3">
        <v>0.32152777777777786</v>
      </c>
      <c r="I40" s="1" t="s">
        <v>1695</v>
      </c>
      <c r="J40" s="1" t="s">
        <v>1695</v>
      </c>
      <c r="K40">
        <v>118</v>
      </c>
    </row>
    <row r="41" spans="1:11" x14ac:dyDescent="0.25">
      <c r="A41" s="1" t="s">
        <v>806</v>
      </c>
      <c r="B41" s="1" t="s">
        <v>37</v>
      </c>
      <c r="C41" s="1" t="s">
        <v>846</v>
      </c>
      <c r="D41" s="1" t="s">
        <v>1506</v>
      </c>
      <c r="E41" s="1" t="s">
        <v>1504</v>
      </c>
      <c r="F41" s="1" t="s">
        <v>808</v>
      </c>
      <c r="G41" s="2">
        <v>45210</v>
      </c>
      <c r="H41" s="3">
        <v>5.1388888888888928E-2</v>
      </c>
      <c r="I41" s="1">
        <v>-10.776204</v>
      </c>
      <c r="J41" s="1">
        <v>24.672934000000001</v>
      </c>
      <c r="K41">
        <v>73</v>
      </c>
    </row>
    <row r="42" spans="1:11" x14ac:dyDescent="0.25">
      <c r="A42" s="1" t="s">
        <v>806</v>
      </c>
      <c r="B42" s="1" t="s">
        <v>21</v>
      </c>
      <c r="C42" s="1" t="s">
        <v>847</v>
      </c>
      <c r="D42" s="1" t="s">
        <v>1508</v>
      </c>
      <c r="E42" s="1" t="s">
        <v>1509</v>
      </c>
      <c r="F42" s="1" t="s">
        <v>808</v>
      </c>
      <c r="G42" s="2">
        <v>45226</v>
      </c>
      <c r="H42" s="3">
        <v>7.7083333333333393E-2</v>
      </c>
      <c r="I42" s="1">
        <v>4.2493650000000001</v>
      </c>
      <c r="J42" s="1">
        <v>28.355039999999999</v>
      </c>
      <c r="K42">
        <v>101</v>
      </c>
    </row>
    <row r="43" spans="1:11" x14ac:dyDescent="0.25">
      <c r="A43" s="1" t="s">
        <v>806</v>
      </c>
      <c r="B43" s="1" t="s">
        <v>60</v>
      </c>
      <c r="C43" s="1" t="s">
        <v>848</v>
      </c>
      <c r="D43" s="1" t="s">
        <v>1506</v>
      </c>
      <c r="E43" s="1" t="s">
        <v>1507</v>
      </c>
      <c r="F43" s="1" t="s">
        <v>811</v>
      </c>
      <c r="G43" s="2">
        <v>45202</v>
      </c>
      <c r="H43" s="3">
        <v>0.29027777777777786</v>
      </c>
      <c r="I43" s="1">
        <v>4.9250049999999996</v>
      </c>
      <c r="J43" s="1">
        <v>19.887931999999999</v>
      </c>
      <c r="K43">
        <v>103</v>
      </c>
    </row>
    <row r="44" spans="1:11" hidden="1" x14ac:dyDescent="0.25">
      <c r="A44" s="1" t="s">
        <v>806</v>
      </c>
      <c r="B44" s="1" t="s">
        <v>1695</v>
      </c>
      <c r="C44" s="1" t="s">
        <v>849</v>
      </c>
      <c r="D44" s="1" t="s">
        <v>1695</v>
      </c>
      <c r="E44" s="1" t="s">
        <v>1695</v>
      </c>
      <c r="F44" s="1" t="s">
        <v>811</v>
      </c>
      <c r="G44" s="2">
        <v>45230</v>
      </c>
      <c r="H44" s="3">
        <v>0.78888888888888897</v>
      </c>
      <c r="I44" s="1" t="s">
        <v>1695</v>
      </c>
      <c r="J44" s="1" t="s">
        <v>1695</v>
      </c>
      <c r="K44">
        <v>87</v>
      </c>
    </row>
    <row r="45" spans="1:11" hidden="1" x14ac:dyDescent="0.25">
      <c r="A45" s="1" t="s">
        <v>806</v>
      </c>
      <c r="B45" s="1" t="s">
        <v>1695</v>
      </c>
      <c r="C45" s="1" t="s">
        <v>850</v>
      </c>
      <c r="D45" s="1" t="s">
        <v>1695</v>
      </c>
      <c r="E45" s="1" t="s">
        <v>1695</v>
      </c>
      <c r="F45" s="1" t="s">
        <v>808</v>
      </c>
      <c r="G45" s="2">
        <v>45222</v>
      </c>
      <c r="H45" s="3">
        <v>0.42569444444444438</v>
      </c>
      <c r="I45" s="1" t="s">
        <v>1695</v>
      </c>
      <c r="J45" s="1" t="s">
        <v>1695</v>
      </c>
      <c r="K45">
        <v>48</v>
      </c>
    </row>
    <row r="46" spans="1:11" hidden="1" x14ac:dyDescent="0.25">
      <c r="A46" s="1" t="s">
        <v>806</v>
      </c>
      <c r="B46" s="1" t="s">
        <v>1695</v>
      </c>
      <c r="C46" s="1" t="s">
        <v>851</v>
      </c>
      <c r="D46" s="1" t="s">
        <v>1695</v>
      </c>
      <c r="E46" s="1" t="s">
        <v>1695</v>
      </c>
      <c r="F46" s="1" t="s">
        <v>808</v>
      </c>
      <c r="G46" s="2">
        <v>45220</v>
      </c>
      <c r="H46" s="3">
        <v>0.64236111111111116</v>
      </c>
      <c r="I46" s="1" t="s">
        <v>1695</v>
      </c>
      <c r="J46" s="1" t="s">
        <v>1695</v>
      </c>
      <c r="K46">
        <v>19</v>
      </c>
    </row>
    <row r="47" spans="1:11" x14ac:dyDescent="0.25">
      <c r="A47" s="1" t="s">
        <v>806</v>
      </c>
      <c r="B47" s="1" t="s">
        <v>37</v>
      </c>
      <c r="C47" s="1" t="s">
        <v>846</v>
      </c>
      <c r="D47" s="1" t="s">
        <v>1506</v>
      </c>
      <c r="E47" s="1" t="s">
        <v>1504</v>
      </c>
      <c r="F47" s="1" t="s">
        <v>808</v>
      </c>
      <c r="G47" s="2">
        <v>45228</v>
      </c>
      <c r="H47" s="3">
        <v>0.85347222222222219</v>
      </c>
      <c r="I47" s="1">
        <v>-10.776204</v>
      </c>
      <c r="J47" s="1">
        <v>24.672934000000001</v>
      </c>
      <c r="K47">
        <v>42</v>
      </c>
    </row>
    <row r="48" spans="1:11" hidden="1" x14ac:dyDescent="0.25">
      <c r="A48" s="1" t="s">
        <v>806</v>
      </c>
      <c r="B48" s="1" t="s">
        <v>1695</v>
      </c>
      <c r="C48" s="1" t="s">
        <v>852</v>
      </c>
      <c r="D48" s="1" t="s">
        <v>1695</v>
      </c>
      <c r="E48" s="1" t="s">
        <v>1695</v>
      </c>
      <c r="F48" s="1" t="s">
        <v>808</v>
      </c>
      <c r="G48" s="2">
        <v>45204</v>
      </c>
      <c r="H48" s="3">
        <v>0.3388888888888888</v>
      </c>
      <c r="I48" s="1" t="s">
        <v>1695</v>
      </c>
      <c r="J48" s="1" t="s">
        <v>1695</v>
      </c>
      <c r="K48">
        <v>60</v>
      </c>
    </row>
    <row r="49" spans="1:11" x14ac:dyDescent="0.25">
      <c r="A49" s="1" t="s">
        <v>806</v>
      </c>
      <c r="B49" s="1" t="s">
        <v>131</v>
      </c>
      <c r="C49" s="1" t="s">
        <v>853</v>
      </c>
      <c r="D49" s="1" t="s">
        <v>1508</v>
      </c>
      <c r="E49" s="1" t="s">
        <v>1507</v>
      </c>
      <c r="F49" s="1" t="s">
        <v>813</v>
      </c>
      <c r="G49" s="2">
        <v>45207</v>
      </c>
      <c r="H49" s="3">
        <v>0.98263888888888884</v>
      </c>
      <c r="I49" s="1">
        <v>-11.866133</v>
      </c>
      <c r="J49" s="1">
        <v>27.068932</v>
      </c>
      <c r="K49">
        <v>25</v>
      </c>
    </row>
    <row r="50" spans="1:11" hidden="1" x14ac:dyDescent="0.25">
      <c r="A50" s="1" t="s">
        <v>806</v>
      </c>
      <c r="B50" s="1" t="s">
        <v>1695</v>
      </c>
      <c r="C50" s="1" t="s">
        <v>854</v>
      </c>
      <c r="D50" s="1" t="s">
        <v>1695</v>
      </c>
      <c r="E50" s="1" t="s">
        <v>1695</v>
      </c>
      <c r="F50" s="1" t="s">
        <v>811</v>
      </c>
      <c r="G50" s="2">
        <v>45225</v>
      </c>
      <c r="H50" s="3">
        <v>0.23888888888888893</v>
      </c>
      <c r="I50" s="1" t="s">
        <v>1695</v>
      </c>
      <c r="J50" s="1" t="s">
        <v>1695</v>
      </c>
      <c r="K50">
        <v>16</v>
      </c>
    </row>
    <row r="51" spans="1:11" hidden="1" x14ac:dyDescent="0.25">
      <c r="A51" s="1" t="s">
        <v>855</v>
      </c>
      <c r="B51" s="1" t="s">
        <v>1695</v>
      </c>
      <c r="C51" s="1" t="s">
        <v>856</v>
      </c>
      <c r="D51" s="1" t="s">
        <v>1695</v>
      </c>
      <c r="E51" s="1" t="s">
        <v>1695</v>
      </c>
      <c r="F51" s="1" t="s">
        <v>813</v>
      </c>
      <c r="G51" s="2">
        <v>45218</v>
      </c>
      <c r="H51" s="3">
        <v>0.63541666666666674</v>
      </c>
      <c r="I51" s="1" t="s">
        <v>1695</v>
      </c>
      <c r="J51" s="1" t="s">
        <v>1695</v>
      </c>
      <c r="K51">
        <v>17</v>
      </c>
    </row>
    <row r="52" spans="1:11" hidden="1" x14ac:dyDescent="0.25">
      <c r="A52" s="1" t="s">
        <v>855</v>
      </c>
      <c r="B52" s="1" t="s">
        <v>1695</v>
      </c>
      <c r="C52" s="1" t="s">
        <v>857</v>
      </c>
      <c r="D52" s="1" t="s">
        <v>1695</v>
      </c>
      <c r="E52" s="1" t="s">
        <v>1695</v>
      </c>
      <c r="F52" s="1" t="s">
        <v>808</v>
      </c>
      <c r="G52" s="2">
        <v>45225</v>
      </c>
      <c r="H52" s="3">
        <v>0.66041666666666665</v>
      </c>
      <c r="I52" s="1" t="s">
        <v>1695</v>
      </c>
      <c r="J52" s="1" t="s">
        <v>1695</v>
      </c>
      <c r="K52">
        <v>14</v>
      </c>
    </row>
    <row r="53" spans="1:11" x14ac:dyDescent="0.25">
      <c r="A53" s="1" t="s">
        <v>855</v>
      </c>
      <c r="B53" s="1" t="s">
        <v>13</v>
      </c>
      <c r="C53" s="1" t="s">
        <v>858</v>
      </c>
      <c r="D53" s="1" t="s">
        <v>1503</v>
      </c>
      <c r="E53" s="1" t="s">
        <v>1509</v>
      </c>
      <c r="F53" s="1" t="s">
        <v>813</v>
      </c>
      <c r="G53" s="2">
        <v>45213</v>
      </c>
      <c r="H53" s="3">
        <v>0.25416666666666665</v>
      </c>
      <c r="I53" s="1">
        <v>-5.1030600000000002</v>
      </c>
      <c r="J53" s="1">
        <v>22.849231</v>
      </c>
      <c r="K53">
        <v>73</v>
      </c>
    </row>
    <row r="54" spans="1:11" hidden="1" x14ac:dyDescent="0.25">
      <c r="A54" s="1" t="s">
        <v>855</v>
      </c>
      <c r="B54" s="1" t="s">
        <v>1695</v>
      </c>
      <c r="C54" s="1" t="s">
        <v>859</v>
      </c>
      <c r="D54" s="1" t="s">
        <v>1695</v>
      </c>
      <c r="E54" s="1" t="s">
        <v>1695</v>
      </c>
      <c r="F54" s="1" t="s">
        <v>808</v>
      </c>
      <c r="G54" s="2">
        <v>45203</v>
      </c>
      <c r="H54" s="3">
        <v>0.89375000000000004</v>
      </c>
      <c r="I54" s="1" t="s">
        <v>1695</v>
      </c>
      <c r="J54" s="1" t="s">
        <v>1695</v>
      </c>
      <c r="K54">
        <v>32</v>
      </c>
    </row>
    <row r="55" spans="1:11" hidden="1" x14ac:dyDescent="0.25">
      <c r="A55" s="1" t="s">
        <v>855</v>
      </c>
      <c r="B55" s="1" t="s">
        <v>1695</v>
      </c>
      <c r="C55" s="1" t="s">
        <v>841</v>
      </c>
      <c r="D55" s="1" t="s">
        <v>1695</v>
      </c>
      <c r="E55" s="1" t="s">
        <v>1695</v>
      </c>
      <c r="F55" s="1" t="s">
        <v>811</v>
      </c>
      <c r="G55" s="2">
        <v>45211</v>
      </c>
      <c r="H55" s="3">
        <v>0.55972222222222223</v>
      </c>
      <c r="I55" s="1" t="s">
        <v>1695</v>
      </c>
      <c r="J55" s="1" t="s">
        <v>1695</v>
      </c>
      <c r="K55">
        <v>69</v>
      </c>
    </row>
    <row r="56" spans="1:11" x14ac:dyDescent="0.25">
      <c r="A56" s="1" t="s">
        <v>855</v>
      </c>
      <c r="B56" s="1" t="s">
        <v>137</v>
      </c>
      <c r="C56" s="1" t="s">
        <v>860</v>
      </c>
      <c r="D56" s="1" t="s">
        <v>1508</v>
      </c>
      <c r="E56" s="1" t="s">
        <v>1507</v>
      </c>
      <c r="F56" s="1" t="s">
        <v>808</v>
      </c>
      <c r="G56" s="2">
        <v>45214</v>
      </c>
      <c r="H56" s="3">
        <v>0.9604166666666667</v>
      </c>
      <c r="I56" s="1">
        <v>-11.710407999999999</v>
      </c>
      <c r="J56" s="1">
        <v>23.741330999999999</v>
      </c>
      <c r="K56">
        <v>38</v>
      </c>
    </row>
    <row r="57" spans="1:11" x14ac:dyDescent="0.25">
      <c r="A57" s="1" t="s">
        <v>855</v>
      </c>
      <c r="B57" s="1" t="s">
        <v>37</v>
      </c>
      <c r="C57" s="1" t="s">
        <v>861</v>
      </c>
      <c r="D57" s="1" t="s">
        <v>1503</v>
      </c>
      <c r="E57" s="1" t="s">
        <v>1504</v>
      </c>
      <c r="F57" s="1" t="s">
        <v>811</v>
      </c>
      <c r="G57" s="2">
        <v>45221</v>
      </c>
      <c r="H57" s="3">
        <v>0.86180555555555549</v>
      </c>
      <c r="I57" s="1">
        <v>-1.864393</v>
      </c>
      <c r="J57" s="1">
        <v>21.453434000000001</v>
      </c>
      <c r="K57">
        <v>21</v>
      </c>
    </row>
    <row r="58" spans="1:11" hidden="1" x14ac:dyDescent="0.25">
      <c r="A58" s="1" t="s">
        <v>855</v>
      </c>
      <c r="B58" s="1" t="s">
        <v>1695</v>
      </c>
      <c r="C58" s="1" t="s">
        <v>862</v>
      </c>
      <c r="D58" s="1" t="s">
        <v>1695</v>
      </c>
      <c r="E58" s="1" t="s">
        <v>1695</v>
      </c>
      <c r="F58" s="1" t="s">
        <v>808</v>
      </c>
      <c r="G58" s="2">
        <v>45203</v>
      </c>
      <c r="H58" s="3">
        <v>5.9027777777777679E-2</v>
      </c>
      <c r="I58" s="1" t="s">
        <v>1695</v>
      </c>
      <c r="J58" s="1" t="s">
        <v>1695</v>
      </c>
      <c r="K58">
        <v>49</v>
      </c>
    </row>
    <row r="59" spans="1:11" hidden="1" x14ac:dyDescent="0.25">
      <c r="A59" s="1" t="s">
        <v>855</v>
      </c>
      <c r="B59" s="1" t="s">
        <v>1695</v>
      </c>
      <c r="C59" s="1" t="s">
        <v>863</v>
      </c>
      <c r="D59" s="1" t="s">
        <v>1695</v>
      </c>
      <c r="E59" s="1" t="s">
        <v>1695</v>
      </c>
      <c r="F59" s="1" t="s">
        <v>813</v>
      </c>
      <c r="G59" s="2">
        <v>45223</v>
      </c>
      <c r="H59" s="3">
        <v>0.45208333333333339</v>
      </c>
      <c r="I59" s="1" t="s">
        <v>1695</v>
      </c>
      <c r="J59" s="1" t="s">
        <v>1695</v>
      </c>
      <c r="K59">
        <v>117</v>
      </c>
    </row>
    <row r="60" spans="1:11" hidden="1" x14ac:dyDescent="0.25">
      <c r="A60" s="1" t="s">
        <v>855</v>
      </c>
      <c r="B60" s="1" t="s">
        <v>1695</v>
      </c>
      <c r="C60" s="1" t="s">
        <v>864</v>
      </c>
      <c r="D60" s="1" t="s">
        <v>1695</v>
      </c>
      <c r="E60" s="1" t="s">
        <v>1695</v>
      </c>
      <c r="F60" s="1" t="s">
        <v>811</v>
      </c>
      <c r="G60" s="2">
        <v>45227</v>
      </c>
      <c r="H60" s="3">
        <v>0.13541666666666674</v>
      </c>
      <c r="I60" s="1" t="s">
        <v>1695</v>
      </c>
      <c r="J60" s="1" t="s">
        <v>1695</v>
      </c>
      <c r="K60">
        <v>13</v>
      </c>
    </row>
    <row r="61" spans="1:11" hidden="1" x14ac:dyDescent="0.25">
      <c r="A61" s="1" t="s">
        <v>855</v>
      </c>
      <c r="B61" s="1" t="s">
        <v>1695</v>
      </c>
      <c r="C61" s="1" t="s">
        <v>865</v>
      </c>
      <c r="D61" s="1" t="s">
        <v>1695</v>
      </c>
      <c r="E61" s="1" t="s">
        <v>1695</v>
      </c>
      <c r="F61" s="1" t="s">
        <v>813</v>
      </c>
      <c r="G61" s="2">
        <v>45206</v>
      </c>
      <c r="H61" s="3">
        <v>0.27361111111111103</v>
      </c>
      <c r="I61" s="1" t="s">
        <v>1695</v>
      </c>
      <c r="J61" s="1" t="s">
        <v>1695</v>
      </c>
      <c r="K61">
        <v>117</v>
      </c>
    </row>
    <row r="62" spans="1:11" hidden="1" x14ac:dyDescent="0.25">
      <c r="A62" s="1" t="s">
        <v>855</v>
      </c>
      <c r="B62" s="1" t="s">
        <v>1695</v>
      </c>
      <c r="C62" s="1" t="s">
        <v>856</v>
      </c>
      <c r="D62" s="1" t="s">
        <v>1695</v>
      </c>
      <c r="E62" s="1" t="s">
        <v>1695</v>
      </c>
      <c r="F62" s="1" t="s">
        <v>811</v>
      </c>
      <c r="G62" s="2">
        <v>45214</v>
      </c>
      <c r="H62" s="3">
        <v>0.18541666666666656</v>
      </c>
      <c r="I62" s="1" t="s">
        <v>1695</v>
      </c>
      <c r="J62" s="1" t="s">
        <v>1695</v>
      </c>
      <c r="K62">
        <v>36</v>
      </c>
    </row>
    <row r="63" spans="1:11" x14ac:dyDescent="0.25">
      <c r="A63" s="1" t="s">
        <v>855</v>
      </c>
      <c r="B63" s="1" t="s">
        <v>37</v>
      </c>
      <c r="C63" s="1" t="s">
        <v>866</v>
      </c>
      <c r="D63" s="1" t="s">
        <v>1508</v>
      </c>
      <c r="E63" s="1" t="s">
        <v>1516</v>
      </c>
      <c r="F63" s="1" t="s">
        <v>811</v>
      </c>
      <c r="G63" s="2">
        <v>45205</v>
      </c>
      <c r="H63" s="3">
        <v>0.35347222222222219</v>
      </c>
      <c r="I63" s="1">
        <v>3.1362930000000002</v>
      </c>
      <c r="J63" s="1">
        <v>16.190878000000001</v>
      </c>
      <c r="K63">
        <v>52</v>
      </c>
    </row>
    <row r="64" spans="1:11" x14ac:dyDescent="0.25">
      <c r="A64" s="1" t="s">
        <v>855</v>
      </c>
      <c r="B64" s="1" t="s">
        <v>51</v>
      </c>
      <c r="C64" s="1" t="s">
        <v>867</v>
      </c>
      <c r="D64" s="1" t="s">
        <v>1508</v>
      </c>
      <c r="E64" s="1" t="s">
        <v>1507</v>
      </c>
      <c r="F64" s="1" t="s">
        <v>808</v>
      </c>
      <c r="G64" s="2">
        <v>45207</v>
      </c>
      <c r="H64" s="3">
        <v>0.10277777777777786</v>
      </c>
      <c r="I64" s="1">
        <v>-5.9021970000000001</v>
      </c>
      <c r="J64" s="1">
        <v>20.551169999999999</v>
      </c>
      <c r="K64">
        <v>41</v>
      </c>
    </row>
    <row r="65" spans="1:11" x14ac:dyDescent="0.25">
      <c r="A65" s="1" t="s">
        <v>855</v>
      </c>
      <c r="B65" s="1" t="s">
        <v>24</v>
      </c>
      <c r="C65" s="1" t="s">
        <v>868</v>
      </c>
      <c r="D65" s="1" t="s">
        <v>1506</v>
      </c>
      <c r="E65" s="1" t="s">
        <v>1504</v>
      </c>
      <c r="F65" s="1" t="s">
        <v>808</v>
      </c>
      <c r="G65" s="2">
        <v>45225</v>
      </c>
      <c r="H65" s="3">
        <v>0.71249999999999991</v>
      </c>
      <c r="I65" s="1">
        <v>-5.5445120000000001</v>
      </c>
      <c r="J65" s="1">
        <v>27.547335</v>
      </c>
      <c r="K65">
        <v>25</v>
      </c>
    </row>
    <row r="66" spans="1:11" hidden="1" x14ac:dyDescent="0.25">
      <c r="A66" s="1" t="s">
        <v>855</v>
      </c>
      <c r="B66" s="1" t="s">
        <v>1695</v>
      </c>
      <c r="C66" s="1" t="s">
        <v>869</v>
      </c>
      <c r="D66" s="1" t="s">
        <v>1695</v>
      </c>
      <c r="E66" s="1" t="s">
        <v>1695</v>
      </c>
      <c r="F66" s="1" t="s">
        <v>808</v>
      </c>
      <c r="G66" s="2">
        <v>45201</v>
      </c>
      <c r="H66" s="3">
        <v>0.85694444444444451</v>
      </c>
      <c r="I66" s="1" t="s">
        <v>1695</v>
      </c>
      <c r="J66" s="1" t="s">
        <v>1695</v>
      </c>
      <c r="K66">
        <v>61</v>
      </c>
    </row>
    <row r="67" spans="1:11" hidden="1" x14ac:dyDescent="0.25">
      <c r="A67" s="1" t="s">
        <v>855</v>
      </c>
      <c r="B67" s="1" t="s">
        <v>1695</v>
      </c>
      <c r="C67" s="1" t="s">
        <v>809</v>
      </c>
      <c r="D67" s="1" t="s">
        <v>1695</v>
      </c>
      <c r="E67" s="1" t="s">
        <v>1695</v>
      </c>
      <c r="F67" s="1" t="s">
        <v>808</v>
      </c>
      <c r="G67" s="2">
        <v>45226</v>
      </c>
      <c r="H67" s="3">
        <v>3.4722222222223209E-3</v>
      </c>
      <c r="I67" s="1" t="s">
        <v>1695</v>
      </c>
      <c r="J67" s="1" t="s">
        <v>1695</v>
      </c>
      <c r="K67">
        <v>111</v>
      </c>
    </row>
    <row r="68" spans="1:11" hidden="1" x14ac:dyDescent="0.25">
      <c r="A68" s="1" t="s">
        <v>855</v>
      </c>
      <c r="B68" s="1" t="s">
        <v>1695</v>
      </c>
      <c r="C68" s="1" t="s">
        <v>870</v>
      </c>
      <c r="D68" s="1" t="s">
        <v>1695</v>
      </c>
      <c r="E68" s="1" t="s">
        <v>1695</v>
      </c>
      <c r="F68" s="1" t="s">
        <v>813</v>
      </c>
      <c r="G68" s="2">
        <v>45229</v>
      </c>
      <c r="H68" s="3">
        <v>0.29861111111111116</v>
      </c>
      <c r="I68" s="1" t="s">
        <v>1695</v>
      </c>
      <c r="J68" s="1" t="s">
        <v>1695</v>
      </c>
      <c r="K68">
        <v>74</v>
      </c>
    </row>
    <row r="69" spans="1:11" x14ac:dyDescent="0.25">
      <c r="A69" s="1" t="s">
        <v>855</v>
      </c>
      <c r="B69" s="1" t="s">
        <v>24</v>
      </c>
      <c r="C69" s="1" t="s">
        <v>871</v>
      </c>
      <c r="D69" s="1" t="s">
        <v>1503</v>
      </c>
      <c r="E69" s="1" t="s">
        <v>1504</v>
      </c>
      <c r="F69" s="1" t="s">
        <v>808</v>
      </c>
      <c r="G69" s="2">
        <v>45213</v>
      </c>
      <c r="H69" s="3">
        <v>0.64583333333333326</v>
      </c>
      <c r="I69" s="1">
        <v>-2.9417719999999998</v>
      </c>
      <c r="J69" s="1">
        <v>18.587305000000001</v>
      </c>
      <c r="K69">
        <v>95</v>
      </c>
    </row>
    <row r="70" spans="1:11" x14ac:dyDescent="0.25">
      <c r="A70" s="1" t="s">
        <v>855</v>
      </c>
      <c r="B70" s="1" t="s">
        <v>40</v>
      </c>
      <c r="C70" s="1" t="s">
        <v>872</v>
      </c>
      <c r="D70" s="1" t="s">
        <v>1506</v>
      </c>
      <c r="E70" s="1" t="s">
        <v>1507</v>
      </c>
      <c r="F70" s="1" t="s">
        <v>808</v>
      </c>
      <c r="G70" s="2">
        <v>45206</v>
      </c>
      <c r="H70" s="3">
        <v>0.5395833333333333</v>
      </c>
      <c r="I70" s="1">
        <v>-10.963041</v>
      </c>
      <c r="J70" s="1">
        <v>12.269857</v>
      </c>
      <c r="K70">
        <v>43</v>
      </c>
    </row>
    <row r="71" spans="1:11" x14ac:dyDescent="0.25">
      <c r="A71" s="1" t="s">
        <v>855</v>
      </c>
      <c r="B71" s="1" t="s">
        <v>131</v>
      </c>
      <c r="C71" s="1" t="s">
        <v>873</v>
      </c>
      <c r="D71" s="1" t="s">
        <v>1503</v>
      </c>
      <c r="E71" s="1" t="s">
        <v>1509</v>
      </c>
      <c r="F71" s="1" t="s">
        <v>811</v>
      </c>
      <c r="G71" s="2">
        <v>45201</v>
      </c>
      <c r="H71" s="3">
        <v>0.22500000000000009</v>
      </c>
      <c r="I71" s="1">
        <v>0.82868600000000003</v>
      </c>
      <c r="J71" s="1">
        <v>26.958843999999999</v>
      </c>
      <c r="K71">
        <v>83</v>
      </c>
    </row>
    <row r="72" spans="1:11" hidden="1" x14ac:dyDescent="0.25">
      <c r="A72" s="1" t="s">
        <v>855</v>
      </c>
      <c r="B72" s="1" t="s">
        <v>1695</v>
      </c>
      <c r="C72" s="1" t="s">
        <v>874</v>
      </c>
      <c r="D72" s="1" t="s">
        <v>1695</v>
      </c>
      <c r="E72" s="1" t="s">
        <v>1695</v>
      </c>
      <c r="F72" s="1" t="s">
        <v>813</v>
      </c>
      <c r="G72" s="2">
        <v>45200</v>
      </c>
      <c r="H72" s="3">
        <v>0.51111111111111107</v>
      </c>
      <c r="I72" s="1" t="s">
        <v>1695</v>
      </c>
      <c r="J72" s="1" t="s">
        <v>1695</v>
      </c>
      <c r="K72">
        <v>108</v>
      </c>
    </row>
    <row r="73" spans="1:11" x14ac:dyDescent="0.25">
      <c r="A73" s="1" t="s">
        <v>855</v>
      </c>
      <c r="B73" s="1" t="s">
        <v>31</v>
      </c>
      <c r="C73" s="1" t="s">
        <v>832</v>
      </c>
      <c r="D73" s="1" t="s">
        <v>1503</v>
      </c>
      <c r="E73" s="1" t="s">
        <v>1504</v>
      </c>
      <c r="F73" s="1" t="s">
        <v>813</v>
      </c>
      <c r="G73" s="2">
        <v>45229</v>
      </c>
      <c r="H73" s="3">
        <v>0.59583333333333344</v>
      </c>
      <c r="I73" s="1">
        <v>-10.56448</v>
      </c>
      <c r="J73" s="1">
        <v>19.792876</v>
      </c>
      <c r="K73">
        <v>88</v>
      </c>
    </row>
    <row r="74" spans="1:11" x14ac:dyDescent="0.25">
      <c r="A74" s="1" t="s">
        <v>855</v>
      </c>
      <c r="B74" s="1" t="s">
        <v>35</v>
      </c>
      <c r="C74" s="1" t="s">
        <v>875</v>
      </c>
      <c r="D74" s="1" t="s">
        <v>1506</v>
      </c>
      <c r="E74" s="1" t="s">
        <v>1516</v>
      </c>
      <c r="F74" s="1" t="s">
        <v>811</v>
      </c>
      <c r="G74" s="2">
        <v>45213</v>
      </c>
      <c r="H74" s="3">
        <v>0.94861111111111107</v>
      </c>
      <c r="I74" s="1">
        <v>-2.7140689999999998</v>
      </c>
      <c r="J74" s="1">
        <v>22.222104000000002</v>
      </c>
      <c r="K74">
        <v>72</v>
      </c>
    </row>
    <row r="75" spans="1:11" hidden="1" x14ac:dyDescent="0.25">
      <c r="A75" s="1" t="s">
        <v>855</v>
      </c>
      <c r="B75" s="1" t="s">
        <v>1695</v>
      </c>
      <c r="C75" s="1" t="s">
        <v>876</v>
      </c>
      <c r="D75" s="1" t="s">
        <v>1695</v>
      </c>
      <c r="E75" s="1" t="s">
        <v>1695</v>
      </c>
      <c r="F75" s="1" t="s">
        <v>811</v>
      </c>
      <c r="G75" s="2">
        <v>45225</v>
      </c>
      <c r="H75" s="3">
        <v>0.73750000000000004</v>
      </c>
      <c r="I75" s="1" t="s">
        <v>1695</v>
      </c>
      <c r="J75" s="1" t="s">
        <v>1695</v>
      </c>
      <c r="K75">
        <v>6</v>
      </c>
    </row>
    <row r="76" spans="1:11" x14ac:dyDescent="0.25">
      <c r="A76" s="1" t="s">
        <v>855</v>
      </c>
      <c r="B76" s="1" t="s">
        <v>37</v>
      </c>
      <c r="C76" s="1" t="s">
        <v>877</v>
      </c>
      <c r="D76" s="1" t="s">
        <v>1508</v>
      </c>
      <c r="E76" s="1" t="s">
        <v>1516</v>
      </c>
      <c r="F76" s="1" t="s">
        <v>808</v>
      </c>
      <c r="G76" s="2">
        <v>45222</v>
      </c>
      <c r="H76" s="3">
        <v>0.63125000000000009</v>
      </c>
      <c r="I76" s="1">
        <v>-2.099631</v>
      </c>
      <c r="J76" s="1">
        <v>13.974640000000001</v>
      </c>
      <c r="K76">
        <v>90</v>
      </c>
    </row>
    <row r="77" spans="1:11" hidden="1" x14ac:dyDescent="0.25">
      <c r="A77" s="1" t="s">
        <v>855</v>
      </c>
      <c r="B77" s="1" t="s">
        <v>1695</v>
      </c>
      <c r="C77" s="1" t="s">
        <v>878</v>
      </c>
      <c r="D77" s="1" t="s">
        <v>1695</v>
      </c>
      <c r="E77" s="1" t="s">
        <v>1695</v>
      </c>
      <c r="F77" s="1" t="s">
        <v>813</v>
      </c>
      <c r="G77" s="2">
        <v>45206</v>
      </c>
      <c r="H77" s="3">
        <v>0.38402777777777786</v>
      </c>
      <c r="I77" s="1" t="s">
        <v>1695</v>
      </c>
      <c r="J77" s="1" t="s">
        <v>1695</v>
      </c>
      <c r="K77">
        <v>109</v>
      </c>
    </row>
    <row r="78" spans="1:11" hidden="1" x14ac:dyDescent="0.25">
      <c r="A78" s="1" t="s">
        <v>855</v>
      </c>
      <c r="B78" s="1" t="s">
        <v>1695</v>
      </c>
      <c r="C78" s="1" t="s">
        <v>879</v>
      </c>
      <c r="D78" s="1" t="s">
        <v>1695</v>
      </c>
      <c r="E78" s="1" t="s">
        <v>1695</v>
      </c>
      <c r="F78" s="1" t="s">
        <v>808</v>
      </c>
      <c r="G78" s="2">
        <v>45230</v>
      </c>
      <c r="H78" s="3">
        <v>6.7361111111111205E-2</v>
      </c>
      <c r="I78" s="1" t="s">
        <v>1695</v>
      </c>
      <c r="J78" s="1" t="s">
        <v>1695</v>
      </c>
      <c r="K78">
        <v>75</v>
      </c>
    </row>
    <row r="79" spans="1:11" hidden="1" x14ac:dyDescent="0.25">
      <c r="A79" s="1" t="s">
        <v>855</v>
      </c>
      <c r="B79" s="1" t="s">
        <v>1695</v>
      </c>
      <c r="C79" s="1" t="s">
        <v>880</v>
      </c>
      <c r="D79" s="1" t="s">
        <v>1695</v>
      </c>
      <c r="E79" s="1" t="s">
        <v>1695</v>
      </c>
      <c r="F79" s="1" t="s">
        <v>811</v>
      </c>
      <c r="G79" s="2">
        <v>45223</v>
      </c>
      <c r="H79" s="3">
        <v>0.7104166666666667</v>
      </c>
      <c r="I79" s="1" t="s">
        <v>1695</v>
      </c>
      <c r="J79" s="1" t="s">
        <v>1695</v>
      </c>
      <c r="K79">
        <v>43</v>
      </c>
    </row>
    <row r="80" spans="1:11" x14ac:dyDescent="0.25">
      <c r="A80" s="1" t="s">
        <v>855</v>
      </c>
      <c r="B80" s="1" t="s">
        <v>24</v>
      </c>
      <c r="C80" s="1" t="s">
        <v>881</v>
      </c>
      <c r="D80" s="1" t="s">
        <v>1508</v>
      </c>
      <c r="E80" s="1" t="s">
        <v>1504</v>
      </c>
      <c r="F80" s="1" t="s">
        <v>808</v>
      </c>
      <c r="G80" s="2">
        <v>45223</v>
      </c>
      <c r="H80" s="3">
        <v>0.41874999999999996</v>
      </c>
      <c r="I80" s="1">
        <v>4.4712560000000003</v>
      </c>
      <c r="J80" s="1">
        <v>27.107028</v>
      </c>
      <c r="K80">
        <v>89</v>
      </c>
    </row>
    <row r="81" spans="1:11" hidden="1" x14ac:dyDescent="0.25">
      <c r="A81" s="1" t="s">
        <v>855</v>
      </c>
      <c r="B81" s="1" t="s">
        <v>1695</v>
      </c>
      <c r="C81" s="1" t="s">
        <v>843</v>
      </c>
      <c r="D81" s="1" t="s">
        <v>1695</v>
      </c>
      <c r="E81" s="1" t="s">
        <v>1695</v>
      </c>
      <c r="F81" s="1" t="s">
        <v>813</v>
      </c>
      <c r="G81" s="2">
        <v>45201</v>
      </c>
      <c r="H81" s="3">
        <v>0.77083333333333326</v>
      </c>
      <c r="I81" s="1" t="s">
        <v>1695</v>
      </c>
      <c r="J81" s="1" t="s">
        <v>1695</v>
      </c>
      <c r="K81">
        <v>18</v>
      </c>
    </row>
    <row r="82" spans="1:11" x14ac:dyDescent="0.25">
      <c r="A82" s="1" t="s">
        <v>855</v>
      </c>
      <c r="B82" s="1" t="s">
        <v>31</v>
      </c>
      <c r="C82" s="1" t="s">
        <v>882</v>
      </c>
      <c r="D82" s="1" t="s">
        <v>1503</v>
      </c>
      <c r="E82" s="1" t="s">
        <v>1504</v>
      </c>
      <c r="F82" s="1" t="s">
        <v>808</v>
      </c>
      <c r="G82" s="2">
        <v>45216</v>
      </c>
      <c r="H82" s="3">
        <v>0.67361111111111116</v>
      </c>
      <c r="I82" s="1">
        <v>-12.141233</v>
      </c>
      <c r="J82" s="1">
        <v>15.179043999999999</v>
      </c>
      <c r="K82">
        <v>117</v>
      </c>
    </row>
    <row r="83" spans="1:11" hidden="1" x14ac:dyDescent="0.25">
      <c r="A83" s="1" t="s">
        <v>855</v>
      </c>
      <c r="B83" s="1" t="s">
        <v>1695</v>
      </c>
      <c r="C83" s="1" t="s">
        <v>883</v>
      </c>
      <c r="D83" s="1" t="s">
        <v>1695</v>
      </c>
      <c r="E83" s="1" t="s">
        <v>1695</v>
      </c>
      <c r="F83" s="1" t="s">
        <v>813</v>
      </c>
      <c r="G83" s="2">
        <v>45201</v>
      </c>
      <c r="H83" s="3">
        <v>0.67013888888888884</v>
      </c>
      <c r="I83" s="1" t="s">
        <v>1695</v>
      </c>
      <c r="J83" s="1" t="s">
        <v>1695</v>
      </c>
      <c r="K83">
        <v>22</v>
      </c>
    </row>
    <row r="84" spans="1:11" hidden="1" x14ac:dyDescent="0.25">
      <c r="A84" s="1" t="s">
        <v>855</v>
      </c>
      <c r="B84" s="1" t="s">
        <v>1695</v>
      </c>
      <c r="C84" s="1" t="s">
        <v>884</v>
      </c>
      <c r="D84" s="1" t="s">
        <v>1695</v>
      </c>
      <c r="E84" s="1" t="s">
        <v>1695</v>
      </c>
      <c r="F84" s="1" t="s">
        <v>808</v>
      </c>
      <c r="G84" s="2">
        <v>45227</v>
      </c>
      <c r="H84" s="3">
        <v>0.21111111111111103</v>
      </c>
      <c r="I84" s="1" t="s">
        <v>1695</v>
      </c>
      <c r="J84" s="1" t="s">
        <v>1695</v>
      </c>
      <c r="K84">
        <v>38</v>
      </c>
    </row>
    <row r="85" spans="1:11" x14ac:dyDescent="0.25">
      <c r="A85" s="1" t="s">
        <v>855</v>
      </c>
      <c r="B85" s="1" t="s">
        <v>40</v>
      </c>
      <c r="C85" s="1" t="s">
        <v>885</v>
      </c>
      <c r="D85" s="1" t="s">
        <v>1508</v>
      </c>
      <c r="E85" s="1" t="s">
        <v>1509</v>
      </c>
      <c r="F85" s="1" t="s">
        <v>808</v>
      </c>
      <c r="G85" s="2">
        <v>45219</v>
      </c>
      <c r="H85" s="3">
        <v>0.11319444444444438</v>
      </c>
      <c r="I85" s="1">
        <v>-9.7712979999999998</v>
      </c>
      <c r="J85" s="1">
        <v>19.827895999999999</v>
      </c>
      <c r="K85">
        <v>19</v>
      </c>
    </row>
    <row r="86" spans="1:11" x14ac:dyDescent="0.25">
      <c r="A86" s="1" t="s">
        <v>855</v>
      </c>
      <c r="B86" s="1" t="s">
        <v>31</v>
      </c>
      <c r="C86" s="1" t="s">
        <v>886</v>
      </c>
      <c r="D86" s="1" t="s">
        <v>1506</v>
      </c>
      <c r="E86" s="1" t="s">
        <v>1507</v>
      </c>
      <c r="F86" s="1" t="s">
        <v>813</v>
      </c>
      <c r="G86" s="2">
        <v>45227</v>
      </c>
      <c r="H86" s="3">
        <v>0.30902777777777768</v>
      </c>
      <c r="I86" s="1">
        <v>-10.914952</v>
      </c>
      <c r="J86" s="1">
        <v>26.409648000000001</v>
      </c>
      <c r="K86">
        <v>118</v>
      </c>
    </row>
    <row r="87" spans="1:11" x14ac:dyDescent="0.25">
      <c r="A87" s="1" t="s">
        <v>855</v>
      </c>
      <c r="B87" s="1" t="s">
        <v>89</v>
      </c>
      <c r="C87" s="1" t="s">
        <v>887</v>
      </c>
      <c r="D87" s="1" t="s">
        <v>1503</v>
      </c>
      <c r="E87" s="1" t="s">
        <v>1516</v>
      </c>
      <c r="F87" s="1" t="s">
        <v>813</v>
      </c>
      <c r="G87" s="2">
        <v>45203</v>
      </c>
      <c r="H87" s="3">
        <v>0.76041666666666674</v>
      </c>
      <c r="I87" s="1">
        <v>0.94539899999999999</v>
      </c>
      <c r="J87" s="1">
        <v>14.401821999999999</v>
      </c>
      <c r="K87">
        <v>18</v>
      </c>
    </row>
    <row r="88" spans="1:11" hidden="1" x14ac:dyDescent="0.25">
      <c r="A88" s="1" t="s">
        <v>855</v>
      </c>
      <c r="B88" s="1" t="s">
        <v>1695</v>
      </c>
      <c r="C88" s="1" t="s">
        <v>888</v>
      </c>
      <c r="D88" s="1" t="s">
        <v>1695</v>
      </c>
      <c r="E88" s="1" t="s">
        <v>1695</v>
      </c>
      <c r="F88" s="1" t="s">
        <v>813</v>
      </c>
      <c r="G88" s="2">
        <v>45218</v>
      </c>
      <c r="H88" s="3">
        <v>0.79305555555555562</v>
      </c>
      <c r="I88" s="1" t="s">
        <v>1695</v>
      </c>
      <c r="J88" s="1" t="s">
        <v>1695</v>
      </c>
      <c r="K88">
        <v>100</v>
      </c>
    </row>
    <row r="89" spans="1:11" x14ac:dyDescent="0.25">
      <c r="A89" s="1" t="s">
        <v>855</v>
      </c>
      <c r="B89" s="1" t="s">
        <v>10</v>
      </c>
      <c r="C89" s="1" t="s">
        <v>889</v>
      </c>
      <c r="D89" s="1" t="s">
        <v>1508</v>
      </c>
      <c r="E89" s="1" t="s">
        <v>1516</v>
      </c>
      <c r="F89" s="1" t="s">
        <v>808</v>
      </c>
      <c r="G89" s="2">
        <v>45219</v>
      </c>
      <c r="H89" s="3">
        <v>0.10138888888888897</v>
      </c>
      <c r="I89" s="1">
        <v>-7.0076900000000002</v>
      </c>
      <c r="J89" s="1">
        <v>27.367121999999998</v>
      </c>
      <c r="K89">
        <v>75</v>
      </c>
    </row>
    <row r="90" spans="1:11" x14ac:dyDescent="0.25">
      <c r="A90" s="1" t="s">
        <v>855</v>
      </c>
      <c r="B90" s="1" t="s">
        <v>16</v>
      </c>
      <c r="C90" s="1" t="s">
        <v>890</v>
      </c>
      <c r="D90" s="1" t="s">
        <v>1503</v>
      </c>
      <c r="E90" s="1" t="s">
        <v>1504</v>
      </c>
      <c r="F90" s="1" t="s">
        <v>808</v>
      </c>
      <c r="G90" s="2">
        <v>45221</v>
      </c>
      <c r="H90" s="3">
        <v>0.77499999999999991</v>
      </c>
      <c r="I90" s="1">
        <v>-11.514188000000001</v>
      </c>
      <c r="J90" s="1">
        <v>15.971181</v>
      </c>
      <c r="K90">
        <v>24</v>
      </c>
    </row>
    <row r="91" spans="1:11" x14ac:dyDescent="0.25">
      <c r="A91" s="1" t="s">
        <v>855</v>
      </c>
      <c r="B91" s="1" t="s">
        <v>33</v>
      </c>
      <c r="C91" s="1" t="s">
        <v>891</v>
      </c>
      <c r="D91" s="1" t="s">
        <v>1506</v>
      </c>
      <c r="E91" s="1" t="s">
        <v>1504</v>
      </c>
      <c r="F91" s="1" t="s">
        <v>808</v>
      </c>
      <c r="G91" s="2">
        <v>45216</v>
      </c>
      <c r="H91" s="3">
        <v>0.45763888888888893</v>
      </c>
      <c r="I91" s="1">
        <v>-9.5266249999999992</v>
      </c>
      <c r="J91" s="1">
        <v>27.889690999999999</v>
      </c>
      <c r="K91">
        <v>39</v>
      </c>
    </row>
    <row r="92" spans="1:11" x14ac:dyDescent="0.25">
      <c r="A92" s="1" t="s">
        <v>855</v>
      </c>
      <c r="B92" s="1" t="s">
        <v>89</v>
      </c>
      <c r="C92" s="1" t="s">
        <v>892</v>
      </c>
      <c r="D92" s="1" t="s">
        <v>1503</v>
      </c>
      <c r="E92" s="1" t="s">
        <v>1509</v>
      </c>
      <c r="F92" s="1" t="s">
        <v>811</v>
      </c>
      <c r="G92" s="2">
        <v>45208</v>
      </c>
      <c r="H92" s="3">
        <v>0.27916666666666656</v>
      </c>
      <c r="I92" s="1">
        <v>-9.3066320000000005</v>
      </c>
      <c r="J92" s="1">
        <v>20.470889</v>
      </c>
      <c r="K92">
        <v>41</v>
      </c>
    </row>
    <row r="93" spans="1:11" x14ac:dyDescent="0.25">
      <c r="A93" s="1" t="s">
        <v>855</v>
      </c>
      <c r="B93" s="1" t="s">
        <v>26</v>
      </c>
      <c r="C93" s="1" t="s">
        <v>893</v>
      </c>
      <c r="D93" s="1" t="s">
        <v>1508</v>
      </c>
      <c r="E93" s="1" t="s">
        <v>1507</v>
      </c>
      <c r="F93" s="1" t="s">
        <v>808</v>
      </c>
      <c r="G93" s="2">
        <v>45222</v>
      </c>
      <c r="H93" s="3">
        <v>0.42708333333333326</v>
      </c>
      <c r="I93" s="1">
        <v>-4.4697000000000001E-2</v>
      </c>
      <c r="J93" s="1">
        <v>22.943373000000001</v>
      </c>
      <c r="K93">
        <v>82</v>
      </c>
    </row>
    <row r="94" spans="1:11" hidden="1" x14ac:dyDescent="0.25">
      <c r="A94" s="1" t="s">
        <v>855</v>
      </c>
      <c r="B94" s="1" t="s">
        <v>1695</v>
      </c>
      <c r="C94" s="1" t="s">
        <v>894</v>
      </c>
      <c r="D94" s="1" t="s">
        <v>1695</v>
      </c>
      <c r="E94" s="1" t="s">
        <v>1695</v>
      </c>
      <c r="F94" s="1" t="s">
        <v>813</v>
      </c>
      <c r="G94" s="2">
        <v>45208</v>
      </c>
      <c r="H94" s="3">
        <v>0.50555555555555554</v>
      </c>
      <c r="I94" s="1" t="s">
        <v>1695</v>
      </c>
      <c r="J94" s="1" t="s">
        <v>1695</v>
      </c>
      <c r="K94">
        <v>31</v>
      </c>
    </row>
    <row r="95" spans="1:11" x14ac:dyDescent="0.25">
      <c r="A95" s="1" t="s">
        <v>855</v>
      </c>
      <c r="B95" s="1" t="s">
        <v>21</v>
      </c>
      <c r="C95" s="1" t="s">
        <v>895</v>
      </c>
      <c r="D95" s="1" t="s">
        <v>1508</v>
      </c>
      <c r="E95" s="1" t="s">
        <v>1516</v>
      </c>
      <c r="F95" s="1" t="s">
        <v>813</v>
      </c>
      <c r="G95" s="2">
        <v>45221</v>
      </c>
      <c r="H95" s="3">
        <v>0.84652777777777777</v>
      </c>
      <c r="I95" s="1">
        <v>-5.2526849999999996</v>
      </c>
      <c r="J95" s="1">
        <v>12.374528</v>
      </c>
      <c r="K95">
        <v>96</v>
      </c>
    </row>
    <row r="96" spans="1:11" x14ac:dyDescent="0.25">
      <c r="A96" s="1" t="s">
        <v>855</v>
      </c>
      <c r="B96" s="1" t="s">
        <v>31</v>
      </c>
      <c r="C96" s="1" t="s">
        <v>896</v>
      </c>
      <c r="D96" s="1" t="s">
        <v>1503</v>
      </c>
      <c r="E96" s="1" t="s">
        <v>1516</v>
      </c>
      <c r="F96" s="1" t="s">
        <v>813</v>
      </c>
      <c r="G96" s="2">
        <v>45214</v>
      </c>
      <c r="H96" s="3">
        <v>0.45763888888888893</v>
      </c>
      <c r="I96" s="1">
        <v>-9.3652239999999995</v>
      </c>
      <c r="J96" s="1">
        <v>22.593423999999999</v>
      </c>
      <c r="K96">
        <v>48</v>
      </c>
    </row>
    <row r="97" spans="1:11" hidden="1" x14ac:dyDescent="0.25">
      <c r="A97" s="1" t="s">
        <v>855</v>
      </c>
      <c r="B97" s="1" t="s">
        <v>1695</v>
      </c>
      <c r="C97" s="1" t="s">
        <v>897</v>
      </c>
      <c r="D97" s="1" t="s">
        <v>1695</v>
      </c>
      <c r="E97" s="1" t="s">
        <v>1695</v>
      </c>
      <c r="F97" s="1" t="s">
        <v>808</v>
      </c>
      <c r="G97" s="2">
        <v>45224</v>
      </c>
      <c r="H97" s="3">
        <v>8.3333333333333259E-2</v>
      </c>
      <c r="I97" s="1" t="s">
        <v>1695</v>
      </c>
      <c r="J97" s="1" t="s">
        <v>1695</v>
      </c>
      <c r="K97">
        <v>31</v>
      </c>
    </row>
    <row r="98" spans="1:11" hidden="1" x14ac:dyDescent="0.25">
      <c r="A98" s="1" t="s">
        <v>855</v>
      </c>
      <c r="B98" s="1" t="s">
        <v>1695</v>
      </c>
      <c r="C98" s="1" t="s">
        <v>898</v>
      </c>
      <c r="D98" s="1" t="s">
        <v>1695</v>
      </c>
      <c r="E98" s="1" t="s">
        <v>1695</v>
      </c>
      <c r="F98" s="1" t="s">
        <v>813</v>
      </c>
      <c r="G98" s="2">
        <v>45214</v>
      </c>
      <c r="H98" s="3">
        <v>0.81666666666666665</v>
      </c>
      <c r="I98" s="1" t="s">
        <v>1695</v>
      </c>
      <c r="J98" s="1" t="s">
        <v>1695</v>
      </c>
      <c r="K98">
        <v>92</v>
      </c>
    </row>
    <row r="99" spans="1:11" x14ac:dyDescent="0.25">
      <c r="A99" s="1" t="s">
        <v>899</v>
      </c>
      <c r="B99" s="1" t="s">
        <v>137</v>
      </c>
      <c r="C99" s="1" t="s">
        <v>900</v>
      </c>
      <c r="D99" s="1" t="s">
        <v>1506</v>
      </c>
      <c r="E99" s="1" t="s">
        <v>1507</v>
      </c>
      <c r="F99" s="1" t="s">
        <v>808</v>
      </c>
      <c r="G99" s="2">
        <v>45230</v>
      </c>
      <c r="H99" s="3">
        <v>4.8611111111112049E-3</v>
      </c>
      <c r="I99" s="1">
        <v>-7.4608439999999998</v>
      </c>
      <c r="J99" s="1">
        <v>23.268619999999999</v>
      </c>
      <c r="K99">
        <v>58</v>
      </c>
    </row>
    <row r="100" spans="1:11" hidden="1" x14ac:dyDescent="0.25">
      <c r="A100" s="1" t="s">
        <v>899</v>
      </c>
      <c r="B100" s="1" t="s">
        <v>1695</v>
      </c>
      <c r="C100" s="1" t="s">
        <v>901</v>
      </c>
      <c r="D100" s="1" t="s">
        <v>1695</v>
      </c>
      <c r="E100" s="1" t="s">
        <v>1695</v>
      </c>
      <c r="F100" s="1" t="s">
        <v>813</v>
      </c>
      <c r="G100" s="2">
        <v>45228</v>
      </c>
      <c r="H100" s="3">
        <v>0.34097222222222223</v>
      </c>
      <c r="I100" s="1" t="s">
        <v>1695</v>
      </c>
      <c r="J100" s="1" t="s">
        <v>1695</v>
      </c>
      <c r="K100">
        <v>118</v>
      </c>
    </row>
    <row r="101" spans="1:11" hidden="1" x14ac:dyDescent="0.25">
      <c r="A101" s="1" t="s">
        <v>899</v>
      </c>
      <c r="B101" s="1" t="s">
        <v>1695</v>
      </c>
      <c r="C101" s="1" t="s">
        <v>902</v>
      </c>
      <c r="D101" s="1" t="s">
        <v>1695</v>
      </c>
      <c r="E101" s="1" t="s">
        <v>1695</v>
      </c>
      <c r="F101" s="1" t="s">
        <v>813</v>
      </c>
      <c r="G101" s="2">
        <v>45218</v>
      </c>
      <c r="H101" s="3">
        <v>0.33472222222222214</v>
      </c>
      <c r="I101" s="1" t="s">
        <v>1695</v>
      </c>
      <c r="J101" s="1" t="s">
        <v>1695</v>
      </c>
      <c r="K101">
        <v>85</v>
      </c>
    </row>
    <row r="102" spans="1:11" hidden="1" x14ac:dyDescent="0.25">
      <c r="A102" s="1" t="s">
        <v>899</v>
      </c>
      <c r="B102" s="1" t="s">
        <v>1695</v>
      </c>
      <c r="C102" s="1" t="s">
        <v>903</v>
      </c>
      <c r="D102" s="1" t="s">
        <v>1695</v>
      </c>
      <c r="E102" s="1" t="s">
        <v>1695</v>
      </c>
      <c r="F102" s="1" t="s">
        <v>813</v>
      </c>
      <c r="G102" s="2">
        <v>45203</v>
      </c>
      <c r="H102" s="3">
        <v>0.81041666666666656</v>
      </c>
      <c r="I102" s="1" t="s">
        <v>1695</v>
      </c>
      <c r="J102" s="1" t="s">
        <v>1695</v>
      </c>
      <c r="K102">
        <v>78</v>
      </c>
    </row>
    <row r="103" spans="1:11" hidden="1" x14ac:dyDescent="0.25">
      <c r="A103" s="1" t="s">
        <v>899</v>
      </c>
      <c r="B103" s="1" t="s">
        <v>1695</v>
      </c>
      <c r="C103" s="1" t="s">
        <v>904</v>
      </c>
      <c r="D103" s="1" t="s">
        <v>1695</v>
      </c>
      <c r="E103" s="1" t="s">
        <v>1695</v>
      </c>
      <c r="F103" s="1" t="s">
        <v>811</v>
      </c>
      <c r="G103" s="2">
        <v>45211</v>
      </c>
      <c r="H103" s="3">
        <v>0.99305555555555558</v>
      </c>
      <c r="I103" s="1" t="s">
        <v>1695</v>
      </c>
      <c r="J103" s="1" t="s">
        <v>1695</v>
      </c>
      <c r="K103">
        <v>29</v>
      </c>
    </row>
    <row r="104" spans="1:11" x14ac:dyDescent="0.25">
      <c r="A104" s="1" t="s">
        <v>899</v>
      </c>
      <c r="B104" s="1" t="s">
        <v>64</v>
      </c>
      <c r="C104" s="1" t="s">
        <v>905</v>
      </c>
      <c r="D104" s="1" t="s">
        <v>1503</v>
      </c>
      <c r="E104" s="1" t="s">
        <v>1509</v>
      </c>
      <c r="F104" s="1" t="s">
        <v>808</v>
      </c>
      <c r="G104" s="2">
        <v>45210</v>
      </c>
      <c r="H104" s="3">
        <v>0.56805555555555554</v>
      </c>
      <c r="I104" s="1">
        <v>-5.4126279999999998</v>
      </c>
      <c r="J104" s="1">
        <v>25.498235999999999</v>
      </c>
      <c r="K104">
        <v>96</v>
      </c>
    </row>
    <row r="105" spans="1:11" x14ac:dyDescent="0.25">
      <c r="A105" s="1" t="s">
        <v>899</v>
      </c>
      <c r="B105" s="1" t="s">
        <v>131</v>
      </c>
      <c r="C105" s="1" t="s">
        <v>906</v>
      </c>
      <c r="D105" s="1" t="s">
        <v>1508</v>
      </c>
      <c r="E105" s="1" t="s">
        <v>1507</v>
      </c>
      <c r="F105" s="1" t="s">
        <v>808</v>
      </c>
      <c r="G105" s="2">
        <v>45216</v>
      </c>
      <c r="H105" s="3">
        <v>0.14166666666666661</v>
      </c>
      <c r="I105" s="1">
        <v>1.8103860000000001</v>
      </c>
      <c r="J105" s="1">
        <v>15.175582</v>
      </c>
      <c r="K105">
        <v>94</v>
      </c>
    </row>
    <row r="106" spans="1:11" hidden="1" x14ac:dyDescent="0.25">
      <c r="A106" s="1" t="s">
        <v>899</v>
      </c>
      <c r="B106" s="1" t="s">
        <v>1695</v>
      </c>
      <c r="C106" s="1" t="s">
        <v>907</v>
      </c>
      <c r="D106" s="1" t="s">
        <v>1695</v>
      </c>
      <c r="E106" s="1" t="s">
        <v>1695</v>
      </c>
      <c r="F106" s="1" t="s">
        <v>808</v>
      </c>
      <c r="G106" s="2">
        <v>45228</v>
      </c>
      <c r="H106" s="3">
        <v>0.7583333333333333</v>
      </c>
      <c r="I106" s="1" t="s">
        <v>1695</v>
      </c>
      <c r="J106" s="1" t="s">
        <v>1695</v>
      </c>
      <c r="K106">
        <v>54</v>
      </c>
    </row>
    <row r="107" spans="1:11" x14ac:dyDescent="0.25">
      <c r="A107" s="1" t="s">
        <v>899</v>
      </c>
      <c r="B107" s="1" t="s">
        <v>131</v>
      </c>
      <c r="C107" s="1" t="s">
        <v>908</v>
      </c>
      <c r="D107" s="1" t="s">
        <v>1508</v>
      </c>
      <c r="E107" s="1" t="s">
        <v>1516</v>
      </c>
      <c r="F107" s="1" t="s">
        <v>808</v>
      </c>
      <c r="G107" s="2">
        <v>45208</v>
      </c>
      <c r="H107" s="3">
        <v>7.2916666666666741E-2</v>
      </c>
      <c r="I107" s="1">
        <v>1.017161</v>
      </c>
      <c r="J107" s="1">
        <v>16.519689</v>
      </c>
      <c r="K107">
        <v>68</v>
      </c>
    </row>
    <row r="108" spans="1:11" x14ac:dyDescent="0.25">
      <c r="A108" s="1" t="s">
        <v>899</v>
      </c>
      <c r="B108" s="1" t="s">
        <v>62</v>
      </c>
      <c r="C108" s="1" t="s">
        <v>815</v>
      </c>
      <c r="D108" s="1" t="s">
        <v>1503</v>
      </c>
      <c r="E108" s="1" t="s">
        <v>1504</v>
      </c>
      <c r="F108" s="1" t="s">
        <v>813</v>
      </c>
      <c r="G108" s="2">
        <v>45213</v>
      </c>
      <c r="H108" s="3">
        <v>2.2916666666666696E-2</v>
      </c>
      <c r="I108" s="1">
        <v>-2.8211520000000001</v>
      </c>
      <c r="J108" s="1">
        <v>20.651419000000001</v>
      </c>
      <c r="K108">
        <v>56</v>
      </c>
    </row>
    <row r="109" spans="1:11" x14ac:dyDescent="0.25">
      <c r="A109" s="1" t="s">
        <v>899</v>
      </c>
      <c r="B109" s="1" t="s">
        <v>67</v>
      </c>
      <c r="C109" s="1" t="s">
        <v>909</v>
      </c>
      <c r="D109" s="1" t="s">
        <v>1503</v>
      </c>
      <c r="E109" s="1" t="s">
        <v>1509</v>
      </c>
      <c r="F109" s="1" t="s">
        <v>811</v>
      </c>
      <c r="G109" s="2">
        <v>45229</v>
      </c>
      <c r="H109" s="3">
        <v>0.73819444444444438</v>
      </c>
      <c r="I109" s="1">
        <v>-11.218453999999999</v>
      </c>
      <c r="J109" s="1">
        <v>28.230025000000001</v>
      </c>
      <c r="K109">
        <v>36</v>
      </c>
    </row>
    <row r="110" spans="1:11" x14ac:dyDescent="0.25">
      <c r="A110" s="1" t="s">
        <v>899</v>
      </c>
      <c r="B110" s="1" t="s">
        <v>35</v>
      </c>
      <c r="C110" s="1" t="s">
        <v>910</v>
      </c>
      <c r="D110" s="1" t="s">
        <v>1503</v>
      </c>
      <c r="E110" s="1" t="s">
        <v>1516</v>
      </c>
      <c r="F110" s="1" t="s">
        <v>808</v>
      </c>
      <c r="G110" s="2">
        <v>45223</v>
      </c>
      <c r="H110" s="3">
        <v>0.99097222222222214</v>
      </c>
      <c r="I110" s="1">
        <v>-8.0922239999999999</v>
      </c>
      <c r="J110" s="1">
        <v>15.483708</v>
      </c>
      <c r="K110">
        <v>23</v>
      </c>
    </row>
    <row r="111" spans="1:11" x14ac:dyDescent="0.25">
      <c r="A111" s="1" t="s">
        <v>899</v>
      </c>
      <c r="B111" s="1" t="s">
        <v>64</v>
      </c>
      <c r="C111" s="1" t="s">
        <v>911</v>
      </c>
      <c r="D111" s="1" t="s">
        <v>1508</v>
      </c>
      <c r="E111" s="1" t="s">
        <v>1516</v>
      </c>
      <c r="F111" s="1" t="s">
        <v>811</v>
      </c>
      <c r="G111" s="2">
        <v>45221</v>
      </c>
      <c r="H111" s="3">
        <v>0.26597222222222228</v>
      </c>
      <c r="I111" s="1">
        <v>-1.339734</v>
      </c>
      <c r="J111" s="1">
        <v>15.243098</v>
      </c>
      <c r="K111">
        <v>88</v>
      </c>
    </row>
    <row r="112" spans="1:11" hidden="1" x14ac:dyDescent="0.25">
      <c r="A112" s="1" t="s">
        <v>899</v>
      </c>
      <c r="B112" s="1" t="s">
        <v>1695</v>
      </c>
      <c r="C112" s="1" t="s">
        <v>912</v>
      </c>
      <c r="D112" s="1" t="s">
        <v>1695</v>
      </c>
      <c r="E112" s="1" t="s">
        <v>1695</v>
      </c>
      <c r="F112" s="1" t="s">
        <v>808</v>
      </c>
      <c r="G112" s="2">
        <v>45213</v>
      </c>
      <c r="H112" s="3">
        <v>0.11250000000000004</v>
      </c>
      <c r="I112" s="1" t="s">
        <v>1695</v>
      </c>
      <c r="J112" s="1" t="s">
        <v>1695</v>
      </c>
      <c r="K112">
        <v>93</v>
      </c>
    </row>
    <row r="113" spans="1:11" x14ac:dyDescent="0.25">
      <c r="A113" s="1" t="s">
        <v>899</v>
      </c>
      <c r="B113" s="1" t="s">
        <v>33</v>
      </c>
      <c r="C113" s="1" t="s">
        <v>913</v>
      </c>
      <c r="D113" s="1" t="s">
        <v>1506</v>
      </c>
      <c r="E113" s="1" t="s">
        <v>1516</v>
      </c>
      <c r="F113" s="1" t="s">
        <v>808</v>
      </c>
      <c r="G113" s="2">
        <v>45229</v>
      </c>
      <c r="H113" s="3">
        <v>0.44375000000000009</v>
      </c>
      <c r="I113" s="1">
        <v>-6.6803710000000001</v>
      </c>
      <c r="J113" s="1">
        <v>21.955673000000001</v>
      </c>
      <c r="K113">
        <v>5</v>
      </c>
    </row>
    <row r="114" spans="1:11" hidden="1" x14ac:dyDescent="0.25">
      <c r="A114" s="1" t="s">
        <v>899</v>
      </c>
      <c r="B114" s="1" t="s">
        <v>1695</v>
      </c>
      <c r="C114" s="1" t="s">
        <v>914</v>
      </c>
      <c r="D114" s="1" t="s">
        <v>1695</v>
      </c>
      <c r="E114" s="1" t="s">
        <v>1695</v>
      </c>
      <c r="F114" s="1" t="s">
        <v>813</v>
      </c>
      <c r="G114" s="2">
        <v>45210</v>
      </c>
      <c r="H114" s="3">
        <v>0.91250000000000009</v>
      </c>
      <c r="I114" s="1" t="s">
        <v>1695</v>
      </c>
      <c r="J114" s="1" t="s">
        <v>1695</v>
      </c>
      <c r="K114">
        <v>119</v>
      </c>
    </row>
    <row r="115" spans="1:11" x14ac:dyDescent="0.25">
      <c r="A115" s="1" t="s">
        <v>899</v>
      </c>
      <c r="B115" s="1" t="s">
        <v>131</v>
      </c>
      <c r="C115" s="1" t="s">
        <v>915</v>
      </c>
      <c r="D115" s="1" t="s">
        <v>1508</v>
      </c>
      <c r="E115" s="1" t="s">
        <v>1509</v>
      </c>
      <c r="F115" s="1" t="s">
        <v>813</v>
      </c>
      <c r="G115" s="2">
        <v>45203</v>
      </c>
      <c r="H115" s="3">
        <v>0.99791666666666656</v>
      </c>
      <c r="I115" s="1">
        <v>-6.3148239999999998</v>
      </c>
      <c r="J115" s="1">
        <v>24.507498999999999</v>
      </c>
      <c r="K115">
        <v>101</v>
      </c>
    </row>
    <row r="116" spans="1:11" hidden="1" x14ac:dyDescent="0.25">
      <c r="A116" s="1" t="s">
        <v>899</v>
      </c>
      <c r="B116" s="1" t="s">
        <v>1695</v>
      </c>
      <c r="C116" s="1" t="s">
        <v>916</v>
      </c>
      <c r="D116" s="1" t="s">
        <v>1695</v>
      </c>
      <c r="E116" s="1" t="s">
        <v>1695</v>
      </c>
      <c r="F116" s="1" t="s">
        <v>813</v>
      </c>
      <c r="G116" s="2">
        <v>45209</v>
      </c>
      <c r="H116" s="3">
        <v>0.67986111111111103</v>
      </c>
      <c r="I116" s="1" t="s">
        <v>1695</v>
      </c>
      <c r="J116" s="1" t="s">
        <v>1695</v>
      </c>
      <c r="K116">
        <v>115</v>
      </c>
    </row>
    <row r="117" spans="1:11" hidden="1" x14ac:dyDescent="0.25">
      <c r="A117" s="1" t="s">
        <v>899</v>
      </c>
      <c r="B117" s="1" t="s">
        <v>1695</v>
      </c>
      <c r="C117" s="1" t="s">
        <v>917</v>
      </c>
      <c r="D117" s="1" t="s">
        <v>1695</v>
      </c>
      <c r="E117" s="1" t="s">
        <v>1695</v>
      </c>
      <c r="F117" s="1" t="s">
        <v>811</v>
      </c>
      <c r="G117" s="2">
        <v>45221</v>
      </c>
      <c r="H117" s="3">
        <v>0.55555555555555558</v>
      </c>
      <c r="I117" s="1" t="s">
        <v>1695</v>
      </c>
      <c r="J117" s="1" t="s">
        <v>1695</v>
      </c>
      <c r="K117">
        <v>103</v>
      </c>
    </row>
    <row r="118" spans="1:11" hidden="1" x14ac:dyDescent="0.25">
      <c r="A118" s="1" t="s">
        <v>899</v>
      </c>
      <c r="B118" s="1" t="s">
        <v>1695</v>
      </c>
      <c r="C118" s="1" t="s">
        <v>918</v>
      </c>
      <c r="D118" s="1" t="s">
        <v>1695</v>
      </c>
      <c r="E118" s="1" t="s">
        <v>1695</v>
      </c>
      <c r="F118" s="1" t="s">
        <v>813</v>
      </c>
      <c r="G118" s="2">
        <v>45212</v>
      </c>
      <c r="H118" s="3">
        <v>0.9291666666666667</v>
      </c>
      <c r="I118" s="1" t="s">
        <v>1695</v>
      </c>
      <c r="J118" s="1" t="s">
        <v>1695</v>
      </c>
      <c r="K118">
        <v>118</v>
      </c>
    </row>
    <row r="119" spans="1:11" x14ac:dyDescent="0.25">
      <c r="A119" s="1" t="s">
        <v>899</v>
      </c>
      <c r="B119" s="1" t="s">
        <v>21</v>
      </c>
      <c r="C119" s="1" t="s">
        <v>919</v>
      </c>
      <c r="D119" s="1" t="s">
        <v>1508</v>
      </c>
      <c r="E119" s="1" t="s">
        <v>1504</v>
      </c>
      <c r="F119" s="1" t="s">
        <v>813</v>
      </c>
      <c r="G119" s="2">
        <v>45217</v>
      </c>
      <c r="H119" s="3">
        <v>0.17500000000000004</v>
      </c>
      <c r="I119" s="1">
        <v>-9.4702129999999993</v>
      </c>
      <c r="J119" s="1">
        <v>12.826158</v>
      </c>
      <c r="K119">
        <v>18</v>
      </c>
    </row>
    <row r="120" spans="1:11" hidden="1" x14ac:dyDescent="0.25">
      <c r="A120" s="1" t="s">
        <v>899</v>
      </c>
      <c r="B120" s="1" t="s">
        <v>1695</v>
      </c>
      <c r="C120" s="1" t="s">
        <v>920</v>
      </c>
      <c r="D120" s="1" t="s">
        <v>1695</v>
      </c>
      <c r="E120" s="1" t="s">
        <v>1695</v>
      </c>
      <c r="F120" s="1" t="s">
        <v>808</v>
      </c>
      <c r="G120" s="2">
        <v>45213</v>
      </c>
      <c r="H120" s="3">
        <v>0.89166666666666661</v>
      </c>
      <c r="I120" s="1" t="s">
        <v>1695</v>
      </c>
      <c r="J120" s="1" t="s">
        <v>1695</v>
      </c>
      <c r="K120">
        <v>104</v>
      </c>
    </row>
    <row r="121" spans="1:11" hidden="1" x14ac:dyDescent="0.25">
      <c r="A121" s="1" t="s">
        <v>899</v>
      </c>
      <c r="B121" s="1" t="s">
        <v>1695</v>
      </c>
      <c r="C121" s="1" t="s">
        <v>921</v>
      </c>
      <c r="D121" s="1" t="s">
        <v>1695</v>
      </c>
      <c r="E121" s="1" t="s">
        <v>1695</v>
      </c>
      <c r="F121" s="1" t="s">
        <v>808</v>
      </c>
      <c r="G121" s="2">
        <v>45221</v>
      </c>
      <c r="H121" s="3">
        <v>0.99791666666666656</v>
      </c>
      <c r="I121" s="1" t="s">
        <v>1695</v>
      </c>
      <c r="J121" s="1" t="s">
        <v>1695</v>
      </c>
      <c r="K121">
        <v>59</v>
      </c>
    </row>
    <row r="122" spans="1:11" hidden="1" x14ac:dyDescent="0.25">
      <c r="A122" s="1" t="s">
        <v>899</v>
      </c>
      <c r="B122" s="1" t="s">
        <v>1695</v>
      </c>
      <c r="C122" s="1" t="s">
        <v>922</v>
      </c>
      <c r="D122" s="1" t="s">
        <v>1695</v>
      </c>
      <c r="E122" s="1" t="s">
        <v>1695</v>
      </c>
      <c r="F122" s="1" t="s">
        <v>813</v>
      </c>
      <c r="G122" s="2">
        <v>45205</v>
      </c>
      <c r="H122" s="3">
        <v>0.81666666666666665</v>
      </c>
      <c r="I122" s="1" t="s">
        <v>1695</v>
      </c>
      <c r="J122" s="1" t="s">
        <v>1695</v>
      </c>
      <c r="K122">
        <v>33</v>
      </c>
    </row>
    <row r="123" spans="1:11" x14ac:dyDescent="0.25">
      <c r="A123" s="1" t="s">
        <v>899</v>
      </c>
      <c r="B123" s="1" t="s">
        <v>51</v>
      </c>
      <c r="C123" s="1" t="s">
        <v>923</v>
      </c>
      <c r="D123" s="1" t="s">
        <v>1506</v>
      </c>
      <c r="E123" s="1" t="s">
        <v>1504</v>
      </c>
      <c r="F123" s="1" t="s">
        <v>813</v>
      </c>
      <c r="G123" s="2">
        <v>45209</v>
      </c>
      <c r="H123" s="3">
        <v>0.52430555555555558</v>
      </c>
      <c r="I123" s="1">
        <v>2.4741019999999998</v>
      </c>
      <c r="J123" s="1">
        <v>29.297391000000001</v>
      </c>
      <c r="K123">
        <v>27</v>
      </c>
    </row>
    <row r="124" spans="1:11" hidden="1" x14ac:dyDescent="0.25">
      <c r="A124" s="1" t="s">
        <v>899</v>
      </c>
      <c r="B124" s="1" t="s">
        <v>1695</v>
      </c>
      <c r="C124" s="1" t="s">
        <v>924</v>
      </c>
      <c r="D124" s="1" t="s">
        <v>1695</v>
      </c>
      <c r="E124" s="1" t="s">
        <v>1695</v>
      </c>
      <c r="F124" s="1" t="s">
        <v>811</v>
      </c>
      <c r="G124" s="2">
        <v>45226</v>
      </c>
      <c r="H124" s="3">
        <v>1.3194444444444509E-2</v>
      </c>
      <c r="I124" s="1" t="s">
        <v>1695</v>
      </c>
      <c r="J124" s="1" t="s">
        <v>1695</v>
      </c>
      <c r="K124">
        <v>107</v>
      </c>
    </row>
    <row r="125" spans="1:11" hidden="1" x14ac:dyDescent="0.25">
      <c r="A125" s="1" t="s">
        <v>899</v>
      </c>
      <c r="B125" s="1" t="s">
        <v>1695</v>
      </c>
      <c r="C125" s="1" t="s">
        <v>925</v>
      </c>
      <c r="D125" s="1" t="s">
        <v>1695</v>
      </c>
      <c r="E125" s="1" t="s">
        <v>1695</v>
      </c>
      <c r="F125" s="1" t="s">
        <v>811</v>
      </c>
      <c r="G125" s="2">
        <v>45209</v>
      </c>
      <c r="H125" s="3">
        <v>0.26875000000000004</v>
      </c>
      <c r="I125" s="1" t="s">
        <v>1695</v>
      </c>
      <c r="J125" s="1" t="s">
        <v>1695</v>
      </c>
      <c r="K125">
        <v>94</v>
      </c>
    </row>
    <row r="126" spans="1:11" x14ac:dyDescent="0.25">
      <c r="A126" s="1" t="s">
        <v>899</v>
      </c>
      <c r="B126" s="1" t="s">
        <v>131</v>
      </c>
      <c r="C126" s="1" t="s">
        <v>873</v>
      </c>
      <c r="D126" s="1" t="s">
        <v>1503</v>
      </c>
      <c r="E126" s="1" t="s">
        <v>1509</v>
      </c>
      <c r="F126" s="1" t="s">
        <v>808</v>
      </c>
      <c r="G126" s="2">
        <v>45225</v>
      </c>
      <c r="H126" s="3">
        <v>0.7763888888888888</v>
      </c>
      <c r="I126" s="1">
        <v>0.82868600000000003</v>
      </c>
      <c r="J126" s="1">
        <v>26.958843999999999</v>
      </c>
      <c r="K126">
        <v>71</v>
      </c>
    </row>
    <row r="127" spans="1:11" x14ac:dyDescent="0.25">
      <c r="A127" s="1" t="s">
        <v>899</v>
      </c>
      <c r="B127" s="1" t="s">
        <v>24</v>
      </c>
      <c r="C127" s="1" t="s">
        <v>868</v>
      </c>
      <c r="D127" s="1" t="s">
        <v>1506</v>
      </c>
      <c r="E127" s="1" t="s">
        <v>1504</v>
      </c>
      <c r="F127" s="1" t="s">
        <v>811</v>
      </c>
      <c r="G127" s="2">
        <v>45220</v>
      </c>
      <c r="H127" s="3">
        <v>0.43680555555555545</v>
      </c>
      <c r="I127" s="1">
        <v>-5.5445120000000001</v>
      </c>
      <c r="J127" s="1">
        <v>27.547335</v>
      </c>
      <c r="K127">
        <v>64</v>
      </c>
    </row>
    <row r="128" spans="1:11" hidden="1" x14ac:dyDescent="0.25">
      <c r="A128" s="1" t="s">
        <v>899</v>
      </c>
      <c r="B128" s="1" t="s">
        <v>1695</v>
      </c>
      <c r="C128" s="1" t="s">
        <v>926</v>
      </c>
      <c r="D128" s="1" t="s">
        <v>1695</v>
      </c>
      <c r="E128" s="1" t="s">
        <v>1695</v>
      </c>
      <c r="F128" s="1" t="s">
        <v>813</v>
      </c>
      <c r="G128" s="2">
        <v>45214</v>
      </c>
      <c r="H128" s="3">
        <v>0.61319444444444438</v>
      </c>
      <c r="I128" s="1" t="s">
        <v>1695</v>
      </c>
      <c r="J128" s="1" t="s">
        <v>1695</v>
      </c>
      <c r="K128">
        <v>11</v>
      </c>
    </row>
    <row r="129" spans="1:11" x14ac:dyDescent="0.25">
      <c r="A129" s="1" t="s">
        <v>899</v>
      </c>
      <c r="B129" s="1" t="s">
        <v>127</v>
      </c>
      <c r="C129" s="1" t="s">
        <v>927</v>
      </c>
      <c r="D129" s="1" t="s">
        <v>1506</v>
      </c>
      <c r="E129" s="1" t="s">
        <v>1507</v>
      </c>
      <c r="F129" s="1" t="s">
        <v>813</v>
      </c>
      <c r="G129" s="2">
        <v>45206</v>
      </c>
      <c r="H129" s="3">
        <v>0.6875</v>
      </c>
      <c r="I129" s="1">
        <v>-12.100756000000001</v>
      </c>
      <c r="J129" s="1">
        <v>21.938649999999999</v>
      </c>
      <c r="K129">
        <v>76</v>
      </c>
    </row>
    <row r="130" spans="1:11" x14ac:dyDescent="0.25">
      <c r="A130" s="1" t="s">
        <v>899</v>
      </c>
      <c r="B130" s="1" t="s">
        <v>37</v>
      </c>
      <c r="C130" s="1" t="s">
        <v>928</v>
      </c>
      <c r="D130" s="1" t="s">
        <v>1503</v>
      </c>
      <c r="E130" s="1" t="s">
        <v>1507</v>
      </c>
      <c r="F130" s="1" t="s">
        <v>808</v>
      </c>
      <c r="G130" s="2">
        <v>45225</v>
      </c>
      <c r="H130" s="3">
        <v>0.96527777777777768</v>
      </c>
      <c r="I130" s="1">
        <v>-9.002459</v>
      </c>
      <c r="J130" s="1">
        <v>25.182109000000001</v>
      </c>
      <c r="K130">
        <v>36</v>
      </c>
    </row>
    <row r="131" spans="1:11" hidden="1" x14ac:dyDescent="0.25">
      <c r="A131" s="1" t="s">
        <v>899</v>
      </c>
      <c r="B131" s="1" t="s">
        <v>1695</v>
      </c>
      <c r="C131" s="1" t="s">
        <v>929</v>
      </c>
      <c r="D131" s="1" t="s">
        <v>1695</v>
      </c>
      <c r="E131" s="1" t="s">
        <v>1695</v>
      </c>
      <c r="F131" s="1" t="s">
        <v>813</v>
      </c>
      <c r="G131" s="2">
        <v>45221</v>
      </c>
      <c r="H131" s="3">
        <v>9.5833333333333437E-2</v>
      </c>
      <c r="I131" s="1" t="s">
        <v>1695</v>
      </c>
      <c r="J131" s="1" t="s">
        <v>1695</v>
      </c>
      <c r="K131">
        <v>113</v>
      </c>
    </row>
    <row r="132" spans="1:11" x14ac:dyDescent="0.25">
      <c r="A132" s="1" t="s">
        <v>899</v>
      </c>
      <c r="B132" s="1" t="s">
        <v>51</v>
      </c>
      <c r="C132" s="1" t="s">
        <v>930</v>
      </c>
      <c r="D132" s="1" t="s">
        <v>1506</v>
      </c>
      <c r="E132" s="1" t="s">
        <v>1507</v>
      </c>
      <c r="F132" s="1" t="s">
        <v>813</v>
      </c>
      <c r="G132" s="2">
        <v>45216</v>
      </c>
      <c r="H132" s="3">
        <v>0.90277777777777768</v>
      </c>
      <c r="I132" s="1">
        <v>-4.2408359999999998</v>
      </c>
      <c r="J132" s="1">
        <v>26.210014000000001</v>
      </c>
      <c r="K132">
        <v>20</v>
      </c>
    </row>
    <row r="133" spans="1:11" x14ac:dyDescent="0.25">
      <c r="A133" s="1" t="s">
        <v>899</v>
      </c>
      <c r="B133" s="1" t="s">
        <v>67</v>
      </c>
      <c r="C133" s="1" t="s">
        <v>931</v>
      </c>
      <c r="D133" s="1" t="s">
        <v>1508</v>
      </c>
      <c r="E133" s="1" t="s">
        <v>1509</v>
      </c>
      <c r="F133" s="1" t="s">
        <v>813</v>
      </c>
      <c r="G133" s="2">
        <v>45219</v>
      </c>
      <c r="H133" s="3">
        <v>0.42013888888888884</v>
      </c>
      <c r="I133" s="1">
        <v>-9.9875139999999991</v>
      </c>
      <c r="J133" s="1">
        <v>12.013676999999999</v>
      </c>
      <c r="K133">
        <v>63</v>
      </c>
    </row>
    <row r="134" spans="1:11" x14ac:dyDescent="0.25">
      <c r="A134" s="1" t="s">
        <v>899</v>
      </c>
      <c r="B134" s="1" t="s">
        <v>131</v>
      </c>
      <c r="C134" s="1" t="s">
        <v>932</v>
      </c>
      <c r="D134" s="1" t="s">
        <v>1506</v>
      </c>
      <c r="E134" s="1" t="s">
        <v>1507</v>
      </c>
      <c r="F134" s="1" t="s">
        <v>813</v>
      </c>
      <c r="G134" s="2">
        <v>45226</v>
      </c>
      <c r="H134" s="3">
        <v>0.32152777777777786</v>
      </c>
      <c r="I134" s="1">
        <v>-10.25074</v>
      </c>
      <c r="J134" s="1">
        <v>26.099086</v>
      </c>
      <c r="K134">
        <v>22</v>
      </c>
    </row>
    <row r="135" spans="1:11" x14ac:dyDescent="0.25">
      <c r="A135" s="1" t="s">
        <v>899</v>
      </c>
      <c r="B135" s="1" t="s">
        <v>60</v>
      </c>
      <c r="C135" s="1" t="s">
        <v>933</v>
      </c>
      <c r="D135" s="1" t="s">
        <v>1508</v>
      </c>
      <c r="E135" s="1" t="s">
        <v>1509</v>
      </c>
      <c r="F135" s="1" t="s">
        <v>811</v>
      </c>
      <c r="G135" s="2">
        <v>45209</v>
      </c>
      <c r="H135" s="3">
        <v>0.32708333333333339</v>
      </c>
      <c r="I135" s="1">
        <v>-5.0402180000000003</v>
      </c>
      <c r="J135" s="1">
        <v>13.892471</v>
      </c>
      <c r="K135">
        <v>107</v>
      </c>
    </row>
    <row r="136" spans="1:11" x14ac:dyDescent="0.25">
      <c r="A136" s="1" t="s">
        <v>899</v>
      </c>
      <c r="B136" s="1" t="s">
        <v>10</v>
      </c>
      <c r="C136" s="1" t="s">
        <v>934</v>
      </c>
      <c r="D136" s="1" t="s">
        <v>1506</v>
      </c>
      <c r="E136" s="1" t="s">
        <v>1507</v>
      </c>
      <c r="F136" s="1" t="s">
        <v>811</v>
      </c>
      <c r="G136" s="2">
        <v>45206</v>
      </c>
      <c r="H136" s="3">
        <v>0.16736111111111107</v>
      </c>
      <c r="I136" s="1">
        <v>0.24202000000000001</v>
      </c>
      <c r="J136" s="1">
        <v>17.396256999999999</v>
      </c>
      <c r="K136">
        <v>64</v>
      </c>
    </row>
    <row r="137" spans="1:11" x14ac:dyDescent="0.25">
      <c r="A137" s="1" t="s">
        <v>899</v>
      </c>
      <c r="B137" s="1" t="s">
        <v>57</v>
      </c>
      <c r="C137" s="1" t="s">
        <v>935</v>
      </c>
      <c r="D137" s="1" t="s">
        <v>1503</v>
      </c>
      <c r="E137" s="1" t="s">
        <v>1516</v>
      </c>
      <c r="F137" s="1" t="s">
        <v>811</v>
      </c>
      <c r="G137" s="2">
        <v>45201</v>
      </c>
      <c r="H137" s="3">
        <v>0.3125</v>
      </c>
      <c r="I137" s="1">
        <v>-12.333232000000001</v>
      </c>
      <c r="J137" s="1">
        <v>25.229620000000001</v>
      </c>
      <c r="K137">
        <v>90</v>
      </c>
    </row>
    <row r="138" spans="1:11" x14ac:dyDescent="0.25">
      <c r="A138" s="1" t="s">
        <v>899</v>
      </c>
      <c r="B138" s="1" t="s">
        <v>67</v>
      </c>
      <c r="C138" s="1" t="s">
        <v>936</v>
      </c>
      <c r="D138" s="1" t="s">
        <v>1503</v>
      </c>
      <c r="E138" s="1" t="s">
        <v>1516</v>
      </c>
      <c r="F138" s="1" t="s">
        <v>811</v>
      </c>
      <c r="G138" s="2">
        <v>45219</v>
      </c>
      <c r="H138" s="3">
        <v>0.10347222222222219</v>
      </c>
      <c r="I138" s="1">
        <v>-5.7035130000000001</v>
      </c>
      <c r="J138" s="1">
        <v>14.331479</v>
      </c>
      <c r="K138">
        <v>72</v>
      </c>
    </row>
    <row r="139" spans="1:11" x14ac:dyDescent="0.25">
      <c r="A139" s="1" t="s">
        <v>937</v>
      </c>
      <c r="B139" s="1" t="s">
        <v>13</v>
      </c>
      <c r="C139" s="1" t="s">
        <v>938</v>
      </c>
      <c r="D139" s="1" t="s">
        <v>1503</v>
      </c>
      <c r="E139" s="1" t="s">
        <v>1509</v>
      </c>
      <c r="F139" s="1" t="s">
        <v>813</v>
      </c>
      <c r="G139" s="2">
        <v>45200</v>
      </c>
      <c r="H139" s="3">
        <v>0.51458333333333339</v>
      </c>
      <c r="I139" s="1">
        <v>-11.622688999999999</v>
      </c>
      <c r="J139" s="1">
        <v>18.483874</v>
      </c>
      <c r="K139">
        <v>24</v>
      </c>
    </row>
    <row r="140" spans="1:11" x14ac:dyDescent="0.25">
      <c r="A140" s="1" t="s">
        <v>937</v>
      </c>
      <c r="B140" s="1" t="s">
        <v>33</v>
      </c>
      <c r="C140" s="1" t="s">
        <v>939</v>
      </c>
      <c r="D140" s="1" t="s">
        <v>1508</v>
      </c>
      <c r="E140" s="1" t="s">
        <v>1504</v>
      </c>
      <c r="F140" s="1" t="s">
        <v>811</v>
      </c>
      <c r="G140" s="2">
        <v>45221</v>
      </c>
      <c r="H140" s="3">
        <v>0.91041666666666665</v>
      </c>
      <c r="I140" s="1">
        <v>-10.414493</v>
      </c>
      <c r="J140" s="1">
        <v>12.333356999999999</v>
      </c>
      <c r="K140">
        <v>60</v>
      </c>
    </row>
    <row r="141" spans="1:11" x14ac:dyDescent="0.25">
      <c r="A141" s="1" t="s">
        <v>937</v>
      </c>
      <c r="B141" s="1" t="s">
        <v>62</v>
      </c>
      <c r="C141" s="1" t="s">
        <v>940</v>
      </c>
      <c r="D141" s="1" t="s">
        <v>1506</v>
      </c>
      <c r="E141" s="1" t="s">
        <v>1516</v>
      </c>
      <c r="F141" s="1" t="s">
        <v>813</v>
      </c>
      <c r="G141" s="2">
        <v>45212</v>
      </c>
      <c r="H141" s="3">
        <v>0.96527777777777768</v>
      </c>
      <c r="I141" s="1">
        <v>0.79124300000000003</v>
      </c>
      <c r="J141" s="1">
        <v>25.273389000000002</v>
      </c>
      <c r="K141">
        <v>27</v>
      </c>
    </row>
    <row r="142" spans="1:11" x14ac:dyDescent="0.25">
      <c r="A142" s="1" t="s">
        <v>937</v>
      </c>
      <c r="B142" s="1" t="s">
        <v>89</v>
      </c>
      <c r="C142" s="1" t="s">
        <v>941</v>
      </c>
      <c r="D142" s="1" t="s">
        <v>1503</v>
      </c>
      <c r="E142" s="1" t="s">
        <v>1516</v>
      </c>
      <c r="F142" s="1" t="s">
        <v>813</v>
      </c>
      <c r="G142" s="2">
        <v>45226</v>
      </c>
      <c r="H142" s="3">
        <v>0.62361111111111112</v>
      </c>
      <c r="I142" s="1">
        <v>-7.9987219999999999</v>
      </c>
      <c r="J142" s="1">
        <v>12.779335</v>
      </c>
      <c r="K142">
        <v>98</v>
      </c>
    </row>
    <row r="143" spans="1:11" x14ac:dyDescent="0.25">
      <c r="A143" s="1" t="s">
        <v>937</v>
      </c>
      <c r="B143" s="1" t="s">
        <v>33</v>
      </c>
      <c r="C143" s="1" t="s">
        <v>939</v>
      </c>
      <c r="D143" s="1" t="s">
        <v>1508</v>
      </c>
      <c r="E143" s="1" t="s">
        <v>1504</v>
      </c>
      <c r="F143" s="1" t="s">
        <v>813</v>
      </c>
      <c r="G143" s="2">
        <v>45204</v>
      </c>
      <c r="H143" s="3">
        <v>0.81527777777777777</v>
      </c>
      <c r="I143" s="1">
        <v>-10.414493</v>
      </c>
      <c r="J143" s="1">
        <v>12.333356999999999</v>
      </c>
      <c r="K143">
        <v>71</v>
      </c>
    </row>
    <row r="144" spans="1:11" x14ac:dyDescent="0.25">
      <c r="A144" s="1" t="s">
        <v>937</v>
      </c>
      <c r="B144" s="1" t="s">
        <v>64</v>
      </c>
      <c r="C144" s="1" t="s">
        <v>942</v>
      </c>
      <c r="D144" s="1" t="s">
        <v>1506</v>
      </c>
      <c r="E144" s="1" t="s">
        <v>1504</v>
      </c>
      <c r="F144" s="1" t="s">
        <v>813</v>
      </c>
      <c r="G144" s="2">
        <v>45200</v>
      </c>
      <c r="H144" s="3">
        <v>0.52569444444444446</v>
      </c>
      <c r="I144" s="1">
        <v>-1.6097570000000001</v>
      </c>
      <c r="J144" s="1">
        <v>30.661662</v>
      </c>
      <c r="K144">
        <v>88</v>
      </c>
    </row>
    <row r="145" spans="1:11" hidden="1" x14ac:dyDescent="0.25">
      <c r="A145" s="1" t="s">
        <v>937</v>
      </c>
      <c r="B145" s="1" t="s">
        <v>1695</v>
      </c>
      <c r="C145" s="1" t="s">
        <v>943</v>
      </c>
      <c r="D145" s="1" t="s">
        <v>1695</v>
      </c>
      <c r="E145" s="1" t="s">
        <v>1695</v>
      </c>
      <c r="F145" s="1" t="s">
        <v>808</v>
      </c>
      <c r="G145" s="2">
        <v>45218</v>
      </c>
      <c r="H145" s="3">
        <v>0.87569444444444455</v>
      </c>
      <c r="I145" s="1" t="s">
        <v>1695</v>
      </c>
      <c r="J145" s="1" t="s">
        <v>1695</v>
      </c>
      <c r="K145">
        <v>39</v>
      </c>
    </row>
    <row r="146" spans="1:11" x14ac:dyDescent="0.25">
      <c r="A146" s="1" t="s">
        <v>937</v>
      </c>
      <c r="B146" s="1" t="s">
        <v>44</v>
      </c>
      <c r="C146" s="1" t="s">
        <v>944</v>
      </c>
      <c r="D146" s="1" t="s">
        <v>1506</v>
      </c>
      <c r="E146" s="1" t="s">
        <v>1504</v>
      </c>
      <c r="F146" s="1" t="s">
        <v>808</v>
      </c>
      <c r="G146" s="2">
        <v>45202</v>
      </c>
      <c r="H146" s="3">
        <v>0.8520833333333333</v>
      </c>
      <c r="I146" s="1">
        <v>-1.607639</v>
      </c>
      <c r="J146" s="1">
        <v>17.003636</v>
      </c>
      <c r="K146">
        <v>83</v>
      </c>
    </row>
    <row r="147" spans="1:11" x14ac:dyDescent="0.25">
      <c r="A147" s="1" t="s">
        <v>937</v>
      </c>
      <c r="B147" s="1" t="s">
        <v>51</v>
      </c>
      <c r="C147" s="1" t="s">
        <v>945</v>
      </c>
      <c r="D147" s="1" t="s">
        <v>1508</v>
      </c>
      <c r="E147" s="1" t="s">
        <v>1516</v>
      </c>
      <c r="F147" s="1" t="s">
        <v>811</v>
      </c>
      <c r="G147" s="2">
        <v>45204</v>
      </c>
      <c r="H147" s="3">
        <v>0.59097222222222223</v>
      </c>
      <c r="I147" s="1">
        <v>-8.5675749999999997</v>
      </c>
      <c r="J147" s="1">
        <v>26.994581</v>
      </c>
      <c r="K147">
        <v>108</v>
      </c>
    </row>
    <row r="148" spans="1:11" hidden="1" x14ac:dyDescent="0.25">
      <c r="A148" s="1" t="s">
        <v>937</v>
      </c>
      <c r="B148" s="1" t="s">
        <v>1695</v>
      </c>
      <c r="C148" s="1" t="s">
        <v>946</v>
      </c>
      <c r="D148" s="1" t="s">
        <v>1695</v>
      </c>
      <c r="E148" s="1" t="s">
        <v>1695</v>
      </c>
      <c r="F148" s="1" t="s">
        <v>808</v>
      </c>
      <c r="G148" s="2">
        <v>45201</v>
      </c>
      <c r="H148" s="3">
        <v>0.35000000000000009</v>
      </c>
      <c r="I148" s="1" t="s">
        <v>1695</v>
      </c>
      <c r="J148" s="1" t="s">
        <v>1695</v>
      </c>
      <c r="K148">
        <v>73</v>
      </c>
    </row>
    <row r="149" spans="1:11" hidden="1" x14ac:dyDescent="0.25">
      <c r="A149" s="1" t="s">
        <v>937</v>
      </c>
      <c r="B149" s="1" t="s">
        <v>1695</v>
      </c>
      <c r="C149" s="1" t="s">
        <v>947</v>
      </c>
      <c r="D149" s="1" t="s">
        <v>1695</v>
      </c>
      <c r="E149" s="1" t="s">
        <v>1695</v>
      </c>
      <c r="F149" s="1" t="s">
        <v>813</v>
      </c>
      <c r="G149" s="2">
        <v>45210</v>
      </c>
      <c r="H149" s="3">
        <v>0.27013888888888893</v>
      </c>
      <c r="I149" s="1" t="s">
        <v>1695</v>
      </c>
      <c r="J149" s="1" t="s">
        <v>1695</v>
      </c>
      <c r="K149">
        <v>104</v>
      </c>
    </row>
    <row r="150" spans="1:11" x14ac:dyDescent="0.25">
      <c r="A150" s="1" t="s">
        <v>937</v>
      </c>
      <c r="B150" s="1" t="s">
        <v>137</v>
      </c>
      <c r="C150" s="1" t="s">
        <v>948</v>
      </c>
      <c r="D150" s="1" t="s">
        <v>1506</v>
      </c>
      <c r="E150" s="1" t="s">
        <v>1504</v>
      </c>
      <c r="F150" s="1" t="s">
        <v>808</v>
      </c>
      <c r="G150" s="2">
        <v>45210</v>
      </c>
      <c r="H150" s="3">
        <v>0.44999999999999996</v>
      </c>
      <c r="I150" s="1">
        <v>-9.7803979999999999</v>
      </c>
      <c r="J150" s="1">
        <v>17.686595000000001</v>
      </c>
      <c r="K150">
        <v>66</v>
      </c>
    </row>
    <row r="151" spans="1:11" x14ac:dyDescent="0.25">
      <c r="A151" s="1" t="s">
        <v>937</v>
      </c>
      <c r="B151" s="1" t="s">
        <v>127</v>
      </c>
      <c r="C151" s="1" t="s">
        <v>949</v>
      </c>
      <c r="D151" s="1" t="s">
        <v>1506</v>
      </c>
      <c r="E151" s="1" t="s">
        <v>1507</v>
      </c>
      <c r="F151" s="1" t="s">
        <v>811</v>
      </c>
      <c r="G151" s="2">
        <v>45228</v>
      </c>
      <c r="H151" s="3">
        <v>0.51180555555555562</v>
      </c>
      <c r="I151" s="1">
        <v>-4.4351269999999996</v>
      </c>
      <c r="J151" s="1">
        <v>24.825467</v>
      </c>
      <c r="K151">
        <v>64</v>
      </c>
    </row>
    <row r="152" spans="1:11" x14ac:dyDescent="0.25">
      <c r="A152" s="1" t="s">
        <v>937</v>
      </c>
      <c r="B152" s="1" t="s">
        <v>37</v>
      </c>
      <c r="C152" s="1" t="s">
        <v>950</v>
      </c>
      <c r="D152" s="1" t="s">
        <v>1506</v>
      </c>
      <c r="E152" s="1" t="s">
        <v>1509</v>
      </c>
      <c r="F152" s="1" t="s">
        <v>811</v>
      </c>
      <c r="G152" s="2">
        <v>45224</v>
      </c>
      <c r="H152" s="3">
        <v>0.55277777777777781</v>
      </c>
      <c r="I152" s="1">
        <v>-10.439686999999999</v>
      </c>
      <c r="J152" s="1">
        <v>20.714210000000001</v>
      </c>
      <c r="K152">
        <v>60</v>
      </c>
    </row>
    <row r="153" spans="1:11" x14ac:dyDescent="0.25">
      <c r="A153" s="1" t="s">
        <v>937</v>
      </c>
      <c r="B153" s="1" t="s">
        <v>13</v>
      </c>
      <c r="C153" s="1" t="s">
        <v>951</v>
      </c>
      <c r="D153" s="1" t="s">
        <v>1503</v>
      </c>
      <c r="E153" s="1" t="s">
        <v>1507</v>
      </c>
      <c r="F153" s="1" t="s">
        <v>811</v>
      </c>
      <c r="G153" s="2">
        <v>45226</v>
      </c>
      <c r="H153" s="3">
        <v>0.10416666666666674</v>
      </c>
      <c r="I153" s="1">
        <v>-2.3677800000000002</v>
      </c>
      <c r="J153" s="1">
        <v>18.790323999999998</v>
      </c>
      <c r="K153">
        <v>110</v>
      </c>
    </row>
    <row r="154" spans="1:11" hidden="1" x14ac:dyDescent="0.25">
      <c r="A154" s="1" t="s">
        <v>937</v>
      </c>
      <c r="B154" s="1" t="s">
        <v>1695</v>
      </c>
      <c r="C154" s="1" t="s">
        <v>841</v>
      </c>
      <c r="D154" s="1" t="s">
        <v>1695</v>
      </c>
      <c r="E154" s="1" t="s">
        <v>1695</v>
      </c>
      <c r="F154" s="1" t="s">
        <v>808</v>
      </c>
      <c r="G154" s="2">
        <v>45200</v>
      </c>
      <c r="H154" s="3">
        <v>0.98194444444444451</v>
      </c>
      <c r="I154" s="1" t="s">
        <v>1695</v>
      </c>
      <c r="J154" s="1" t="s">
        <v>1695</v>
      </c>
      <c r="K154">
        <v>98</v>
      </c>
    </row>
    <row r="155" spans="1:11" x14ac:dyDescent="0.25">
      <c r="A155" s="1" t="s">
        <v>937</v>
      </c>
      <c r="B155" s="1" t="s">
        <v>24</v>
      </c>
      <c r="C155" s="1" t="s">
        <v>952</v>
      </c>
      <c r="D155" s="1" t="s">
        <v>1503</v>
      </c>
      <c r="E155" s="1" t="s">
        <v>1509</v>
      </c>
      <c r="F155" s="1" t="s">
        <v>808</v>
      </c>
      <c r="G155" s="2">
        <v>45201</v>
      </c>
      <c r="H155" s="3">
        <v>0.46805555555555545</v>
      </c>
      <c r="I155" s="1">
        <v>-3.3890790000000002</v>
      </c>
      <c r="J155" s="1">
        <v>18.374571</v>
      </c>
      <c r="K155">
        <v>80</v>
      </c>
    </row>
    <row r="156" spans="1:11" hidden="1" x14ac:dyDescent="0.25">
      <c r="A156" s="1" t="s">
        <v>937</v>
      </c>
      <c r="B156" s="1" t="s">
        <v>1695</v>
      </c>
      <c r="C156" s="1" t="s">
        <v>953</v>
      </c>
      <c r="D156" s="1" t="s">
        <v>1695</v>
      </c>
      <c r="E156" s="1" t="s">
        <v>1695</v>
      </c>
      <c r="F156" s="1" t="s">
        <v>808</v>
      </c>
      <c r="G156" s="2">
        <v>45220</v>
      </c>
      <c r="H156" s="3">
        <v>0.11736111111111103</v>
      </c>
      <c r="I156" s="1" t="s">
        <v>1695</v>
      </c>
      <c r="J156" s="1" t="s">
        <v>1695</v>
      </c>
      <c r="K156">
        <v>39</v>
      </c>
    </row>
    <row r="157" spans="1:11" hidden="1" x14ac:dyDescent="0.25">
      <c r="A157" s="1" t="s">
        <v>937</v>
      </c>
      <c r="B157" s="1" t="s">
        <v>1695</v>
      </c>
      <c r="C157" s="1" t="s">
        <v>851</v>
      </c>
      <c r="D157" s="1" t="s">
        <v>1695</v>
      </c>
      <c r="E157" s="1" t="s">
        <v>1695</v>
      </c>
      <c r="F157" s="1" t="s">
        <v>811</v>
      </c>
      <c r="G157" s="2">
        <v>45230</v>
      </c>
      <c r="H157" s="3">
        <v>0.83472222222222214</v>
      </c>
      <c r="I157" s="1" t="s">
        <v>1695</v>
      </c>
      <c r="J157" s="1" t="s">
        <v>1695</v>
      </c>
      <c r="K157">
        <v>46</v>
      </c>
    </row>
    <row r="158" spans="1:11" x14ac:dyDescent="0.25">
      <c r="A158" s="1" t="s">
        <v>937</v>
      </c>
      <c r="B158" s="1" t="s">
        <v>40</v>
      </c>
      <c r="C158" s="1" t="s">
        <v>885</v>
      </c>
      <c r="D158" s="1" t="s">
        <v>1508</v>
      </c>
      <c r="E158" s="1" t="s">
        <v>1509</v>
      </c>
      <c r="F158" s="1" t="s">
        <v>813</v>
      </c>
      <c r="G158" s="2">
        <v>45224</v>
      </c>
      <c r="H158" s="3">
        <v>1.0416666666666741E-2</v>
      </c>
      <c r="I158" s="1">
        <v>-9.7712979999999998</v>
      </c>
      <c r="J158" s="1">
        <v>19.827895999999999</v>
      </c>
      <c r="K158">
        <v>114</v>
      </c>
    </row>
    <row r="159" spans="1:11" x14ac:dyDescent="0.25">
      <c r="A159" s="1" t="s">
        <v>937</v>
      </c>
      <c r="B159" s="1" t="s">
        <v>33</v>
      </c>
      <c r="C159" s="1" t="s">
        <v>954</v>
      </c>
      <c r="D159" s="1" t="s">
        <v>1506</v>
      </c>
      <c r="E159" s="1" t="s">
        <v>1509</v>
      </c>
      <c r="F159" s="1" t="s">
        <v>813</v>
      </c>
      <c r="G159" s="2">
        <v>45206</v>
      </c>
      <c r="H159" s="3">
        <v>2.7083333333333348E-2</v>
      </c>
      <c r="I159" s="1">
        <v>-3.111418</v>
      </c>
      <c r="J159" s="1">
        <v>14.144854</v>
      </c>
      <c r="K159">
        <v>36</v>
      </c>
    </row>
    <row r="160" spans="1:11" x14ac:dyDescent="0.25">
      <c r="A160" s="1" t="s">
        <v>937</v>
      </c>
      <c r="B160" s="1" t="s">
        <v>89</v>
      </c>
      <c r="C160" s="1" t="s">
        <v>955</v>
      </c>
      <c r="D160" s="1" t="s">
        <v>1506</v>
      </c>
      <c r="E160" s="1" t="s">
        <v>1504</v>
      </c>
      <c r="F160" s="1" t="s">
        <v>811</v>
      </c>
      <c r="G160" s="2">
        <v>45204</v>
      </c>
      <c r="H160" s="3">
        <v>0.29722222222222228</v>
      </c>
      <c r="I160" s="1">
        <v>-1.342476</v>
      </c>
      <c r="J160" s="1">
        <v>15.986086</v>
      </c>
      <c r="K160">
        <v>111</v>
      </c>
    </row>
    <row r="161" spans="1:11" hidden="1" x14ac:dyDescent="0.25">
      <c r="A161" s="1" t="s">
        <v>937</v>
      </c>
      <c r="B161" s="1" t="s">
        <v>1695</v>
      </c>
      <c r="C161" s="1" t="s">
        <v>956</v>
      </c>
      <c r="D161" s="1" t="s">
        <v>1695</v>
      </c>
      <c r="E161" s="1" t="s">
        <v>1695</v>
      </c>
      <c r="F161" s="1" t="s">
        <v>811</v>
      </c>
      <c r="G161" s="2">
        <v>45215</v>
      </c>
      <c r="H161" s="3">
        <v>0.8798611111111112</v>
      </c>
      <c r="I161" s="1" t="s">
        <v>1695</v>
      </c>
      <c r="J161" s="1" t="s">
        <v>1695</v>
      </c>
      <c r="K161">
        <v>16</v>
      </c>
    </row>
    <row r="162" spans="1:11" x14ac:dyDescent="0.25">
      <c r="A162" s="1" t="s">
        <v>937</v>
      </c>
      <c r="B162" s="1" t="s">
        <v>127</v>
      </c>
      <c r="C162" s="1" t="s">
        <v>957</v>
      </c>
      <c r="D162" s="1" t="s">
        <v>1508</v>
      </c>
      <c r="E162" s="1" t="s">
        <v>1507</v>
      </c>
      <c r="F162" s="1" t="s">
        <v>811</v>
      </c>
      <c r="G162" s="2">
        <v>45218</v>
      </c>
      <c r="H162" s="3">
        <v>0.27013888888888893</v>
      </c>
      <c r="I162" s="1">
        <v>-1.8045979999999999</v>
      </c>
      <c r="J162" s="1">
        <v>12.511096999999999</v>
      </c>
      <c r="K162">
        <v>40</v>
      </c>
    </row>
    <row r="163" spans="1:11" hidden="1" x14ac:dyDescent="0.25">
      <c r="A163" s="1" t="s">
        <v>937</v>
      </c>
      <c r="B163" s="1" t="s">
        <v>1695</v>
      </c>
      <c r="C163" s="1" t="s">
        <v>958</v>
      </c>
      <c r="D163" s="1" t="s">
        <v>1695</v>
      </c>
      <c r="E163" s="1" t="s">
        <v>1695</v>
      </c>
      <c r="F163" s="1" t="s">
        <v>811</v>
      </c>
      <c r="G163" s="2">
        <v>45222</v>
      </c>
      <c r="H163" s="3">
        <v>0.36736111111111103</v>
      </c>
      <c r="I163" s="1" t="s">
        <v>1695</v>
      </c>
      <c r="J163" s="1" t="s">
        <v>1695</v>
      </c>
      <c r="K163">
        <v>117</v>
      </c>
    </row>
    <row r="164" spans="1:11" x14ac:dyDescent="0.25">
      <c r="A164" s="1" t="s">
        <v>937</v>
      </c>
      <c r="B164" s="1" t="s">
        <v>131</v>
      </c>
      <c r="C164" s="1" t="s">
        <v>959</v>
      </c>
      <c r="D164" s="1" t="s">
        <v>1503</v>
      </c>
      <c r="E164" s="1" t="s">
        <v>1516</v>
      </c>
      <c r="F164" s="1" t="s">
        <v>813</v>
      </c>
      <c r="G164" s="2">
        <v>45211</v>
      </c>
      <c r="H164" s="3">
        <v>0.23472222222222228</v>
      </c>
      <c r="I164" s="1">
        <v>-2.3102109999999998</v>
      </c>
      <c r="J164" s="1">
        <v>12.362488000000001</v>
      </c>
      <c r="K164">
        <v>62</v>
      </c>
    </row>
    <row r="165" spans="1:11" hidden="1" x14ac:dyDescent="0.25">
      <c r="A165" s="1" t="s">
        <v>937</v>
      </c>
      <c r="B165" s="1" t="s">
        <v>1695</v>
      </c>
      <c r="C165" s="1" t="s">
        <v>960</v>
      </c>
      <c r="D165" s="1" t="s">
        <v>1695</v>
      </c>
      <c r="E165" s="1" t="s">
        <v>1695</v>
      </c>
      <c r="F165" s="1" t="s">
        <v>808</v>
      </c>
      <c r="G165" s="2">
        <v>45219</v>
      </c>
      <c r="H165" s="3">
        <v>0.98958333333333326</v>
      </c>
      <c r="I165" s="1" t="s">
        <v>1695</v>
      </c>
      <c r="J165" s="1" t="s">
        <v>1695</v>
      </c>
      <c r="K165">
        <v>36</v>
      </c>
    </row>
    <row r="166" spans="1:11" x14ac:dyDescent="0.25">
      <c r="A166" s="1" t="s">
        <v>937</v>
      </c>
      <c r="B166" s="1" t="s">
        <v>73</v>
      </c>
      <c r="C166" s="1" t="s">
        <v>961</v>
      </c>
      <c r="D166" s="1" t="s">
        <v>1508</v>
      </c>
      <c r="E166" s="1" t="s">
        <v>1509</v>
      </c>
      <c r="F166" s="1" t="s">
        <v>808</v>
      </c>
      <c r="G166" s="2">
        <v>45203</v>
      </c>
      <c r="H166" s="3">
        <v>0.22152777777777777</v>
      </c>
      <c r="I166" s="1">
        <v>3.0603760000000002</v>
      </c>
      <c r="J166" s="1">
        <v>19.708034000000001</v>
      </c>
      <c r="K166">
        <v>101</v>
      </c>
    </row>
    <row r="167" spans="1:11" x14ac:dyDescent="0.25">
      <c r="A167" s="1" t="s">
        <v>937</v>
      </c>
      <c r="B167" s="1" t="s">
        <v>78</v>
      </c>
      <c r="C167" s="1" t="s">
        <v>962</v>
      </c>
      <c r="D167" s="1" t="s">
        <v>1506</v>
      </c>
      <c r="E167" s="1" t="s">
        <v>1504</v>
      </c>
      <c r="F167" s="1" t="s">
        <v>813</v>
      </c>
      <c r="G167" s="2">
        <v>45203</v>
      </c>
      <c r="H167" s="3">
        <v>0.75069444444444455</v>
      </c>
      <c r="I167" s="1">
        <v>-4.6818410000000004</v>
      </c>
      <c r="J167" s="1">
        <v>17.541618</v>
      </c>
      <c r="K167">
        <v>64</v>
      </c>
    </row>
    <row r="168" spans="1:11" hidden="1" x14ac:dyDescent="0.25">
      <c r="A168" s="1" t="s">
        <v>937</v>
      </c>
      <c r="B168" s="1" t="s">
        <v>1695</v>
      </c>
      <c r="C168" s="1" t="s">
        <v>963</v>
      </c>
      <c r="D168" s="1" t="s">
        <v>1695</v>
      </c>
      <c r="E168" s="1" t="s">
        <v>1695</v>
      </c>
      <c r="F168" s="1" t="s">
        <v>808</v>
      </c>
      <c r="G168" s="2">
        <v>45229</v>
      </c>
      <c r="H168" s="3">
        <v>0.39999999999999991</v>
      </c>
      <c r="I168" s="1" t="s">
        <v>1695</v>
      </c>
      <c r="J168" s="1" t="s">
        <v>1695</v>
      </c>
      <c r="K168">
        <v>77</v>
      </c>
    </row>
    <row r="169" spans="1:11" x14ac:dyDescent="0.25">
      <c r="A169" s="1" t="s">
        <v>937</v>
      </c>
      <c r="B169" s="1" t="s">
        <v>21</v>
      </c>
      <c r="C169" s="1" t="s">
        <v>964</v>
      </c>
      <c r="D169" s="1" t="s">
        <v>1506</v>
      </c>
      <c r="E169" s="1" t="s">
        <v>1504</v>
      </c>
      <c r="F169" s="1" t="s">
        <v>813</v>
      </c>
      <c r="G169" s="2">
        <v>45221</v>
      </c>
      <c r="H169" s="3">
        <v>0.51736111111111116</v>
      </c>
      <c r="I169" s="1">
        <v>-2.9651529999999999</v>
      </c>
      <c r="J169" s="1">
        <v>29.79908</v>
      </c>
      <c r="K169">
        <v>83</v>
      </c>
    </row>
    <row r="170" spans="1:11" hidden="1" x14ac:dyDescent="0.25">
      <c r="A170" s="1" t="s">
        <v>937</v>
      </c>
      <c r="B170" s="1" t="s">
        <v>1695</v>
      </c>
      <c r="C170" s="1" t="s">
        <v>965</v>
      </c>
      <c r="D170" s="1" t="s">
        <v>1695</v>
      </c>
      <c r="E170" s="1" t="s">
        <v>1695</v>
      </c>
      <c r="F170" s="1" t="s">
        <v>808</v>
      </c>
      <c r="G170" s="2">
        <v>45230</v>
      </c>
      <c r="H170" s="3">
        <v>0.92500000000000004</v>
      </c>
      <c r="I170" s="1" t="s">
        <v>1695</v>
      </c>
      <c r="J170" s="1" t="s">
        <v>1695</v>
      </c>
      <c r="K170">
        <v>90</v>
      </c>
    </row>
    <row r="171" spans="1:11" x14ac:dyDescent="0.25">
      <c r="A171" s="1" t="s">
        <v>937</v>
      </c>
      <c r="B171" s="1" t="s">
        <v>78</v>
      </c>
      <c r="C171" s="1" t="s">
        <v>966</v>
      </c>
      <c r="D171" s="1" t="s">
        <v>1503</v>
      </c>
      <c r="E171" s="1" t="s">
        <v>1504</v>
      </c>
      <c r="F171" s="1" t="s">
        <v>813</v>
      </c>
      <c r="G171" s="2">
        <v>45202</v>
      </c>
      <c r="H171" s="3">
        <v>0.78055555555555545</v>
      </c>
      <c r="I171" s="1">
        <v>-2.3743210000000001</v>
      </c>
      <c r="J171" s="1">
        <v>22.399491000000001</v>
      </c>
      <c r="K171">
        <v>53</v>
      </c>
    </row>
    <row r="172" spans="1:11" hidden="1" x14ac:dyDescent="0.25">
      <c r="A172" s="1" t="s">
        <v>937</v>
      </c>
      <c r="B172" s="1" t="s">
        <v>1695</v>
      </c>
      <c r="C172" s="1" t="s">
        <v>967</v>
      </c>
      <c r="D172" s="1" t="s">
        <v>1695</v>
      </c>
      <c r="E172" s="1" t="s">
        <v>1695</v>
      </c>
      <c r="F172" s="1" t="s">
        <v>808</v>
      </c>
      <c r="G172" s="2">
        <v>45226</v>
      </c>
      <c r="H172" s="3">
        <v>0.84375</v>
      </c>
      <c r="I172" s="1" t="s">
        <v>1695</v>
      </c>
      <c r="J172" s="1" t="s">
        <v>1695</v>
      </c>
      <c r="K172">
        <v>48</v>
      </c>
    </row>
    <row r="173" spans="1:11" x14ac:dyDescent="0.25">
      <c r="A173" s="1" t="s">
        <v>937</v>
      </c>
      <c r="B173" s="1" t="s">
        <v>13</v>
      </c>
      <c r="C173" s="1" t="s">
        <v>968</v>
      </c>
      <c r="D173" s="1" t="s">
        <v>1508</v>
      </c>
      <c r="E173" s="1" t="s">
        <v>1507</v>
      </c>
      <c r="F173" s="1" t="s">
        <v>811</v>
      </c>
      <c r="G173" s="2">
        <v>45203</v>
      </c>
      <c r="H173" s="3">
        <v>0.95069444444444451</v>
      </c>
      <c r="I173" s="1">
        <v>-0.79406600000000005</v>
      </c>
      <c r="J173" s="1">
        <v>12.534793000000001</v>
      </c>
      <c r="K173">
        <v>8</v>
      </c>
    </row>
    <row r="174" spans="1:11" x14ac:dyDescent="0.25">
      <c r="A174" s="1" t="s">
        <v>937</v>
      </c>
      <c r="B174" s="1" t="s">
        <v>31</v>
      </c>
      <c r="C174" s="1" t="s">
        <v>969</v>
      </c>
      <c r="D174" s="1" t="s">
        <v>1506</v>
      </c>
      <c r="E174" s="1" t="s">
        <v>1509</v>
      </c>
      <c r="F174" s="1" t="s">
        <v>811</v>
      </c>
      <c r="G174" s="2">
        <v>45209</v>
      </c>
      <c r="H174" s="3">
        <v>0.9013888888888888</v>
      </c>
      <c r="I174" s="1">
        <v>-8.3241560000000003</v>
      </c>
      <c r="J174" s="1">
        <v>19.543866000000001</v>
      </c>
      <c r="K174">
        <v>68</v>
      </c>
    </row>
    <row r="175" spans="1:11" hidden="1" x14ac:dyDescent="0.25">
      <c r="A175" s="1" t="s">
        <v>937</v>
      </c>
      <c r="B175" s="1" t="s">
        <v>1695</v>
      </c>
      <c r="C175" s="1" t="s">
        <v>970</v>
      </c>
      <c r="D175" s="1" t="s">
        <v>1695</v>
      </c>
      <c r="E175" s="1" t="s">
        <v>1695</v>
      </c>
      <c r="F175" s="1" t="s">
        <v>808</v>
      </c>
      <c r="G175" s="2">
        <v>45225</v>
      </c>
      <c r="H175" s="3">
        <v>0.15972222222222232</v>
      </c>
      <c r="I175" s="1" t="s">
        <v>1695</v>
      </c>
      <c r="J175" s="1" t="s">
        <v>1695</v>
      </c>
      <c r="K175">
        <v>113</v>
      </c>
    </row>
    <row r="176" spans="1:11" hidden="1" x14ac:dyDescent="0.25">
      <c r="A176" s="1" t="s">
        <v>937</v>
      </c>
      <c r="B176" s="1" t="s">
        <v>1695</v>
      </c>
      <c r="C176" s="1" t="s">
        <v>971</v>
      </c>
      <c r="D176" s="1" t="s">
        <v>1695</v>
      </c>
      <c r="E176" s="1" t="s">
        <v>1695</v>
      </c>
      <c r="F176" s="1" t="s">
        <v>813</v>
      </c>
      <c r="G176" s="2">
        <v>45218</v>
      </c>
      <c r="H176" s="3">
        <v>5.6944444444444464E-2</v>
      </c>
      <c r="I176" s="1" t="s">
        <v>1695</v>
      </c>
      <c r="J176" s="1" t="s">
        <v>1695</v>
      </c>
      <c r="K176">
        <v>46</v>
      </c>
    </row>
    <row r="177" spans="1:11" hidden="1" x14ac:dyDescent="0.25">
      <c r="A177" s="1" t="s">
        <v>937</v>
      </c>
      <c r="B177" s="1" t="s">
        <v>1695</v>
      </c>
      <c r="C177" s="1" t="s">
        <v>972</v>
      </c>
      <c r="D177" s="1" t="s">
        <v>1695</v>
      </c>
      <c r="E177" s="1" t="s">
        <v>1695</v>
      </c>
      <c r="F177" s="1" t="s">
        <v>808</v>
      </c>
      <c r="G177" s="2">
        <v>45217</v>
      </c>
      <c r="H177" s="3">
        <v>0.5708333333333333</v>
      </c>
      <c r="I177" s="1" t="s">
        <v>1695</v>
      </c>
      <c r="J177" s="1" t="s">
        <v>1695</v>
      </c>
      <c r="K177">
        <v>28</v>
      </c>
    </row>
    <row r="178" spans="1:11" hidden="1" x14ac:dyDescent="0.25">
      <c r="A178" s="1" t="s">
        <v>937</v>
      </c>
      <c r="B178" s="1" t="s">
        <v>1695</v>
      </c>
      <c r="C178" s="1" t="s">
        <v>836</v>
      </c>
      <c r="D178" s="1" t="s">
        <v>1695</v>
      </c>
      <c r="E178" s="1" t="s">
        <v>1695</v>
      </c>
      <c r="F178" s="1" t="s">
        <v>808</v>
      </c>
      <c r="G178" s="2">
        <v>45211</v>
      </c>
      <c r="H178" s="3">
        <v>0.10555555555555562</v>
      </c>
      <c r="I178" s="1" t="s">
        <v>1695</v>
      </c>
      <c r="J178" s="1" t="s">
        <v>1695</v>
      </c>
      <c r="K178">
        <v>67</v>
      </c>
    </row>
    <row r="179" spans="1:11" x14ac:dyDescent="0.25">
      <c r="A179" s="1" t="s">
        <v>937</v>
      </c>
      <c r="B179" s="1" t="s">
        <v>64</v>
      </c>
      <c r="C179" s="1" t="s">
        <v>973</v>
      </c>
      <c r="D179" s="1" t="s">
        <v>1503</v>
      </c>
      <c r="E179" s="1" t="s">
        <v>1509</v>
      </c>
      <c r="F179" s="1" t="s">
        <v>811</v>
      </c>
      <c r="G179" s="2">
        <v>45220</v>
      </c>
      <c r="H179" s="3">
        <v>0.41666666666666674</v>
      </c>
      <c r="I179" s="1">
        <v>-11.991020000000001</v>
      </c>
      <c r="J179" s="1">
        <v>22.514747</v>
      </c>
      <c r="K179">
        <v>32</v>
      </c>
    </row>
    <row r="180" spans="1:11" x14ac:dyDescent="0.25">
      <c r="A180" s="1" t="s">
        <v>937</v>
      </c>
      <c r="B180" s="1" t="s">
        <v>73</v>
      </c>
      <c r="C180" s="1" t="s">
        <v>974</v>
      </c>
      <c r="D180" s="1" t="s">
        <v>1503</v>
      </c>
      <c r="E180" s="1" t="s">
        <v>1509</v>
      </c>
      <c r="F180" s="1" t="s">
        <v>813</v>
      </c>
      <c r="G180" s="2">
        <v>45227</v>
      </c>
      <c r="H180" s="3">
        <v>0.57777777777777772</v>
      </c>
      <c r="I180" s="1">
        <v>-4.5603610000000003</v>
      </c>
      <c r="J180" s="1">
        <v>24.113918999999999</v>
      </c>
      <c r="K180">
        <v>50</v>
      </c>
    </row>
    <row r="181" spans="1:11" hidden="1" x14ac:dyDescent="0.25">
      <c r="A181" s="1" t="s">
        <v>937</v>
      </c>
      <c r="B181" s="1" t="s">
        <v>1695</v>
      </c>
      <c r="C181" s="1" t="s">
        <v>975</v>
      </c>
      <c r="D181" s="1" t="s">
        <v>1695</v>
      </c>
      <c r="E181" s="1" t="s">
        <v>1695</v>
      </c>
      <c r="F181" s="1" t="s">
        <v>811</v>
      </c>
      <c r="G181" s="2">
        <v>45215</v>
      </c>
      <c r="H181" s="3">
        <v>0.14375000000000004</v>
      </c>
      <c r="I181" s="1" t="s">
        <v>1695</v>
      </c>
      <c r="J181" s="1" t="s">
        <v>1695</v>
      </c>
      <c r="K181">
        <v>107</v>
      </c>
    </row>
    <row r="182" spans="1:11" x14ac:dyDescent="0.25">
      <c r="A182" s="1" t="s">
        <v>937</v>
      </c>
      <c r="B182" s="1" t="s">
        <v>131</v>
      </c>
      <c r="C182" s="1" t="s">
        <v>976</v>
      </c>
      <c r="D182" s="1" t="s">
        <v>1503</v>
      </c>
      <c r="E182" s="1" t="s">
        <v>1507</v>
      </c>
      <c r="F182" s="1" t="s">
        <v>808</v>
      </c>
      <c r="G182" s="2">
        <v>45230</v>
      </c>
      <c r="H182" s="3">
        <v>0.48611111111111116</v>
      </c>
      <c r="I182" s="1">
        <v>-12.336202</v>
      </c>
      <c r="J182" s="1">
        <v>13.693683999999999</v>
      </c>
      <c r="K182">
        <v>38</v>
      </c>
    </row>
    <row r="183" spans="1:11" x14ac:dyDescent="0.25">
      <c r="A183" s="1" t="s">
        <v>937</v>
      </c>
      <c r="B183" s="1" t="s">
        <v>26</v>
      </c>
      <c r="C183" s="1" t="s">
        <v>977</v>
      </c>
      <c r="D183" s="1" t="s">
        <v>1503</v>
      </c>
      <c r="E183" s="1" t="s">
        <v>1509</v>
      </c>
      <c r="F183" s="1" t="s">
        <v>811</v>
      </c>
      <c r="G183" s="2">
        <v>45228</v>
      </c>
      <c r="H183" s="3">
        <v>0.61458333333333326</v>
      </c>
      <c r="I183" s="1">
        <v>-3.6945459999999999</v>
      </c>
      <c r="J183" s="1">
        <v>16.809108999999999</v>
      </c>
      <c r="K183">
        <v>48</v>
      </c>
    </row>
    <row r="184" spans="1:11" hidden="1" x14ac:dyDescent="0.25">
      <c r="A184" s="1" t="s">
        <v>978</v>
      </c>
      <c r="B184" s="1" t="s">
        <v>1695</v>
      </c>
      <c r="C184" s="1" t="s">
        <v>979</v>
      </c>
      <c r="D184" s="1" t="s">
        <v>1695</v>
      </c>
      <c r="E184" s="1" t="s">
        <v>1695</v>
      </c>
      <c r="F184" s="1" t="s">
        <v>813</v>
      </c>
      <c r="G184" s="2">
        <v>45215</v>
      </c>
      <c r="H184" s="3">
        <v>0.59791666666666665</v>
      </c>
      <c r="I184" s="1" t="s">
        <v>1695</v>
      </c>
      <c r="J184" s="1" t="s">
        <v>1695</v>
      </c>
      <c r="K184">
        <v>7</v>
      </c>
    </row>
    <row r="185" spans="1:11" x14ac:dyDescent="0.25">
      <c r="A185" s="1" t="s">
        <v>978</v>
      </c>
      <c r="B185" s="1" t="s">
        <v>29</v>
      </c>
      <c r="C185" s="1" t="s">
        <v>840</v>
      </c>
      <c r="D185" s="1" t="s">
        <v>1506</v>
      </c>
      <c r="E185" s="1" t="s">
        <v>1507</v>
      </c>
      <c r="F185" s="1" t="s">
        <v>811</v>
      </c>
      <c r="G185" s="2">
        <v>45205</v>
      </c>
      <c r="H185" s="3">
        <v>5.2777777777777812E-2</v>
      </c>
      <c r="I185" s="1">
        <v>-4.9789079999999997</v>
      </c>
      <c r="J185" s="1">
        <v>28.506295000000001</v>
      </c>
      <c r="K185">
        <v>102</v>
      </c>
    </row>
    <row r="186" spans="1:11" hidden="1" x14ac:dyDescent="0.25">
      <c r="A186" s="1" t="s">
        <v>978</v>
      </c>
      <c r="B186" s="1" t="s">
        <v>1695</v>
      </c>
      <c r="C186" s="1" t="s">
        <v>980</v>
      </c>
      <c r="D186" s="1" t="s">
        <v>1695</v>
      </c>
      <c r="E186" s="1" t="s">
        <v>1695</v>
      </c>
      <c r="F186" s="1" t="s">
        <v>808</v>
      </c>
      <c r="G186" s="2">
        <v>45230</v>
      </c>
      <c r="H186" s="3">
        <v>0.6298611111111112</v>
      </c>
      <c r="I186" s="1" t="s">
        <v>1695</v>
      </c>
      <c r="J186" s="1" t="s">
        <v>1695</v>
      </c>
      <c r="K186">
        <v>91</v>
      </c>
    </row>
    <row r="187" spans="1:11" x14ac:dyDescent="0.25">
      <c r="A187" s="1" t="s">
        <v>978</v>
      </c>
      <c r="B187" s="1" t="s">
        <v>67</v>
      </c>
      <c r="C187" s="1" t="s">
        <v>981</v>
      </c>
      <c r="D187" s="1" t="s">
        <v>1508</v>
      </c>
      <c r="E187" s="1" t="s">
        <v>1509</v>
      </c>
      <c r="F187" s="1" t="s">
        <v>811</v>
      </c>
      <c r="G187" s="2">
        <v>45226</v>
      </c>
      <c r="H187" s="3">
        <v>0.10069444444444442</v>
      </c>
      <c r="I187" s="1">
        <v>-2.2681789999999999</v>
      </c>
      <c r="J187" s="1">
        <v>25.699068</v>
      </c>
      <c r="K187">
        <v>110</v>
      </c>
    </row>
    <row r="188" spans="1:11" hidden="1" x14ac:dyDescent="0.25">
      <c r="A188" s="1" t="s">
        <v>978</v>
      </c>
      <c r="B188" s="1" t="s">
        <v>1695</v>
      </c>
      <c r="C188" s="1" t="s">
        <v>982</v>
      </c>
      <c r="D188" s="1" t="s">
        <v>1695</v>
      </c>
      <c r="E188" s="1" t="s">
        <v>1695</v>
      </c>
      <c r="F188" s="1" t="s">
        <v>813</v>
      </c>
      <c r="G188" s="2">
        <v>45215</v>
      </c>
      <c r="H188" s="3">
        <v>0.10833333333333339</v>
      </c>
      <c r="I188" s="1" t="s">
        <v>1695</v>
      </c>
      <c r="J188" s="1" t="s">
        <v>1695</v>
      </c>
      <c r="K188">
        <v>39</v>
      </c>
    </row>
    <row r="189" spans="1:11" x14ac:dyDescent="0.25">
      <c r="A189" s="1" t="s">
        <v>978</v>
      </c>
      <c r="B189" s="1" t="s">
        <v>64</v>
      </c>
      <c r="C189" s="1" t="s">
        <v>983</v>
      </c>
      <c r="D189" s="1" t="s">
        <v>1508</v>
      </c>
      <c r="E189" s="1" t="s">
        <v>1516</v>
      </c>
      <c r="F189" s="1" t="s">
        <v>808</v>
      </c>
      <c r="G189" s="2">
        <v>45220</v>
      </c>
      <c r="H189" s="3">
        <v>0.87708333333333344</v>
      </c>
      <c r="I189" s="1">
        <v>-7.5418399999999997</v>
      </c>
      <c r="J189" s="1">
        <v>16.931206</v>
      </c>
      <c r="K189">
        <v>78</v>
      </c>
    </row>
    <row r="190" spans="1:11" hidden="1" x14ac:dyDescent="0.25">
      <c r="A190" s="1" t="s">
        <v>978</v>
      </c>
      <c r="B190" s="1" t="s">
        <v>1695</v>
      </c>
      <c r="C190" s="1" t="s">
        <v>984</v>
      </c>
      <c r="D190" s="1" t="s">
        <v>1695</v>
      </c>
      <c r="E190" s="1" t="s">
        <v>1695</v>
      </c>
      <c r="F190" s="1" t="s">
        <v>808</v>
      </c>
      <c r="G190" s="2">
        <v>45204</v>
      </c>
      <c r="H190" s="3">
        <v>0.20208333333333339</v>
      </c>
      <c r="I190" s="1" t="s">
        <v>1695</v>
      </c>
      <c r="J190" s="1" t="s">
        <v>1695</v>
      </c>
      <c r="K190">
        <v>10</v>
      </c>
    </row>
    <row r="191" spans="1:11" x14ac:dyDescent="0.25">
      <c r="A191" s="1" t="s">
        <v>978</v>
      </c>
      <c r="B191" s="1" t="s">
        <v>33</v>
      </c>
      <c r="C191" s="1" t="s">
        <v>985</v>
      </c>
      <c r="D191" s="1" t="s">
        <v>1506</v>
      </c>
      <c r="E191" s="1" t="s">
        <v>1504</v>
      </c>
      <c r="F191" s="1" t="s">
        <v>808</v>
      </c>
      <c r="G191" s="2">
        <v>45218</v>
      </c>
      <c r="H191" s="3">
        <v>0.37847222222222232</v>
      </c>
      <c r="I191" s="1">
        <v>-4.4451280000000004</v>
      </c>
      <c r="J191" s="1">
        <v>16.536944999999999</v>
      </c>
      <c r="K191">
        <v>102</v>
      </c>
    </row>
    <row r="192" spans="1:11" x14ac:dyDescent="0.25">
      <c r="A192" s="1" t="s">
        <v>978</v>
      </c>
      <c r="B192" s="1" t="s">
        <v>137</v>
      </c>
      <c r="C192" s="1" t="s">
        <v>986</v>
      </c>
      <c r="D192" s="1" t="s">
        <v>1508</v>
      </c>
      <c r="E192" s="1" t="s">
        <v>1509</v>
      </c>
      <c r="F192" s="1" t="s">
        <v>813</v>
      </c>
      <c r="G192" s="2">
        <v>45207</v>
      </c>
      <c r="H192" s="3">
        <v>0.14930555555555558</v>
      </c>
      <c r="I192" s="1">
        <v>-10.872631999999999</v>
      </c>
      <c r="J192" s="1">
        <v>12.773279</v>
      </c>
      <c r="K192">
        <v>101</v>
      </c>
    </row>
    <row r="193" spans="1:11" x14ac:dyDescent="0.25">
      <c r="A193" s="1" t="s">
        <v>978</v>
      </c>
      <c r="B193" s="1" t="s">
        <v>44</v>
      </c>
      <c r="C193" s="1" t="s">
        <v>987</v>
      </c>
      <c r="D193" s="1" t="s">
        <v>1506</v>
      </c>
      <c r="E193" s="1" t="s">
        <v>1516</v>
      </c>
      <c r="F193" s="1" t="s">
        <v>808</v>
      </c>
      <c r="G193" s="2">
        <v>45224</v>
      </c>
      <c r="H193" s="3">
        <v>0.56805555555555554</v>
      </c>
      <c r="I193" s="1">
        <v>-10.442425</v>
      </c>
      <c r="J193" s="1">
        <v>23.243632000000002</v>
      </c>
      <c r="K193">
        <v>27</v>
      </c>
    </row>
    <row r="194" spans="1:11" x14ac:dyDescent="0.25">
      <c r="A194" s="1" t="s">
        <v>978</v>
      </c>
      <c r="B194" s="1" t="s">
        <v>13</v>
      </c>
      <c r="C194" s="1" t="s">
        <v>988</v>
      </c>
      <c r="D194" s="1" t="s">
        <v>1508</v>
      </c>
      <c r="E194" s="1" t="s">
        <v>1509</v>
      </c>
      <c r="F194" s="1" t="s">
        <v>811</v>
      </c>
      <c r="G194" s="2">
        <v>45219</v>
      </c>
      <c r="H194" s="3">
        <v>0.80138888888888893</v>
      </c>
      <c r="I194" s="1">
        <v>0.52897499999999997</v>
      </c>
      <c r="J194" s="1">
        <v>13.849651</v>
      </c>
      <c r="K194">
        <v>65</v>
      </c>
    </row>
    <row r="195" spans="1:11" hidden="1" x14ac:dyDescent="0.25">
      <c r="A195" s="1" t="s">
        <v>978</v>
      </c>
      <c r="B195" s="1" t="s">
        <v>1695</v>
      </c>
      <c r="C195" s="1" t="s">
        <v>989</v>
      </c>
      <c r="D195" s="1" t="s">
        <v>1695</v>
      </c>
      <c r="E195" s="1" t="s">
        <v>1695</v>
      </c>
      <c r="F195" s="1" t="s">
        <v>808</v>
      </c>
      <c r="G195" s="2">
        <v>45224</v>
      </c>
      <c r="H195" s="3">
        <v>0.68333333333333335</v>
      </c>
      <c r="I195" s="1" t="s">
        <v>1695</v>
      </c>
      <c r="J195" s="1" t="s">
        <v>1695</v>
      </c>
      <c r="K195">
        <v>71</v>
      </c>
    </row>
    <row r="196" spans="1:11" hidden="1" x14ac:dyDescent="0.25">
      <c r="A196" s="1" t="s">
        <v>978</v>
      </c>
      <c r="B196" s="1" t="s">
        <v>1695</v>
      </c>
      <c r="C196" s="1" t="s">
        <v>990</v>
      </c>
      <c r="D196" s="1" t="s">
        <v>1695</v>
      </c>
      <c r="E196" s="1" t="s">
        <v>1695</v>
      </c>
      <c r="F196" s="1" t="s">
        <v>813</v>
      </c>
      <c r="G196" s="2">
        <v>45214</v>
      </c>
      <c r="H196" s="3">
        <v>0.59652777777777777</v>
      </c>
      <c r="I196" s="1" t="s">
        <v>1695</v>
      </c>
      <c r="J196" s="1" t="s">
        <v>1695</v>
      </c>
      <c r="K196">
        <v>88</v>
      </c>
    </row>
    <row r="197" spans="1:11" hidden="1" x14ac:dyDescent="0.25">
      <c r="A197" s="1" t="s">
        <v>978</v>
      </c>
      <c r="B197" s="1" t="s">
        <v>1695</v>
      </c>
      <c r="C197" s="1" t="s">
        <v>991</v>
      </c>
      <c r="D197" s="1" t="s">
        <v>1695</v>
      </c>
      <c r="E197" s="1" t="s">
        <v>1695</v>
      </c>
      <c r="F197" s="1" t="s">
        <v>811</v>
      </c>
      <c r="G197" s="2">
        <v>45227</v>
      </c>
      <c r="H197" s="3">
        <v>0.76875000000000004</v>
      </c>
      <c r="I197" s="1" t="s">
        <v>1695</v>
      </c>
      <c r="J197" s="1" t="s">
        <v>1695</v>
      </c>
      <c r="K197">
        <v>61</v>
      </c>
    </row>
    <row r="198" spans="1:11" x14ac:dyDescent="0.25">
      <c r="A198" s="1" t="s">
        <v>978</v>
      </c>
      <c r="B198" s="1" t="s">
        <v>137</v>
      </c>
      <c r="C198" s="1" t="s">
        <v>992</v>
      </c>
      <c r="D198" s="1" t="s">
        <v>1508</v>
      </c>
      <c r="E198" s="1" t="s">
        <v>1504</v>
      </c>
      <c r="F198" s="1" t="s">
        <v>813</v>
      </c>
      <c r="G198" s="2">
        <v>45209</v>
      </c>
      <c r="H198" s="3">
        <v>0.77708333333333335</v>
      </c>
      <c r="I198" s="1">
        <v>-9.5243310000000001</v>
      </c>
      <c r="J198" s="1">
        <v>30.541212000000002</v>
      </c>
      <c r="K198">
        <v>40</v>
      </c>
    </row>
    <row r="199" spans="1:11" x14ac:dyDescent="0.25">
      <c r="A199" s="1" t="s">
        <v>978</v>
      </c>
      <c r="B199" s="1" t="s">
        <v>44</v>
      </c>
      <c r="C199" s="1" t="s">
        <v>993</v>
      </c>
      <c r="D199" s="1" t="s">
        <v>1506</v>
      </c>
      <c r="E199" s="1" t="s">
        <v>1507</v>
      </c>
      <c r="F199" s="1" t="s">
        <v>811</v>
      </c>
      <c r="G199" s="2">
        <v>45201</v>
      </c>
      <c r="H199" s="3">
        <v>0.82430555555555562</v>
      </c>
      <c r="I199" s="1">
        <v>-9.3652280000000001</v>
      </c>
      <c r="J199" s="1">
        <v>18.674116000000001</v>
      </c>
      <c r="K199">
        <v>28</v>
      </c>
    </row>
    <row r="200" spans="1:11" hidden="1" x14ac:dyDescent="0.25">
      <c r="A200" s="1" t="s">
        <v>978</v>
      </c>
      <c r="B200" s="1" t="s">
        <v>1695</v>
      </c>
      <c r="C200" s="1" t="s">
        <v>994</v>
      </c>
      <c r="D200" s="1" t="s">
        <v>1695</v>
      </c>
      <c r="E200" s="1" t="s">
        <v>1695</v>
      </c>
      <c r="F200" s="1" t="s">
        <v>811</v>
      </c>
      <c r="G200" s="2">
        <v>45203</v>
      </c>
      <c r="H200" s="3">
        <v>0.27777777777777768</v>
      </c>
      <c r="I200" s="1" t="s">
        <v>1695</v>
      </c>
      <c r="J200" s="1" t="s">
        <v>1695</v>
      </c>
      <c r="K200">
        <v>79</v>
      </c>
    </row>
    <row r="201" spans="1:11" x14ac:dyDescent="0.25">
      <c r="A201" s="1" t="s">
        <v>978</v>
      </c>
      <c r="B201" s="1" t="s">
        <v>78</v>
      </c>
      <c r="C201" s="1" t="s">
        <v>995</v>
      </c>
      <c r="D201" s="1" t="s">
        <v>1506</v>
      </c>
      <c r="E201" s="1" t="s">
        <v>1507</v>
      </c>
      <c r="F201" s="1" t="s">
        <v>813</v>
      </c>
      <c r="G201" s="2">
        <v>45206</v>
      </c>
      <c r="H201" s="3">
        <v>0.36250000000000004</v>
      </c>
      <c r="I201" s="1">
        <v>-4.2645619999999997</v>
      </c>
      <c r="J201" s="1">
        <v>18.960726000000001</v>
      </c>
      <c r="K201">
        <v>60</v>
      </c>
    </row>
    <row r="202" spans="1:11" x14ac:dyDescent="0.25">
      <c r="A202" s="1" t="s">
        <v>978</v>
      </c>
      <c r="B202" s="1" t="s">
        <v>18</v>
      </c>
      <c r="C202" s="1" t="s">
        <v>996</v>
      </c>
      <c r="D202" s="1" t="s">
        <v>1506</v>
      </c>
      <c r="E202" s="1" t="s">
        <v>1507</v>
      </c>
      <c r="F202" s="1" t="s">
        <v>813</v>
      </c>
      <c r="G202" s="2">
        <v>45202</v>
      </c>
      <c r="H202" s="3">
        <v>0.21875</v>
      </c>
      <c r="I202" s="1">
        <v>-12.112682</v>
      </c>
      <c r="J202" s="1">
        <v>19.972052000000001</v>
      </c>
      <c r="K202">
        <v>86</v>
      </c>
    </row>
    <row r="203" spans="1:11" hidden="1" x14ac:dyDescent="0.25">
      <c r="A203" s="1" t="s">
        <v>978</v>
      </c>
      <c r="B203" s="1" t="s">
        <v>1695</v>
      </c>
      <c r="C203" s="1" t="s">
        <v>997</v>
      </c>
      <c r="D203" s="1" t="s">
        <v>1695</v>
      </c>
      <c r="E203" s="1" t="s">
        <v>1695</v>
      </c>
      <c r="F203" s="1" t="s">
        <v>813</v>
      </c>
      <c r="G203" s="2">
        <v>45205</v>
      </c>
      <c r="H203" s="3">
        <v>0.71111111111111103</v>
      </c>
      <c r="I203" s="1" t="s">
        <v>1695</v>
      </c>
      <c r="J203" s="1" t="s">
        <v>1695</v>
      </c>
      <c r="K203">
        <v>109</v>
      </c>
    </row>
    <row r="204" spans="1:11" x14ac:dyDescent="0.25">
      <c r="A204" s="1" t="s">
        <v>978</v>
      </c>
      <c r="B204" s="1" t="s">
        <v>26</v>
      </c>
      <c r="C204" s="1" t="s">
        <v>998</v>
      </c>
      <c r="D204" s="1" t="s">
        <v>1508</v>
      </c>
      <c r="E204" s="1" t="s">
        <v>1507</v>
      </c>
      <c r="F204" s="1" t="s">
        <v>813</v>
      </c>
      <c r="G204" s="2">
        <v>45205</v>
      </c>
      <c r="H204" s="3">
        <v>1.8055555555555491E-2</v>
      </c>
      <c r="I204" s="1">
        <v>1.5278670000000001</v>
      </c>
      <c r="J204" s="1">
        <v>13.899388999999999</v>
      </c>
      <c r="K204">
        <v>67</v>
      </c>
    </row>
    <row r="205" spans="1:11" x14ac:dyDescent="0.25">
      <c r="A205" s="1" t="s">
        <v>978</v>
      </c>
      <c r="B205" s="1" t="s">
        <v>18</v>
      </c>
      <c r="C205" s="1" t="s">
        <v>999</v>
      </c>
      <c r="D205" s="1" t="s">
        <v>1506</v>
      </c>
      <c r="E205" s="1" t="s">
        <v>1504</v>
      </c>
      <c r="F205" s="1" t="s">
        <v>808</v>
      </c>
      <c r="G205" s="2">
        <v>45214</v>
      </c>
      <c r="H205" s="3">
        <v>0.94305555555555554</v>
      </c>
      <c r="I205" s="1">
        <v>1.210869</v>
      </c>
      <c r="J205" s="1">
        <v>25.598741</v>
      </c>
      <c r="K205">
        <v>16</v>
      </c>
    </row>
    <row r="206" spans="1:11" x14ac:dyDescent="0.25">
      <c r="A206" s="1" t="s">
        <v>978</v>
      </c>
      <c r="B206" s="1" t="s">
        <v>67</v>
      </c>
      <c r="C206" s="1" t="s">
        <v>824</v>
      </c>
      <c r="D206" s="1" t="s">
        <v>1508</v>
      </c>
      <c r="E206" s="1" t="s">
        <v>1516</v>
      </c>
      <c r="F206" s="1" t="s">
        <v>813</v>
      </c>
      <c r="G206" s="2">
        <v>45215</v>
      </c>
      <c r="H206" s="3">
        <v>0.37638888888888888</v>
      </c>
      <c r="I206" s="1">
        <v>-2.2371569999999998</v>
      </c>
      <c r="J206" s="1">
        <v>25.926188</v>
      </c>
      <c r="K206">
        <v>65</v>
      </c>
    </row>
    <row r="207" spans="1:11" hidden="1" x14ac:dyDescent="0.25">
      <c r="A207" s="1" t="s">
        <v>978</v>
      </c>
      <c r="B207" s="1" t="s">
        <v>1695</v>
      </c>
      <c r="C207" s="1" t="s">
        <v>876</v>
      </c>
      <c r="D207" s="1" t="s">
        <v>1695</v>
      </c>
      <c r="E207" s="1" t="s">
        <v>1695</v>
      </c>
      <c r="F207" s="1" t="s">
        <v>811</v>
      </c>
      <c r="G207" s="2">
        <v>45207</v>
      </c>
      <c r="H207" s="3">
        <v>0.40625</v>
      </c>
      <c r="I207" s="1" t="s">
        <v>1695</v>
      </c>
      <c r="J207" s="1" t="s">
        <v>1695</v>
      </c>
      <c r="K207">
        <v>49</v>
      </c>
    </row>
    <row r="208" spans="1:11" hidden="1" x14ac:dyDescent="0.25">
      <c r="A208" s="1" t="s">
        <v>978</v>
      </c>
      <c r="B208" s="1" t="s">
        <v>1695</v>
      </c>
      <c r="C208" s="1" t="s">
        <v>1000</v>
      </c>
      <c r="D208" s="1" t="s">
        <v>1695</v>
      </c>
      <c r="E208" s="1" t="s">
        <v>1695</v>
      </c>
      <c r="F208" s="1" t="s">
        <v>808</v>
      </c>
      <c r="G208" s="2">
        <v>45209</v>
      </c>
      <c r="H208" s="3">
        <v>0.95486111111111116</v>
      </c>
      <c r="I208" s="1" t="s">
        <v>1695</v>
      </c>
      <c r="J208" s="1" t="s">
        <v>1695</v>
      </c>
      <c r="K208">
        <v>57</v>
      </c>
    </row>
    <row r="209" spans="1:11" hidden="1" x14ac:dyDescent="0.25">
      <c r="A209" s="1" t="s">
        <v>978</v>
      </c>
      <c r="B209" s="1" t="s">
        <v>1695</v>
      </c>
      <c r="C209" s="1" t="s">
        <v>864</v>
      </c>
      <c r="D209" s="1" t="s">
        <v>1695</v>
      </c>
      <c r="E209" s="1" t="s">
        <v>1695</v>
      </c>
      <c r="F209" s="1" t="s">
        <v>813</v>
      </c>
      <c r="G209" s="2">
        <v>45214</v>
      </c>
      <c r="H209" s="3">
        <v>0.11319444444444438</v>
      </c>
      <c r="I209" s="1" t="s">
        <v>1695</v>
      </c>
      <c r="J209" s="1" t="s">
        <v>1695</v>
      </c>
      <c r="K209">
        <v>47</v>
      </c>
    </row>
    <row r="210" spans="1:11" x14ac:dyDescent="0.25">
      <c r="A210" s="1" t="s">
        <v>978</v>
      </c>
      <c r="B210" s="1" t="s">
        <v>37</v>
      </c>
      <c r="C210" s="1" t="s">
        <v>1001</v>
      </c>
      <c r="D210" s="1" t="s">
        <v>1503</v>
      </c>
      <c r="E210" s="1" t="s">
        <v>1507</v>
      </c>
      <c r="F210" s="1" t="s">
        <v>808</v>
      </c>
      <c r="G210" s="2">
        <v>45207</v>
      </c>
      <c r="H210" s="3">
        <v>0.36805555555555558</v>
      </c>
      <c r="I210" s="1">
        <v>-10.481026999999999</v>
      </c>
      <c r="J210" s="1">
        <v>18.160464000000001</v>
      </c>
      <c r="K210">
        <v>46</v>
      </c>
    </row>
    <row r="211" spans="1:11" hidden="1" x14ac:dyDescent="0.25">
      <c r="A211" s="1" t="s">
        <v>978</v>
      </c>
      <c r="B211" s="1" t="s">
        <v>1695</v>
      </c>
      <c r="C211" s="1" t="s">
        <v>1002</v>
      </c>
      <c r="D211" s="1" t="s">
        <v>1695</v>
      </c>
      <c r="E211" s="1" t="s">
        <v>1695</v>
      </c>
      <c r="F211" s="1" t="s">
        <v>811</v>
      </c>
      <c r="G211" s="2">
        <v>45225</v>
      </c>
      <c r="H211" s="3">
        <v>0.85902777777777772</v>
      </c>
      <c r="I211" s="1" t="s">
        <v>1695</v>
      </c>
      <c r="J211" s="1" t="s">
        <v>1695</v>
      </c>
      <c r="K211">
        <v>90</v>
      </c>
    </row>
    <row r="212" spans="1:11" x14ac:dyDescent="0.25">
      <c r="A212" s="1" t="s">
        <v>978</v>
      </c>
      <c r="B212" s="1" t="s">
        <v>131</v>
      </c>
      <c r="C212" s="1" t="s">
        <v>1003</v>
      </c>
      <c r="D212" s="1" t="s">
        <v>1508</v>
      </c>
      <c r="E212" s="1" t="s">
        <v>1509</v>
      </c>
      <c r="F212" s="1" t="s">
        <v>811</v>
      </c>
      <c r="G212" s="2">
        <v>45221</v>
      </c>
      <c r="H212" s="3">
        <v>0.26875000000000004</v>
      </c>
      <c r="I212" s="1">
        <v>-1.8555980000000001</v>
      </c>
      <c r="J212" s="1">
        <v>30.421918000000002</v>
      </c>
      <c r="K212">
        <v>18</v>
      </c>
    </row>
    <row r="213" spans="1:11" hidden="1" x14ac:dyDescent="0.25">
      <c r="A213" s="1" t="s">
        <v>978</v>
      </c>
      <c r="B213" s="1" t="s">
        <v>1695</v>
      </c>
      <c r="C213" s="1" t="s">
        <v>1004</v>
      </c>
      <c r="D213" s="1" t="s">
        <v>1695</v>
      </c>
      <c r="E213" s="1" t="s">
        <v>1695</v>
      </c>
      <c r="F213" s="1" t="s">
        <v>811</v>
      </c>
      <c r="G213" s="2">
        <v>45203</v>
      </c>
      <c r="H213" s="3">
        <v>0.71805555555555545</v>
      </c>
      <c r="I213" s="1" t="s">
        <v>1695</v>
      </c>
      <c r="J213" s="1" t="s">
        <v>1695</v>
      </c>
      <c r="K213">
        <v>114</v>
      </c>
    </row>
    <row r="214" spans="1:11" x14ac:dyDescent="0.25">
      <c r="A214" s="1" t="s">
        <v>978</v>
      </c>
      <c r="B214" s="1" t="s">
        <v>60</v>
      </c>
      <c r="C214" s="1" t="s">
        <v>1005</v>
      </c>
      <c r="D214" s="1" t="s">
        <v>1503</v>
      </c>
      <c r="E214" s="1" t="s">
        <v>1516</v>
      </c>
      <c r="F214" s="1" t="s">
        <v>808</v>
      </c>
      <c r="G214" s="2">
        <v>45220</v>
      </c>
      <c r="H214" s="3">
        <v>0.20694444444444438</v>
      </c>
      <c r="I214" s="1">
        <v>3.3289240000000002</v>
      </c>
      <c r="J214" s="1">
        <v>24.412261000000001</v>
      </c>
      <c r="K214">
        <v>25</v>
      </c>
    </row>
    <row r="215" spans="1:11" x14ac:dyDescent="0.25">
      <c r="A215" s="1" t="s">
        <v>978</v>
      </c>
      <c r="B215" s="1" t="s">
        <v>29</v>
      </c>
      <c r="C215" s="1" t="s">
        <v>1006</v>
      </c>
      <c r="D215" s="1" t="s">
        <v>1503</v>
      </c>
      <c r="E215" s="1" t="s">
        <v>1516</v>
      </c>
      <c r="F215" s="1" t="s">
        <v>808</v>
      </c>
      <c r="G215" s="2">
        <v>45208</v>
      </c>
      <c r="H215" s="3">
        <v>0.16944444444444451</v>
      </c>
      <c r="I215" s="1">
        <v>-4.351254</v>
      </c>
      <c r="J215" s="1">
        <v>30.097408999999999</v>
      </c>
      <c r="K215">
        <v>47</v>
      </c>
    </row>
    <row r="216" spans="1:11" hidden="1" x14ac:dyDescent="0.25">
      <c r="A216" s="1" t="s">
        <v>978</v>
      </c>
      <c r="B216" s="1" t="s">
        <v>1695</v>
      </c>
      <c r="C216" s="1" t="s">
        <v>1007</v>
      </c>
      <c r="D216" s="1" t="s">
        <v>1695</v>
      </c>
      <c r="E216" s="1" t="s">
        <v>1695</v>
      </c>
      <c r="F216" s="1" t="s">
        <v>813</v>
      </c>
      <c r="G216" s="2">
        <v>45201</v>
      </c>
      <c r="H216" s="3">
        <v>0.24305555555555558</v>
      </c>
      <c r="I216" s="1" t="s">
        <v>1695</v>
      </c>
      <c r="J216" s="1" t="s">
        <v>1695</v>
      </c>
      <c r="K216">
        <v>57</v>
      </c>
    </row>
    <row r="217" spans="1:11" x14ac:dyDescent="0.25">
      <c r="A217" s="1" t="s">
        <v>978</v>
      </c>
      <c r="B217" s="1" t="s">
        <v>33</v>
      </c>
      <c r="C217" s="1" t="s">
        <v>939</v>
      </c>
      <c r="D217" s="1" t="s">
        <v>1508</v>
      </c>
      <c r="E217" s="1" t="s">
        <v>1504</v>
      </c>
      <c r="F217" s="1" t="s">
        <v>813</v>
      </c>
      <c r="G217" s="2">
        <v>45209</v>
      </c>
      <c r="H217" s="3">
        <v>0.82430555555555562</v>
      </c>
      <c r="I217" s="1">
        <v>-10.414493</v>
      </c>
      <c r="J217" s="1">
        <v>12.333356999999999</v>
      </c>
      <c r="K217">
        <v>93</v>
      </c>
    </row>
    <row r="218" spans="1:11" x14ac:dyDescent="0.25">
      <c r="A218" s="1" t="s">
        <v>978</v>
      </c>
      <c r="B218" s="1" t="s">
        <v>60</v>
      </c>
      <c r="C218" s="1" t="s">
        <v>1008</v>
      </c>
      <c r="D218" s="1" t="s">
        <v>1508</v>
      </c>
      <c r="E218" s="1" t="s">
        <v>1516</v>
      </c>
      <c r="F218" s="1" t="s">
        <v>813</v>
      </c>
      <c r="G218" s="2">
        <v>45226</v>
      </c>
      <c r="H218" s="3">
        <v>0.79027777777777786</v>
      </c>
      <c r="I218" s="1">
        <v>-0.37665700000000002</v>
      </c>
      <c r="J218" s="1">
        <v>25.154807999999999</v>
      </c>
      <c r="K218">
        <v>68</v>
      </c>
    </row>
    <row r="219" spans="1:11" hidden="1" x14ac:dyDescent="0.25">
      <c r="A219" s="1" t="s">
        <v>978</v>
      </c>
      <c r="B219" s="1" t="s">
        <v>1695</v>
      </c>
      <c r="C219" s="1" t="s">
        <v>929</v>
      </c>
      <c r="D219" s="1" t="s">
        <v>1695</v>
      </c>
      <c r="E219" s="1" t="s">
        <v>1695</v>
      </c>
      <c r="F219" s="1" t="s">
        <v>811</v>
      </c>
      <c r="G219" s="2">
        <v>45209</v>
      </c>
      <c r="H219" s="3">
        <v>0.58819444444444446</v>
      </c>
      <c r="I219" s="1" t="s">
        <v>1695</v>
      </c>
      <c r="J219" s="1" t="s">
        <v>1695</v>
      </c>
      <c r="K219">
        <v>41</v>
      </c>
    </row>
    <row r="220" spans="1:11" hidden="1" x14ac:dyDescent="0.25">
      <c r="A220" s="1" t="s">
        <v>978</v>
      </c>
      <c r="B220" s="1" t="s">
        <v>1695</v>
      </c>
      <c r="C220" s="1" t="s">
        <v>1009</v>
      </c>
      <c r="D220" s="1" t="s">
        <v>1695</v>
      </c>
      <c r="E220" s="1" t="s">
        <v>1695</v>
      </c>
      <c r="F220" s="1" t="s">
        <v>813</v>
      </c>
      <c r="G220" s="2">
        <v>45214</v>
      </c>
      <c r="H220" s="3">
        <v>0.92986111111111103</v>
      </c>
      <c r="I220" s="1" t="s">
        <v>1695</v>
      </c>
      <c r="J220" s="1" t="s">
        <v>1695</v>
      </c>
      <c r="K220">
        <v>89</v>
      </c>
    </row>
    <row r="221" spans="1:11" hidden="1" x14ac:dyDescent="0.25">
      <c r="A221" s="1" t="s">
        <v>978</v>
      </c>
      <c r="B221" s="1" t="s">
        <v>1695</v>
      </c>
      <c r="C221" s="1" t="s">
        <v>1010</v>
      </c>
      <c r="D221" s="1" t="s">
        <v>1695</v>
      </c>
      <c r="E221" s="1" t="s">
        <v>1695</v>
      </c>
      <c r="F221" s="1" t="s">
        <v>808</v>
      </c>
      <c r="G221" s="2">
        <v>45222</v>
      </c>
      <c r="H221" s="3">
        <v>0.51180555555555562</v>
      </c>
      <c r="I221" s="1" t="s">
        <v>1695</v>
      </c>
      <c r="J221" s="1" t="s">
        <v>1695</v>
      </c>
      <c r="K221">
        <v>56</v>
      </c>
    </row>
    <row r="222" spans="1:11" x14ac:dyDescent="0.25">
      <c r="A222" s="1" t="s">
        <v>978</v>
      </c>
      <c r="B222" s="1" t="s">
        <v>57</v>
      </c>
      <c r="C222" s="1" t="s">
        <v>1011</v>
      </c>
      <c r="D222" s="1" t="s">
        <v>1506</v>
      </c>
      <c r="E222" s="1" t="s">
        <v>1507</v>
      </c>
      <c r="F222" s="1" t="s">
        <v>813</v>
      </c>
      <c r="G222" s="2">
        <v>45216</v>
      </c>
      <c r="H222" s="3">
        <v>0.72986111111111107</v>
      </c>
      <c r="I222" s="1">
        <v>0.639208</v>
      </c>
      <c r="J222" s="1">
        <v>20.701739</v>
      </c>
      <c r="K222">
        <v>109</v>
      </c>
    </row>
    <row r="223" spans="1:11" hidden="1" x14ac:dyDescent="0.25">
      <c r="A223" s="1" t="s">
        <v>978</v>
      </c>
      <c r="B223" s="1" t="s">
        <v>1695</v>
      </c>
      <c r="C223" s="1" t="s">
        <v>1012</v>
      </c>
      <c r="D223" s="1" t="s">
        <v>1695</v>
      </c>
      <c r="E223" s="1" t="s">
        <v>1695</v>
      </c>
      <c r="F223" s="1" t="s">
        <v>811</v>
      </c>
      <c r="G223" s="2">
        <v>45214</v>
      </c>
      <c r="H223" s="3">
        <v>0.10972222222222228</v>
      </c>
      <c r="I223" s="1" t="s">
        <v>1695</v>
      </c>
      <c r="J223" s="1" t="s">
        <v>1695</v>
      </c>
      <c r="K223">
        <v>102</v>
      </c>
    </row>
    <row r="224" spans="1:11" x14ac:dyDescent="0.25">
      <c r="A224" s="1" t="s">
        <v>978</v>
      </c>
      <c r="B224" s="1" t="s">
        <v>24</v>
      </c>
      <c r="C224" s="1" t="s">
        <v>828</v>
      </c>
      <c r="D224" s="1" t="s">
        <v>1508</v>
      </c>
      <c r="E224" s="1" t="s">
        <v>1504</v>
      </c>
      <c r="F224" s="1" t="s">
        <v>813</v>
      </c>
      <c r="G224" s="2">
        <v>45201</v>
      </c>
      <c r="H224" s="3">
        <v>0.57430555555555562</v>
      </c>
      <c r="I224" s="1">
        <v>0.172153</v>
      </c>
      <c r="J224" s="1">
        <v>21.091376</v>
      </c>
      <c r="K224">
        <v>75</v>
      </c>
    </row>
    <row r="225" spans="1:11" hidden="1" x14ac:dyDescent="0.25">
      <c r="A225" s="1" t="s">
        <v>978</v>
      </c>
      <c r="B225" s="1" t="s">
        <v>1695</v>
      </c>
      <c r="C225" s="1" t="s">
        <v>1013</v>
      </c>
      <c r="D225" s="1" t="s">
        <v>1695</v>
      </c>
      <c r="E225" s="1" t="s">
        <v>1695</v>
      </c>
      <c r="F225" s="1" t="s">
        <v>811</v>
      </c>
      <c r="G225" s="2">
        <v>45210</v>
      </c>
      <c r="H225" s="3">
        <v>0.80277777777777781</v>
      </c>
      <c r="I225" s="1" t="s">
        <v>1695</v>
      </c>
      <c r="J225" s="1" t="s">
        <v>1695</v>
      </c>
      <c r="K225">
        <v>9</v>
      </c>
    </row>
    <row r="226" spans="1:11" hidden="1" x14ac:dyDescent="0.25">
      <c r="A226" s="1" t="s">
        <v>978</v>
      </c>
      <c r="B226" s="1" t="s">
        <v>1695</v>
      </c>
      <c r="C226" s="1" t="s">
        <v>849</v>
      </c>
      <c r="D226" s="1" t="s">
        <v>1695</v>
      </c>
      <c r="E226" s="1" t="s">
        <v>1695</v>
      </c>
      <c r="F226" s="1" t="s">
        <v>811</v>
      </c>
      <c r="G226" s="2">
        <v>45200</v>
      </c>
      <c r="H226" s="3">
        <v>9.3055555555555447E-2</v>
      </c>
      <c r="I226" s="1" t="s">
        <v>1695</v>
      </c>
      <c r="J226" s="1" t="s">
        <v>1695</v>
      </c>
      <c r="K226">
        <v>63</v>
      </c>
    </row>
    <row r="227" spans="1:11" hidden="1" x14ac:dyDescent="0.25">
      <c r="A227" s="1" t="s">
        <v>978</v>
      </c>
      <c r="B227" s="1" t="s">
        <v>1695</v>
      </c>
      <c r="C227" s="1" t="s">
        <v>1014</v>
      </c>
      <c r="D227" s="1" t="s">
        <v>1695</v>
      </c>
      <c r="E227" s="1" t="s">
        <v>1695</v>
      </c>
      <c r="F227" s="1" t="s">
        <v>811</v>
      </c>
      <c r="G227" s="2">
        <v>45230</v>
      </c>
      <c r="H227" s="3">
        <v>0.91180555555555554</v>
      </c>
      <c r="I227" s="1" t="s">
        <v>1695</v>
      </c>
      <c r="J227" s="1" t="s">
        <v>1695</v>
      </c>
      <c r="K227">
        <v>16</v>
      </c>
    </row>
    <row r="228" spans="1:11" hidden="1" x14ac:dyDescent="0.25">
      <c r="A228" s="1" t="s">
        <v>978</v>
      </c>
      <c r="B228" s="1" t="s">
        <v>1695</v>
      </c>
      <c r="C228" s="1" t="s">
        <v>917</v>
      </c>
      <c r="D228" s="1" t="s">
        <v>1695</v>
      </c>
      <c r="E228" s="1" t="s">
        <v>1695</v>
      </c>
      <c r="F228" s="1" t="s">
        <v>813</v>
      </c>
      <c r="G228" s="2">
        <v>45227</v>
      </c>
      <c r="H228" s="3">
        <v>0.77569444444444446</v>
      </c>
      <c r="I228" s="1" t="s">
        <v>1695</v>
      </c>
      <c r="J228" s="1" t="s">
        <v>1695</v>
      </c>
      <c r="K228">
        <v>45</v>
      </c>
    </row>
    <row r="229" spans="1:11" hidden="1" x14ac:dyDescent="0.25">
      <c r="A229" s="1" t="s">
        <v>1015</v>
      </c>
      <c r="B229" s="1" t="s">
        <v>1695</v>
      </c>
      <c r="C229" s="1" t="s">
        <v>1016</v>
      </c>
      <c r="D229" s="1" t="s">
        <v>1695</v>
      </c>
      <c r="E229" s="1" t="s">
        <v>1695</v>
      </c>
      <c r="F229" s="1" t="s">
        <v>813</v>
      </c>
      <c r="G229" s="2">
        <v>45212</v>
      </c>
      <c r="H229" s="3">
        <v>0.62430555555555545</v>
      </c>
      <c r="I229" s="1" t="s">
        <v>1695</v>
      </c>
      <c r="J229" s="1" t="s">
        <v>1695</v>
      </c>
      <c r="K229">
        <v>113</v>
      </c>
    </row>
    <row r="230" spans="1:11" x14ac:dyDescent="0.25">
      <c r="A230" s="1" t="s">
        <v>1015</v>
      </c>
      <c r="B230" s="1" t="s">
        <v>31</v>
      </c>
      <c r="C230" s="1" t="s">
        <v>1017</v>
      </c>
      <c r="D230" s="1" t="s">
        <v>1508</v>
      </c>
      <c r="E230" s="1" t="s">
        <v>1504</v>
      </c>
      <c r="F230" s="1" t="s">
        <v>811</v>
      </c>
      <c r="G230" s="2">
        <v>45210</v>
      </c>
      <c r="H230" s="3">
        <v>0.28055555555555545</v>
      </c>
      <c r="I230" s="1">
        <v>-12.342053999999999</v>
      </c>
      <c r="J230" s="1">
        <v>18.756862000000002</v>
      </c>
      <c r="K230">
        <v>43</v>
      </c>
    </row>
    <row r="231" spans="1:11" hidden="1" x14ac:dyDescent="0.25">
      <c r="A231" s="1" t="s">
        <v>1015</v>
      </c>
      <c r="B231" s="1" t="s">
        <v>1695</v>
      </c>
      <c r="C231" s="1" t="s">
        <v>1018</v>
      </c>
      <c r="D231" s="1" t="s">
        <v>1695</v>
      </c>
      <c r="E231" s="1" t="s">
        <v>1695</v>
      </c>
      <c r="F231" s="1" t="s">
        <v>808</v>
      </c>
      <c r="G231" s="2">
        <v>45207</v>
      </c>
      <c r="H231" s="3">
        <v>0.54305555555555562</v>
      </c>
      <c r="I231" s="1" t="s">
        <v>1695</v>
      </c>
      <c r="J231" s="1" t="s">
        <v>1695</v>
      </c>
      <c r="K231">
        <v>54</v>
      </c>
    </row>
    <row r="232" spans="1:11" hidden="1" x14ac:dyDescent="0.25">
      <c r="A232" s="1" t="s">
        <v>1015</v>
      </c>
      <c r="B232" s="1" t="s">
        <v>1695</v>
      </c>
      <c r="C232" s="1" t="s">
        <v>1019</v>
      </c>
      <c r="D232" s="1" t="s">
        <v>1695</v>
      </c>
      <c r="E232" s="1" t="s">
        <v>1695</v>
      </c>
      <c r="F232" s="1" t="s">
        <v>813</v>
      </c>
      <c r="G232" s="2">
        <v>45210</v>
      </c>
      <c r="H232" s="3">
        <v>0.97916666666666674</v>
      </c>
      <c r="I232" s="1" t="s">
        <v>1695</v>
      </c>
      <c r="J232" s="1" t="s">
        <v>1695</v>
      </c>
      <c r="K232">
        <v>114</v>
      </c>
    </row>
    <row r="233" spans="1:11" hidden="1" x14ac:dyDescent="0.25">
      <c r="A233" s="1" t="s">
        <v>1015</v>
      </c>
      <c r="B233" s="1" t="s">
        <v>1695</v>
      </c>
      <c r="C233" s="1" t="s">
        <v>1020</v>
      </c>
      <c r="D233" s="1" t="s">
        <v>1695</v>
      </c>
      <c r="E233" s="1" t="s">
        <v>1695</v>
      </c>
      <c r="F233" s="1" t="s">
        <v>808</v>
      </c>
      <c r="G233" s="2">
        <v>45222</v>
      </c>
      <c r="H233" s="3">
        <v>0.51666666666666661</v>
      </c>
      <c r="I233" s="1" t="s">
        <v>1695</v>
      </c>
      <c r="J233" s="1" t="s">
        <v>1695</v>
      </c>
      <c r="K233">
        <v>66</v>
      </c>
    </row>
    <row r="234" spans="1:11" hidden="1" x14ac:dyDescent="0.25">
      <c r="A234" s="1" t="s">
        <v>1015</v>
      </c>
      <c r="B234" s="1" t="s">
        <v>1695</v>
      </c>
      <c r="C234" s="1" t="s">
        <v>1021</v>
      </c>
      <c r="D234" s="1" t="s">
        <v>1695</v>
      </c>
      <c r="E234" s="1" t="s">
        <v>1695</v>
      </c>
      <c r="F234" s="1" t="s">
        <v>808</v>
      </c>
      <c r="G234" s="2">
        <v>45221</v>
      </c>
      <c r="H234" s="3">
        <v>0.83958333333333335</v>
      </c>
      <c r="I234" s="1" t="s">
        <v>1695</v>
      </c>
      <c r="J234" s="1" t="s">
        <v>1695</v>
      </c>
      <c r="K234">
        <v>18</v>
      </c>
    </row>
    <row r="235" spans="1:11" hidden="1" x14ac:dyDescent="0.25">
      <c r="A235" s="1" t="s">
        <v>1015</v>
      </c>
      <c r="B235" s="1" t="s">
        <v>1695</v>
      </c>
      <c r="C235" s="1" t="s">
        <v>1022</v>
      </c>
      <c r="D235" s="1" t="s">
        <v>1695</v>
      </c>
      <c r="E235" s="1" t="s">
        <v>1695</v>
      </c>
      <c r="F235" s="1" t="s">
        <v>808</v>
      </c>
      <c r="G235" s="2">
        <v>45215</v>
      </c>
      <c r="H235" s="3">
        <v>4.7222222222222276E-2</v>
      </c>
      <c r="I235" s="1" t="s">
        <v>1695</v>
      </c>
      <c r="J235" s="1" t="s">
        <v>1695</v>
      </c>
      <c r="K235">
        <v>35</v>
      </c>
    </row>
    <row r="236" spans="1:11" x14ac:dyDescent="0.25">
      <c r="A236" s="1" t="s">
        <v>1015</v>
      </c>
      <c r="B236" s="1" t="s">
        <v>31</v>
      </c>
      <c r="C236" s="1" t="s">
        <v>886</v>
      </c>
      <c r="D236" s="1" t="s">
        <v>1506</v>
      </c>
      <c r="E236" s="1" t="s">
        <v>1507</v>
      </c>
      <c r="F236" s="1" t="s">
        <v>811</v>
      </c>
      <c r="G236" s="2">
        <v>45216</v>
      </c>
      <c r="H236" s="3">
        <v>0.76458333333333339</v>
      </c>
      <c r="I236" s="1">
        <v>-10.914952</v>
      </c>
      <c r="J236" s="1">
        <v>26.409648000000001</v>
      </c>
      <c r="K236">
        <v>53</v>
      </c>
    </row>
    <row r="237" spans="1:11" hidden="1" x14ac:dyDescent="0.25">
      <c r="A237" s="1" t="s">
        <v>1015</v>
      </c>
      <c r="B237" s="1" t="s">
        <v>1695</v>
      </c>
      <c r="C237" s="1" t="s">
        <v>1023</v>
      </c>
      <c r="D237" s="1" t="s">
        <v>1695</v>
      </c>
      <c r="E237" s="1" t="s">
        <v>1695</v>
      </c>
      <c r="F237" s="1" t="s">
        <v>811</v>
      </c>
      <c r="G237" s="2">
        <v>45227</v>
      </c>
      <c r="H237" s="3">
        <v>0.16319444444444442</v>
      </c>
      <c r="I237" s="1" t="s">
        <v>1695</v>
      </c>
      <c r="J237" s="1" t="s">
        <v>1695</v>
      </c>
      <c r="K237">
        <v>78</v>
      </c>
    </row>
    <row r="238" spans="1:11" x14ac:dyDescent="0.25">
      <c r="A238" s="1" t="s">
        <v>1015</v>
      </c>
      <c r="B238" s="1" t="s">
        <v>89</v>
      </c>
      <c r="C238" s="1" t="s">
        <v>955</v>
      </c>
      <c r="D238" s="1" t="s">
        <v>1506</v>
      </c>
      <c r="E238" s="1" t="s">
        <v>1504</v>
      </c>
      <c r="F238" s="1" t="s">
        <v>811</v>
      </c>
      <c r="G238" s="2">
        <v>45227</v>
      </c>
      <c r="H238" s="3">
        <v>0.58749999999999991</v>
      </c>
      <c r="I238" s="1">
        <v>-1.342476</v>
      </c>
      <c r="J238" s="1">
        <v>15.986086</v>
      </c>
      <c r="K238">
        <v>50</v>
      </c>
    </row>
    <row r="239" spans="1:11" x14ac:dyDescent="0.25">
      <c r="A239" s="1" t="s">
        <v>1015</v>
      </c>
      <c r="B239" s="1" t="s">
        <v>24</v>
      </c>
      <c r="C239" s="1" t="s">
        <v>1024</v>
      </c>
      <c r="D239" s="1" t="s">
        <v>1503</v>
      </c>
      <c r="E239" s="1" t="s">
        <v>1507</v>
      </c>
      <c r="F239" s="1" t="s">
        <v>813</v>
      </c>
      <c r="G239" s="2">
        <v>45216</v>
      </c>
      <c r="H239" s="3">
        <v>0.58333333333333326</v>
      </c>
      <c r="I239" s="1">
        <v>0.16841400000000001</v>
      </c>
      <c r="J239" s="1">
        <v>30.029876999999999</v>
      </c>
      <c r="K239">
        <v>78</v>
      </c>
    </row>
    <row r="240" spans="1:11" hidden="1" x14ac:dyDescent="0.25">
      <c r="A240" s="1" t="s">
        <v>1015</v>
      </c>
      <c r="B240" s="1" t="s">
        <v>1695</v>
      </c>
      <c r="C240" s="1" t="s">
        <v>1025</v>
      </c>
      <c r="D240" s="1" t="s">
        <v>1695</v>
      </c>
      <c r="E240" s="1" t="s">
        <v>1695</v>
      </c>
      <c r="F240" s="1" t="s">
        <v>811</v>
      </c>
      <c r="G240" s="2">
        <v>45223</v>
      </c>
      <c r="H240" s="3">
        <v>0.18472222222222223</v>
      </c>
      <c r="I240" s="1" t="s">
        <v>1695</v>
      </c>
      <c r="J240" s="1" t="s">
        <v>1695</v>
      </c>
      <c r="K240">
        <v>42</v>
      </c>
    </row>
    <row r="241" spans="1:11" hidden="1" x14ac:dyDescent="0.25">
      <c r="A241" s="1" t="s">
        <v>1015</v>
      </c>
      <c r="B241" s="1" t="s">
        <v>1695</v>
      </c>
      <c r="C241" s="1" t="s">
        <v>1026</v>
      </c>
      <c r="D241" s="1" t="s">
        <v>1695</v>
      </c>
      <c r="E241" s="1" t="s">
        <v>1695</v>
      </c>
      <c r="F241" s="1" t="s">
        <v>813</v>
      </c>
      <c r="G241" s="2">
        <v>45227</v>
      </c>
      <c r="H241" s="3">
        <v>0.83958333333333335</v>
      </c>
      <c r="I241" s="1" t="s">
        <v>1695</v>
      </c>
      <c r="J241" s="1" t="s">
        <v>1695</v>
      </c>
      <c r="K241">
        <v>94</v>
      </c>
    </row>
    <row r="242" spans="1:11" hidden="1" x14ac:dyDescent="0.25">
      <c r="A242" s="1" t="s">
        <v>1015</v>
      </c>
      <c r="B242" s="1" t="s">
        <v>1695</v>
      </c>
      <c r="C242" s="1" t="s">
        <v>1027</v>
      </c>
      <c r="D242" s="1" t="s">
        <v>1695</v>
      </c>
      <c r="E242" s="1" t="s">
        <v>1695</v>
      </c>
      <c r="F242" s="1" t="s">
        <v>808</v>
      </c>
      <c r="G242" s="2">
        <v>45202</v>
      </c>
      <c r="H242" s="3">
        <v>0.65972222222222232</v>
      </c>
      <c r="I242" s="1" t="s">
        <v>1695</v>
      </c>
      <c r="J242" s="1" t="s">
        <v>1695</v>
      </c>
      <c r="K242">
        <v>42</v>
      </c>
    </row>
    <row r="243" spans="1:11" x14ac:dyDescent="0.25">
      <c r="A243" s="1" t="s">
        <v>1015</v>
      </c>
      <c r="B243" s="1" t="s">
        <v>18</v>
      </c>
      <c r="C243" s="1" t="s">
        <v>1028</v>
      </c>
      <c r="D243" s="1" t="s">
        <v>1506</v>
      </c>
      <c r="E243" s="1" t="s">
        <v>1509</v>
      </c>
      <c r="F243" s="1" t="s">
        <v>813</v>
      </c>
      <c r="G243" s="2">
        <v>45208</v>
      </c>
      <c r="H243" s="3">
        <v>0.44375000000000009</v>
      </c>
      <c r="I243" s="1">
        <v>-6.3324319999999998</v>
      </c>
      <c r="J243" s="1">
        <v>24.887858000000001</v>
      </c>
      <c r="K243">
        <v>7</v>
      </c>
    </row>
    <row r="244" spans="1:11" hidden="1" x14ac:dyDescent="0.25">
      <c r="A244" s="1" t="s">
        <v>1015</v>
      </c>
      <c r="B244" s="1" t="s">
        <v>1695</v>
      </c>
      <c r="C244" s="1" t="s">
        <v>1029</v>
      </c>
      <c r="D244" s="1" t="s">
        <v>1695</v>
      </c>
      <c r="E244" s="1" t="s">
        <v>1695</v>
      </c>
      <c r="F244" s="1" t="s">
        <v>808</v>
      </c>
      <c r="G244" s="2">
        <v>45222</v>
      </c>
      <c r="H244" s="3">
        <v>0.52847222222222223</v>
      </c>
      <c r="I244" s="1" t="s">
        <v>1695</v>
      </c>
      <c r="J244" s="1" t="s">
        <v>1695</v>
      </c>
      <c r="K244">
        <v>111</v>
      </c>
    </row>
    <row r="245" spans="1:11" hidden="1" x14ac:dyDescent="0.25">
      <c r="A245" s="1" t="s">
        <v>1015</v>
      </c>
      <c r="B245" s="1" t="s">
        <v>1695</v>
      </c>
      <c r="C245" s="1" t="s">
        <v>1030</v>
      </c>
      <c r="D245" s="1" t="s">
        <v>1695</v>
      </c>
      <c r="E245" s="1" t="s">
        <v>1695</v>
      </c>
      <c r="F245" s="1" t="s">
        <v>813</v>
      </c>
      <c r="G245" s="2">
        <v>45202</v>
      </c>
      <c r="H245" s="3">
        <v>0.45416666666666661</v>
      </c>
      <c r="I245" s="1" t="s">
        <v>1695</v>
      </c>
      <c r="J245" s="1" t="s">
        <v>1695</v>
      </c>
      <c r="K245">
        <v>89</v>
      </c>
    </row>
    <row r="246" spans="1:11" x14ac:dyDescent="0.25">
      <c r="A246" s="1" t="s">
        <v>1015</v>
      </c>
      <c r="B246" s="1" t="s">
        <v>57</v>
      </c>
      <c r="C246" s="1" t="s">
        <v>1031</v>
      </c>
      <c r="D246" s="1" t="s">
        <v>1508</v>
      </c>
      <c r="E246" s="1" t="s">
        <v>1504</v>
      </c>
      <c r="F246" s="1" t="s">
        <v>811</v>
      </c>
      <c r="G246" s="2">
        <v>45221</v>
      </c>
      <c r="H246" s="3">
        <v>0.72500000000000009</v>
      </c>
      <c r="I246" s="1">
        <v>-1.3976519999999999</v>
      </c>
      <c r="J246" s="1">
        <v>14.098819000000001</v>
      </c>
      <c r="K246">
        <v>55</v>
      </c>
    </row>
    <row r="247" spans="1:11" hidden="1" x14ac:dyDescent="0.25">
      <c r="A247" s="1" t="s">
        <v>1015</v>
      </c>
      <c r="B247" s="1" t="s">
        <v>1695</v>
      </c>
      <c r="C247" s="1" t="s">
        <v>1004</v>
      </c>
      <c r="D247" s="1" t="s">
        <v>1695</v>
      </c>
      <c r="E247" s="1" t="s">
        <v>1695</v>
      </c>
      <c r="F247" s="1" t="s">
        <v>808</v>
      </c>
      <c r="G247" s="2">
        <v>45230</v>
      </c>
      <c r="H247" s="3">
        <v>0.44444444444444442</v>
      </c>
      <c r="I247" s="1" t="s">
        <v>1695</v>
      </c>
      <c r="J247" s="1" t="s">
        <v>1695</v>
      </c>
      <c r="K247">
        <v>40</v>
      </c>
    </row>
    <row r="248" spans="1:11" x14ac:dyDescent="0.25">
      <c r="A248" s="1" t="s">
        <v>1015</v>
      </c>
      <c r="B248" s="1" t="s">
        <v>62</v>
      </c>
      <c r="C248" s="1" t="s">
        <v>1032</v>
      </c>
      <c r="D248" s="1" t="s">
        <v>1506</v>
      </c>
      <c r="E248" s="1" t="s">
        <v>1507</v>
      </c>
      <c r="F248" s="1" t="s">
        <v>813</v>
      </c>
      <c r="G248" s="2">
        <v>45222</v>
      </c>
      <c r="H248" s="3">
        <v>0.66319444444444442</v>
      </c>
      <c r="I248" s="1">
        <v>2.975352</v>
      </c>
      <c r="J248" s="1">
        <v>22.535886000000001</v>
      </c>
      <c r="K248">
        <v>6</v>
      </c>
    </row>
    <row r="249" spans="1:11" hidden="1" x14ac:dyDescent="0.25">
      <c r="A249" s="1" t="s">
        <v>1015</v>
      </c>
      <c r="B249" s="1" t="s">
        <v>1695</v>
      </c>
      <c r="C249" s="1" t="s">
        <v>1033</v>
      </c>
      <c r="D249" s="1" t="s">
        <v>1695</v>
      </c>
      <c r="E249" s="1" t="s">
        <v>1695</v>
      </c>
      <c r="F249" s="1" t="s">
        <v>813</v>
      </c>
      <c r="G249" s="2">
        <v>45217</v>
      </c>
      <c r="H249" s="3">
        <v>6.8750000000000089E-2</v>
      </c>
      <c r="I249" s="1" t="s">
        <v>1695</v>
      </c>
      <c r="J249" s="1" t="s">
        <v>1695</v>
      </c>
      <c r="K249">
        <v>77</v>
      </c>
    </row>
    <row r="250" spans="1:11" hidden="1" x14ac:dyDescent="0.25">
      <c r="A250" s="1" t="s">
        <v>1015</v>
      </c>
      <c r="B250" s="1" t="s">
        <v>1695</v>
      </c>
      <c r="C250" s="1" t="s">
        <v>1034</v>
      </c>
      <c r="D250" s="1" t="s">
        <v>1695</v>
      </c>
      <c r="E250" s="1" t="s">
        <v>1695</v>
      </c>
      <c r="F250" s="1" t="s">
        <v>811</v>
      </c>
      <c r="G250" s="2">
        <v>45202</v>
      </c>
      <c r="H250" s="3">
        <v>0.31944444444444442</v>
      </c>
      <c r="I250" s="1" t="s">
        <v>1695</v>
      </c>
      <c r="J250" s="1" t="s">
        <v>1695</v>
      </c>
      <c r="K250">
        <v>115</v>
      </c>
    </row>
    <row r="251" spans="1:11" hidden="1" x14ac:dyDescent="0.25">
      <c r="A251" s="1" t="s">
        <v>1015</v>
      </c>
      <c r="B251" s="1" t="s">
        <v>1695</v>
      </c>
      <c r="C251" s="1" t="s">
        <v>1035</v>
      </c>
      <c r="D251" s="1" t="s">
        <v>1695</v>
      </c>
      <c r="E251" s="1" t="s">
        <v>1695</v>
      </c>
      <c r="F251" s="1" t="s">
        <v>811</v>
      </c>
      <c r="G251" s="2">
        <v>45221</v>
      </c>
      <c r="H251" s="3">
        <v>0.38472222222222219</v>
      </c>
      <c r="I251" s="1" t="s">
        <v>1695</v>
      </c>
      <c r="J251" s="1" t="s">
        <v>1695</v>
      </c>
      <c r="K251">
        <v>92</v>
      </c>
    </row>
    <row r="252" spans="1:11" hidden="1" x14ac:dyDescent="0.25">
      <c r="A252" s="1" t="s">
        <v>1015</v>
      </c>
      <c r="B252" s="1" t="s">
        <v>1695</v>
      </c>
      <c r="C252" s="1" t="s">
        <v>1036</v>
      </c>
      <c r="D252" s="1" t="s">
        <v>1695</v>
      </c>
      <c r="E252" s="1" t="s">
        <v>1695</v>
      </c>
      <c r="F252" s="1" t="s">
        <v>811</v>
      </c>
      <c r="G252" s="2">
        <v>45223</v>
      </c>
      <c r="H252" s="3">
        <v>0.1020833333333333</v>
      </c>
      <c r="I252" s="1" t="s">
        <v>1695</v>
      </c>
      <c r="J252" s="1" t="s">
        <v>1695</v>
      </c>
      <c r="K252">
        <v>104</v>
      </c>
    </row>
    <row r="253" spans="1:11" hidden="1" x14ac:dyDescent="0.25">
      <c r="A253" s="1" t="s">
        <v>1015</v>
      </c>
      <c r="B253" s="1" t="s">
        <v>1695</v>
      </c>
      <c r="C253" s="1" t="s">
        <v>1037</v>
      </c>
      <c r="D253" s="1" t="s">
        <v>1695</v>
      </c>
      <c r="E253" s="1" t="s">
        <v>1695</v>
      </c>
      <c r="F253" s="1" t="s">
        <v>813</v>
      </c>
      <c r="G253" s="2">
        <v>45203</v>
      </c>
      <c r="H253" s="3">
        <v>0.86458333333333326</v>
      </c>
      <c r="I253" s="1" t="s">
        <v>1695</v>
      </c>
      <c r="J253" s="1" t="s">
        <v>1695</v>
      </c>
      <c r="K253">
        <v>100</v>
      </c>
    </row>
    <row r="254" spans="1:11" x14ac:dyDescent="0.25">
      <c r="A254" s="1" t="s">
        <v>1015</v>
      </c>
      <c r="B254" s="1" t="s">
        <v>73</v>
      </c>
      <c r="C254" s="1" t="s">
        <v>1038</v>
      </c>
      <c r="D254" s="1" t="s">
        <v>1503</v>
      </c>
      <c r="E254" s="1" t="s">
        <v>1504</v>
      </c>
      <c r="F254" s="1" t="s">
        <v>811</v>
      </c>
      <c r="G254" s="2">
        <v>45227</v>
      </c>
      <c r="H254" s="3">
        <v>0.14444444444444438</v>
      </c>
      <c r="I254" s="1">
        <v>2.4425979999999998</v>
      </c>
      <c r="J254" s="1">
        <v>24.924308</v>
      </c>
      <c r="K254">
        <v>11</v>
      </c>
    </row>
    <row r="255" spans="1:11" x14ac:dyDescent="0.25">
      <c r="A255" s="1" t="s">
        <v>1015</v>
      </c>
      <c r="B255" s="1" t="s">
        <v>137</v>
      </c>
      <c r="C255" s="1" t="s">
        <v>1039</v>
      </c>
      <c r="D255" s="1" t="s">
        <v>1503</v>
      </c>
      <c r="E255" s="1" t="s">
        <v>1516</v>
      </c>
      <c r="F255" s="1" t="s">
        <v>813</v>
      </c>
      <c r="G255" s="2">
        <v>45205</v>
      </c>
      <c r="H255" s="3">
        <v>0.92986111111111103</v>
      </c>
      <c r="I255" s="1">
        <v>4.0157999999999996</v>
      </c>
      <c r="J255" s="1">
        <v>21.430246</v>
      </c>
      <c r="K255">
        <v>82</v>
      </c>
    </row>
    <row r="256" spans="1:11" x14ac:dyDescent="0.25">
      <c r="A256" s="1" t="s">
        <v>1015</v>
      </c>
      <c r="B256" s="1" t="s">
        <v>21</v>
      </c>
      <c r="C256" s="1" t="s">
        <v>1040</v>
      </c>
      <c r="D256" s="1" t="s">
        <v>1508</v>
      </c>
      <c r="E256" s="1" t="s">
        <v>1516</v>
      </c>
      <c r="F256" s="1" t="s">
        <v>811</v>
      </c>
      <c r="G256" s="2">
        <v>45228</v>
      </c>
      <c r="H256" s="3">
        <v>1.388888888888884E-3</v>
      </c>
      <c r="I256" s="1">
        <v>-9.3900009999999998</v>
      </c>
      <c r="J256" s="1">
        <v>30.001517</v>
      </c>
      <c r="K256">
        <v>100</v>
      </c>
    </row>
    <row r="257" spans="1:11" hidden="1" x14ac:dyDescent="0.25">
      <c r="A257" s="1" t="s">
        <v>1015</v>
      </c>
      <c r="B257" s="1" t="s">
        <v>1695</v>
      </c>
      <c r="C257" s="1" t="s">
        <v>1041</v>
      </c>
      <c r="D257" s="1" t="s">
        <v>1695</v>
      </c>
      <c r="E257" s="1" t="s">
        <v>1695</v>
      </c>
      <c r="F257" s="1" t="s">
        <v>813</v>
      </c>
      <c r="G257" s="2">
        <v>45210</v>
      </c>
      <c r="H257" s="3">
        <v>5.4166666666666696E-2</v>
      </c>
      <c r="I257" s="1" t="s">
        <v>1695</v>
      </c>
      <c r="J257" s="1" t="s">
        <v>1695</v>
      </c>
      <c r="K257">
        <v>68</v>
      </c>
    </row>
    <row r="258" spans="1:11" x14ac:dyDescent="0.25">
      <c r="A258" s="1" t="s">
        <v>1015</v>
      </c>
      <c r="B258" s="1" t="s">
        <v>131</v>
      </c>
      <c r="C258" s="1" t="s">
        <v>833</v>
      </c>
      <c r="D258" s="1" t="s">
        <v>1506</v>
      </c>
      <c r="E258" s="1" t="s">
        <v>1504</v>
      </c>
      <c r="F258" s="1" t="s">
        <v>808</v>
      </c>
      <c r="G258" s="2">
        <v>45211</v>
      </c>
      <c r="H258" s="3">
        <v>0.4770833333333333</v>
      </c>
      <c r="I258" s="1">
        <v>4.6287159999999998</v>
      </c>
      <c r="J258" s="1">
        <v>19.407077999999998</v>
      </c>
      <c r="K258">
        <v>111</v>
      </c>
    </row>
    <row r="259" spans="1:11" hidden="1" x14ac:dyDescent="0.25">
      <c r="A259" s="1" t="s">
        <v>1015</v>
      </c>
      <c r="B259" s="1" t="s">
        <v>1695</v>
      </c>
      <c r="C259" s="1" t="s">
        <v>1042</v>
      </c>
      <c r="D259" s="1" t="s">
        <v>1695</v>
      </c>
      <c r="E259" s="1" t="s">
        <v>1695</v>
      </c>
      <c r="F259" s="1" t="s">
        <v>811</v>
      </c>
      <c r="G259" s="2">
        <v>45204</v>
      </c>
      <c r="H259" s="3">
        <v>0.31458333333333344</v>
      </c>
      <c r="I259" s="1" t="s">
        <v>1695</v>
      </c>
      <c r="J259" s="1" t="s">
        <v>1695</v>
      </c>
      <c r="K259">
        <v>120</v>
      </c>
    </row>
    <row r="260" spans="1:11" x14ac:dyDescent="0.25">
      <c r="A260" s="1" t="s">
        <v>1015</v>
      </c>
      <c r="B260" s="1" t="s">
        <v>35</v>
      </c>
      <c r="C260" s="1" t="s">
        <v>1043</v>
      </c>
      <c r="D260" s="1" t="s">
        <v>1508</v>
      </c>
      <c r="E260" s="1" t="s">
        <v>1504</v>
      </c>
      <c r="F260" s="1" t="s">
        <v>808</v>
      </c>
      <c r="G260" s="2">
        <v>45213</v>
      </c>
      <c r="H260" s="3">
        <v>0.77986111111111112</v>
      </c>
      <c r="I260" s="1">
        <v>-7.5969509999999998</v>
      </c>
      <c r="J260" s="1">
        <v>22.153986</v>
      </c>
      <c r="K260">
        <v>120</v>
      </c>
    </row>
    <row r="261" spans="1:11" x14ac:dyDescent="0.25">
      <c r="A261" s="1" t="s">
        <v>1015</v>
      </c>
      <c r="B261" s="1" t="s">
        <v>44</v>
      </c>
      <c r="C261" s="1" t="s">
        <v>1044</v>
      </c>
      <c r="D261" s="1" t="s">
        <v>1506</v>
      </c>
      <c r="E261" s="1" t="s">
        <v>1507</v>
      </c>
      <c r="F261" s="1" t="s">
        <v>813</v>
      </c>
      <c r="G261" s="2">
        <v>45225</v>
      </c>
      <c r="H261" s="3">
        <v>0.21527777777777768</v>
      </c>
      <c r="I261" s="1">
        <v>-4.9552579999999997</v>
      </c>
      <c r="J261" s="1">
        <v>22.008103999999999</v>
      </c>
      <c r="K261">
        <v>41</v>
      </c>
    </row>
    <row r="262" spans="1:11" hidden="1" x14ac:dyDescent="0.25">
      <c r="A262" s="1" t="s">
        <v>1015</v>
      </c>
      <c r="B262" s="1" t="s">
        <v>1695</v>
      </c>
      <c r="C262" s="1" t="s">
        <v>836</v>
      </c>
      <c r="D262" s="1" t="s">
        <v>1695</v>
      </c>
      <c r="E262" s="1" t="s">
        <v>1695</v>
      </c>
      <c r="F262" s="1" t="s">
        <v>808</v>
      </c>
      <c r="G262" s="2">
        <v>45205</v>
      </c>
      <c r="H262" s="3">
        <v>0.11041666666666661</v>
      </c>
      <c r="I262" s="1" t="s">
        <v>1695</v>
      </c>
      <c r="J262" s="1" t="s">
        <v>1695</v>
      </c>
      <c r="K262">
        <v>104</v>
      </c>
    </row>
    <row r="263" spans="1:11" x14ac:dyDescent="0.25">
      <c r="A263" s="1" t="s">
        <v>1015</v>
      </c>
      <c r="B263" s="1" t="s">
        <v>37</v>
      </c>
      <c r="C263" s="1" t="s">
        <v>1045</v>
      </c>
      <c r="D263" s="1" t="s">
        <v>1503</v>
      </c>
      <c r="E263" s="1" t="s">
        <v>1509</v>
      </c>
      <c r="F263" s="1" t="s">
        <v>811</v>
      </c>
      <c r="G263" s="2">
        <v>45227</v>
      </c>
      <c r="H263" s="3">
        <v>0.52708333333333335</v>
      </c>
      <c r="I263" s="1">
        <v>-1.50664</v>
      </c>
      <c r="J263" s="1">
        <v>27.795642000000001</v>
      </c>
      <c r="K263">
        <v>107</v>
      </c>
    </row>
    <row r="264" spans="1:11" x14ac:dyDescent="0.25">
      <c r="A264" s="1" t="s">
        <v>1015</v>
      </c>
      <c r="B264" s="1" t="s">
        <v>29</v>
      </c>
      <c r="C264" s="1" t="s">
        <v>1046</v>
      </c>
      <c r="D264" s="1" t="s">
        <v>1503</v>
      </c>
      <c r="E264" s="1" t="s">
        <v>1507</v>
      </c>
      <c r="F264" s="1" t="s">
        <v>811</v>
      </c>
      <c r="G264" s="2">
        <v>45221</v>
      </c>
      <c r="H264" s="3">
        <v>0.31319444444444455</v>
      </c>
      <c r="I264" s="1">
        <v>-10.165072</v>
      </c>
      <c r="J264" s="1">
        <v>29.428024000000001</v>
      </c>
      <c r="K264">
        <v>34</v>
      </c>
    </row>
    <row r="265" spans="1:11" hidden="1" x14ac:dyDescent="0.25">
      <c r="A265" s="1" t="s">
        <v>1015</v>
      </c>
      <c r="B265" s="1" t="s">
        <v>1695</v>
      </c>
      <c r="C265" s="1" t="s">
        <v>1047</v>
      </c>
      <c r="D265" s="1" t="s">
        <v>1695</v>
      </c>
      <c r="E265" s="1" t="s">
        <v>1695</v>
      </c>
      <c r="F265" s="1" t="s">
        <v>813</v>
      </c>
      <c r="G265" s="2">
        <v>45229</v>
      </c>
      <c r="H265" s="3">
        <v>0.75625000000000009</v>
      </c>
      <c r="I265" s="1" t="s">
        <v>1695</v>
      </c>
      <c r="J265" s="1" t="s">
        <v>1695</v>
      </c>
      <c r="K265">
        <v>82</v>
      </c>
    </row>
    <row r="266" spans="1:11" hidden="1" x14ac:dyDescent="0.25">
      <c r="A266" s="1" t="s">
        <v>1015</v>
      </c>
      <c r="B266" s="1" t="s">
        <v>1695</v>
      </c>
      <c r="C266" s="1" t="s">
        <v>912</v>
      </c>
      <c r="D266" s="1" t="s">
        <v>1695</v>
      </c>
      <c r="E266" s="1" t="s">
        <v>1695</v>
      </c>
      <c r="F266" s="1" t="s">
        <v>811</v>
      </c>
      <c r="G266" s="2">
        <v>45207</v>
      </c>
      <c r="H266" s="3">
        <v>0.61111111111111116</v>
      </c>
      <c r="I266" s="1" t="s">
        <v>1695</v>
      </c>
      <c r="J266" s="1" t="s">
        <v>1695</v>
      </c>
      <c r="K266">
        <v>107</v>
      </c>
    </row>
    <row r="267" spans="1:11" hidden="1" x14ac:dyDescent="0.25">
      <c r="A267" s="1" t="s">
        <v>1015</v>
      </c>
      <c r="B267" s="1" t="s">
        <v>1695</v>
      </c>
      <c r="C267" s="1" t="s">
        <v>1048</v>
      </c>
      <c r="D267" s="1" t="s">
        <v>1695</v>
      </c>
      <c r="E267" s="1" t="s">
        <v>1695</v>
      </c>
      <c r="F267" s="1" t="s">
        <v>808</v>
      </c>
      <c r="G267" s="2">
        <v>45208</v>
      </c>
      <c r="H267" s="3">
        <v>0.59444444444444455</v>
      </c>
      <c r="I267" s="1" t="s">
        <v>1695</v>
      </c>
      <c r="J267" s="1" t="s">
        <v>1695</v>
      </c>
      <c r="K267">
        <v>50</v>
      </c>
    </row>
    <row r="268" spans="1:11" x14ac:dyDescent="0.25">
      <c r="A268" s="1" t="s">
        <v>1015</v>
      </c>
      <c r="B268" s="1" t="s">
        <v>64</v>
      </c>
      <c r="C268" s="1" t="s">
        <v>1049</v>
      </c>
      <c r="D268" s="1" t="s">
        <v>1506</v>
      </c>
      <c r="E268" s="1" t="s">
        <v>1507</v>
      </c>
      <c r="F268" s="1" t="s">
        <v>811</v>
      </c>
      <c r="G268" s="2">
        <v>45221</v>
      </c>
      <c r="H268" s="3">
        <v>3.9583333333333304E-2</v>
      </c>
      <c r="I268" s="1">
        <v>0.48965500000000001</v>
      </c>
      <c r="J268" s="1">
        <v>26.176860000000001</v>
      </c>
      <c r="K268">
        <v>33</v>
      </c>
    </row>
    <row r="269" spans="1:11" x14ac:dyDescent="0.25">
      <c r="A269" s="1" t="s">
        <v>1015</v>
      </c>
      <c r="B269" s="1" t="s">
        <v>29</v>
      </c>
      <c r="C269" s="1" t="s">
        <v>1046</v>
      </c>
      <c r="D269" s="1" t="s">
        <v>1503</v>
      </c>
      <c r="E269" s="1" t="s">
        <v>1507</v>
      </c>
      <c r="F269" s="1" t="s">
        <v>808</v>
      </c>
      <c r="G269" s="2">
        <v>45225</v>
      </c>
      <c r="H269" s="3">
        <v>0.62291666666666656</v>
      </c>
      <c r="I269" s="1">
        <v>-10.165072</v>
      </c>
      <c r="J269" s="1">
        <v>29.428024000000001</v>
      </c>
      <c r="K269">
        <v>86</v>
      </c>
    </row>
    <row r="270" spans="1:11" x14ac:dyDescent="0.25">
      <c r="A270" s="1" t="s">
        <v>1015</v>
      </c>
      <c r="B270" s="1" t="s">
        <v>137</v>
      </c>
      <c r="C270" s="1" t="s">
        <v>986</v>
      </c>
      <c r="D270" s="1" t="s">
        <v>1508</v>
      </c>
      <c r="E270" s="1" t="s">
        <v>1509</v>
      </c>
      <c r="F270" s="1" t="s">
        <v>811</v>
      </c>
      <c r="G270" s="2">
        <v>45209</v>
      </c>
      <c r="H270" s="3">
        <v>0.89861111111111103</v>
      </c>
      <c r="I270" s="1">
        <v>-10.872631999999999</v>
      </c>
      <c r="J270" s="1">
        <v>12.773279</v>
      </c>
      <c r="K270">
        <v>29</v>
      </c>
    </row>
    <row r="271" spans="1:11" hidden="1" x14ac:dyDescent="0.25">
      <c r="A271" s="1" t="s">
        <v>1015</v>
      </c>
      <c r="B271" s="1" t="s">
        <v>1695</v>
      </c>
      <c r="C271" s="1" t="s">
        <v>1050</v>
      </c>
      <c r="D271" s="1" t="s">
        <v>1695</v>
      </c>
      <c r="E271" s="1" t="s">
        <v>1695</v>
      </c>
      <c r="F271" s="1" t="s">
        <v>813</v>
      </c>
      <c r="G271" s="2">
        <v>45205</v>
      </c>
      <c r="H271" s="3">
        <v>0.10277777777777786</v>
      </c>
      <c r="I271" s="1" t="s">
        <v>1695</v>
      </c>
      <c r="J271" s="1" t="s">
        <v>1695</v>
      </c>
      <c r="K271">
        <v>84</v>
      </c>
    </row>
    <row r="272" spans="1:11" x14ac:dyDescent="0.25">
      <c r="A272" s="1" t="s">
        <v>1015</v>
      </c>
      <c r="B272" s="1" t="s">
        <v>62</v>
      </c>
      <c r="C272" s="1" t="s">
        <v>1051</v>
      </c>
      <c r="D272" s="1" t="s">
        <v>1503</v>
      </c>
      <c r="E272" s="1" t="s">
        <v>1509</v>
      </c>
      <c r="F272" s="1" t="s">
        <v>811</v>
      </c>
      <c r="G272" s="2">
        <v>45230</v>
      </c>
      <c r="H272" s="3">
        <v>0.48402777777777772</v>
      </c>
      <c r="I272" s="1">
        <v>-12.564277000000001</v>
      </c>
      <c r="J272" s="1">
        <v>28.480798</v>
      </c>
      <c r="K272">
        <v>37</v>
      </c>
    </row>
    <row r="273" spans="1:11" x14ac:dyDescent="0.25">
      <c r="A273" s="1" t="s">
        <v>1015</v>
      </c>
      <c r="B273" s="1" t="s">
        <v>40</v>
      </c>
      <c r="C273" s="1" t="s">
        <v>1052</v>
      </c>
      <c r="D273" s="1" t="s">
        <v>1503</v>
      </c>
      <c r="E273" s="1" t="s">
        <v>1507</v>
      </c>
      <c r="F273" s="1" t="s">
        <v>813</v>
      </c>
      <c r="G273" s="2">
        <v>45209</v>
      </c>
      <c r="H273" s="3">
        <v>0.8520833333333333</v>
      </c>
      <c r="I273" s="1">
        <v>-12.431227</v>
      </c>
      <c r="J273" s="1">
        <v>18.414290999999999</v>
      </c>
      <c r="K273">
        <v>91</v>
      </c>
    </row>
    <row r="274" spans="1:11" x14ac:dyDescent="0.25">
      <c r="A274" s="1" t="s">
        <v>1015</v>
      </c>
      <c r="B274" s="1" t="s">
        <v>131</v>
      </c>
      <c r="C274" s="1" t="s">
        <v>1053</v>
      </c>
      <c r="D274" s="1" t="s">
        <v>1506</v>
      </c>
      <c r="E274" s="1" t="s">
        <v>1504</v>
      </c>
      <c r="F274" s="1" t="s">
        <v>811</v>
      </c>
      <c r="G274" s="2">
        <v>45222</v>
      </c>
      <c r="H274" s="3">
        <v>0.35347222222222219</v>
      </c>
      <c r="I274" s="1">
        <v>-10.846306999999999</v>
      </c>
      <c r="J274" s="1">
        <v>19.201827999999999</v>
      </c>
      <c r="K274">
        <v>101</v>
      </c>
    </row>
    <row r="275" spans="1:11" hidden="1" x14ac:dyDescent="0.25">
      <c r="A275" s="1" t="s">
        <v>1054</v>
      </c>
      <c r="B275" s="1" t="s">
        <v>1695</v>
      </c>
      <c r="C275" s="1" t="s">
        <v>1055</v>
      </c>
      <c r="D275" s="1" t="s">
        <v>1695</v>
      </c>
      <c r="E275" s="1" t="s">
        <v>1695</v>
      </c>
      <c r="F275" s="1" t="s">
        <v>811</v>
      </c>
      <c r="G275" s="2">
        <v>45207</v>
      </c>
      <c r="H275" s="3">
        <v>0.7138888888888888</v>
      </c>
      <c r="I275" s="1" t="s">
        <v>1695</v>
      </c>
      <c r="J275" s="1" t="s">
        <v>1695</v>
      </c>
      <c r="K275">
        <v>99</v>
      </c>
    </row>
    <row r="276" spans="1:11" x14ac:dyDescent="0.25">
      <c r="A276" s="1" t="s">
        <v>1054</v>
      </c>
      <c r="B276" s="1" t="s">
        <v>127</v>
      </c>
      <c r="C276" s="1" t="s">
        <v>957</v>
      </c>
      <c r="D276" s="1" t="s">
        <v>1508</v>
      </c>
      <c r="E276" s="1" t="s">
        <v>1507</v>
      </c>
      <c r="F276" s="1" t="s">
        <v>811</v>
      </c>
      <c r="G276" s="2">
        <v>45212</v>
      </c>
      <c r="H276" s="3">
        <v>0.59930555555555554</v>
      </c>
      <c r="I276" s="1">
        <v>-1.8045979999999999</v>
      </c>
      <c r="J276" s="1">
        <v>12.511096999999999</v>
      </c>
      <c r="K276">
        <v>58</v>
      </c>
    </row>
    <row r="277" spans="1:11" hidden="1" x14ac:dyDescent="0.25">
      <c r="A277" s="1" t="s">
        <v>1054</v>
      </c>
      <c r="B277" s="1" t="s">
        <v>1695</v>
      </c>
      <c r="C277" s="1" t="s">
        <v>1056</v>
      </c>
      <c r="D277" s="1" t="s">
        <v>1695</v>
      </c>
      <c r="E277" s="1" t="s">
        <v>1695</v>
      </c>
      <c r="F277" s="1" t="s">
        <v>811</v>
      </c>
      <c r="G277" s="2">
        <v>45221</v>
      </c>
      <c r="H277" s="3">
        <v>0.98888888888888893</v>
      </c>
      <c r="I277" s="1" t="s">
        <v>1695</v>
      </c>
      <c r="J277" s="1" t="s">
        <v>1695</v>
      </c>
      <c r="K277">
        <v>72</v>
      </c>
    </row>
    <row r="278" spans="1:11" hidden="1" x14ac:dyDescent="0.25">
      <c r="A278" s="1" t="s">
        <v>1054</v>
      </c>
      <c r="B278" s="1" t="s">
        <v>1695</v>
      </c>
      <c r="C278" s="1" t="s">
        <v>1033</v>
      </c>
      <c r="D278" s="1" t="s">
        <v>1695</v>
      </c>
      <c r="E278" s="1" t="s">
        <v>1695</v>
      </c>
      <c r="F278" s="1" t="s">
        <v>811</v>
      </c>
      <c r="G278" s="2">
        <v>45230</v>
      </c>
      <c r="H278" s="3">
        <v>0.72638888888888897</v>
      </c>
      <c r="I278" s="1" t="s">
        <v>1695</v>
      </c>
      <c r="J278" s="1" t="s">
        <v>1695</v>
      </c>
      <c r="K278">
        <v>19</v>
      </c>
    </row>
    <row r="279" spans="1:11" hidden="1" x14ac:dyDescent="0.25">
      <c r="A279" s="1" t="s">
        <v>1054</v>
      </c>
      <c r="B279" s="1" t="s">
        <v>1695</v>
      </c>
      <c r="C279" s="1" t="s">
        <v>1057</v>
      </c>
      <c r="D279" s="1" t="s">
        <v>1695</v>
      </c>
      <c r="E279" s="1" t="s">
        <v>1695</v>
      </c>
      <c r="F279" s="1" t="s">
        <v>808</v>
      </c>
      <c r="G279" s="2">
        <v>45218</v>
      </c>
      <c r="H279" s="3">
        <v>0.99027777777777781</v>
      </c>
      <c r="I279" s="1" t="s">
        <v>1695</v>
      </c>
      <c r="J279" s="1" t="s">
        <v>1695</v>
      </c>
      <c r="K279">
        <v>100</v>
      </c>
    </row>
    <row r="280" spans="1:11" hidden="1" x14ac:dyDescent="0.25">
      <c r="A280" s="1" t="s">
        <v>1054</v>
      </c>
      <c r="B280" s="1" t="s">
        <v>1695</v>
      </c>
      <c r="C280" s="1" t="s">
        <v>1058</v>
      </c>
      <c r="D280" s="1" t="s">
        <v>1695</v>
      </c>
      <c r="E280" s="1" t="s">
        <v>1695</v>
      </c>
      <c r="F280" s="1" t="s">
        <v>813</v>
      </c>
      <c r="G280" s="2">
        <v>45204</v>
      </c>
      <c r="H280" s="3">
        <v>0.57013888888888897</v>
      </c>
      <c r="I280" s="1" t="s">
        <v>1695</v>
      </c>
      <c r="J280" s="1" t="s">
        <v>1695</v>
      </c>
      <c r="K280">
        <v>13</v>
      </c>
    </row>
    <row r="281" spans="1:11" x14ac:dyDescent="0.25">
      <c r="A281" s="1" t="s">
        <v>1054</v>
      </c>
      <c r="B281" s="1" t="s">
        <v>24</v>
      </c>
      <c r="C281" s="1" t="s">
        <v>1059</v>
      </c>
      <c r="D281" s="1" t="s">
        <v>1503</v>
      </c>
      <c r="E281" s="1" t="s">
        <v>1507</v>
      </c>
      <c r="F281" s="1" t="s">
        <v>813</v>
      </c>
      <c r="G281" s="2">
        <v>45203</v>
      </c>
      <c r="H281" s="3">
        <v>0.65208333333333335</v>
      </c>
      <c r="I281" s="1">
        <v>2.016505</v>
      </c>
      <c r="J281" s="1">
        <v>14.294164</v>
      </c>
      <c r="K281">
        <v>65</v>
      </c>
    </row>
    <row r="282" spans="1:11" hidden="1" x14ac:dyDescent="0.25">
      <c r="A282" s="1" t="s">
        <v>1054</v>
      </c>
      <c r="B282" s="1" t="s">
        <v>1695</v>
      </c>
      <c r="C282" s="1" t="s">
        <v>1060</v>
      </c>
      <c r="D282" s="1" t="s">
        <v>1695</v>
      </c>
      <c r="E282" s="1" t="s">
        <v>1695</v>
      </c>
      <c r="F282" s="1" t="s">
        <v>808</v>
      </c>
      <c r="G282" s="2">
        <v>45213</v>
      </c>
      <c r="H282" s="3">
        <v>0.33472222222222214</v>
      </c>
      <c r="I282" s="1" t="s">
        <v>1695</v>
      </c>
      <c r="J282" s="1" t="s">
        <v>1695</v>
      </c>
      <c r="K282">
        <v>62</v>
      </c>
    </row>
    <row r="283" spans="1:11" hidden="1" x14ac:dyDescent="0.25">
      <c r="A283" s="1" t="s">
        <v>1054</v>
      </c>
      <c r="B283" s="1" t="s">
        <v>1695</v>
      </c>
      <c r="C283" s="1" t="s">
        <v>1061</v>
      </c>
      <c r="D283" s="1" t="s">
        <v>1695</v>
      </c>
      <c r="E283" s="1" t="s">
        <v>1695</v>
      </c>
      <c r="F283" s="1" t="s">
        <v>813</v>
      </c>
      <c r="G283" s="2">
        <v>45222</v>
      </c>
      <c r="H283" s="3">
        <v>0.46736111111111112</v>
      </c>
      <c r="I283" s="1" t="s">
        <v>1695</v>
      </c>
      <c r="J283" s="1" t="s">
        <v>1695</v>
      </c>
      <c r="K283">
        <v>104</v>
      </c>
    </row>
    <row r="284" spans="1:11" hidden="1" x14ac:dyDescent="0.25">
      <c r="A284" s="1" t="s">
        <v>1054</v>
      </c>
      <c r="B284" s="1" t="s">
        <v>1695</v>
      </c>
      <c r="C284" s="1" t="s">
        <v>1062</v>
      </c>
      <c r="D284" s="1" t="s">
        <v>1695</v>
      </c>
      <c r="E284" s="1" t="s">
        <v>1695</v>
      </c>
      <c r="F284" s="1" t="s">
        <v>813</v>
      </c>
      <c r="G284" s="2">
        <v>45214</v>
      </c>
      <c r="H284" s="3">
        <v>0.59375</v>
      </c>
      <c r="I284" s="1" t="s">
        <v>1695</v>
      </c>
      <c r="J284" s="1" t="s">
        <v>1695</v>
      </c>
      <c r="K284">
        <v>51</v>
      </c>
    </row>
    <row r="285" spans="1:11" hidden="1" x14ac:dyDescent="0.25">
      <c r="A285" s="1" t="s">
        <v>1054</v>
      </c>
      <c r="B285" s="1" t="s">
        <v>1695</v>
      </c>
      <c r="C285" s="1" t="s">
        <v>894</v>
      </c>
      <c r="D285" s="1" t="s">
        <v>1695</v>
      </c>
      <c r="E285" s="1" t="s">
        <v>1695</v>
      </c>
      <c r="F285" s="1" t="s">
        <v>813</v>
      </c>
      <c r="G285" s="2">
        <v>45227</v>
      </c>
      <c r="H285" s="3">
        <v>0.46249999999999991</v>
      </c>
      <c r="I285" s="1" t="s">
        <v>1695</v>
      </c>
      <c r="J285" s="1" t="s">
        <v>1695</v>
      </c>
      <c r="K285">
        <v>70</v>
      </c>
    </row>
    <row r="286" spans="1:11" hidden="1" x14ac:dyDescent="0.25">
      <c r="A286" s="1" t="s">
        <v>1054</v>
      </c>
      <c r="B286" s="1" t="s">
        <v>1695</v>
      </c>
      <c r="C286" s="1" t="s">
        <v>1063</v>
      </c>
      <c r="D286" s="1" t="s">
        <v>1695</v>
      </c>
      <c r="E286" s="1" t="s">
        <v>1695</v>
      </c>
      <c r="F286" s="1" t="s">
        <v>813</v>
      </c>
      <c r="G286" s="2">
        <v>45221</v>
      </c>
      <c r="H286" s="3">
        <v>0.48194444444444451</v>
      </c>
      <c r="I286" s="1" t="s">
        <v>1695</v>
      </c>
      <c r="J286" s="1" t="s">
        <v>1695</v>
      </c>
      <c r="K286">
        <v>80</v>
      </c>
    </row>
    <row r="287" spans="1:11" hidden="1" x14ac:dyDescent="0.25">
      <c r="A287" s="1" t="s">
        <v>1054</v>
      </c>
      <c r="B287" s="1" t="s">
        <v>1695</v>
      </c>
      <c r="C287" s="1" t="s">
        <v>1064</v>
      </c>
      <c r="D287" s="1" t="s">
        <v>1695</v>
      </c>
      <c r="E287" s="1" t="s">
        <v>1695</v>
      </c>
      <c r="F287" s="1" t="s">
        <v>813</v>
      </c>
      <c r="G287" s="2">
        <v>45228</v>
      </c>
      <c r="H287" s="3">
        <v>0.8486111111111112</v>
      </c>
      <c r="I287" s="1" t="s">
        <v>1695</v>
      </c>
      <c r="J287" s="1" t="s">
        <v>1695</v>
      </c>
      <c r="K287">
        <v>18</v>
      </c>
    </row>
    <row r="288" spans="1:11" x14ac:dyDescent="0.25">
      <c r="A288" s="1" t="s">
        <v>1054</v>
      </c>
      <c r="B288" s="1" t="s">
        <v>131</v>
      </c>
      <c r="C288" s="1" t="s">
        <v>932</v>
      </c>
      <c r="D288" s="1" t="s">
        <v>1506</v>
      </c>
      <c r="E288" s="1" t="s">
        <v>1507</v>
      </c>
      <c r="F288" s="1" t="s">
        <v>811</v>
      </c>
      <c r="G288" s="2">
        <v>45201</v>
      </c>
      <c r="H288" s="3">
        <v>0.51180555555555562</v>
      </c>
      <c r="I288" s="1">
        <v>-10.25074</v>
      </c>
      <c r="J288" s="1">
        <v>26.099086</v>
      </c>
      <c r="K288">
        <v>62</v>
      </c>
    </row>
    <row r="289" spans="1:11" hidden="1" x14ac:dyDescent="0.25">
      <c r="A289" s="1" t="s">
        <v>1054</v>
      </c>
      <c r="B289" s="1" t="s">
        <v>1695</v>
      </c>
      <c r="C289" s="1" t="s">
        <v>1065</v>
      </c>
      <c r="D289" s="1" t="s">
        <v>1695</v>
      </c>
      <c r="E289" s="1" t="s">
        <v>1695</v>
      </c>
      <c r="F289" s="1" t="s">
        <v>808</v>
      </c>
      <c r="G289" s="2">
        <v>45206</v>
      </c>
      <c r="H289" s="3">
        <v>0.16250000000000009</v>
      </c>
      <c r="I289" s="1" t="s">
        <v>1695</v>
      </c>
      <c r="J289" s="1" t="s">
        <v>1695</v>
      </c>
      <c r="K289">
        <v>69</v>
      </c>
    </row>
    <row r="290" spans="1:11" x14ac:dyDescent="0.25">
      <c r="A290" s="1" t="s">
        <v>1054</v>
      </c>
      <c r="B290" s="1" t="s">
        <v>89</v>
      </c>
      <c r="C290" s="1" t="s">
        <v>1066</v>
      </c>
      <c r="D290" s="1" t="s">
        <v>1508</v>
      </c>
      <c r="E290" s="1" t="s">
        <v>1509</v>
      </c>
      <c r="F290" s="1" t="s">
        <v>813</v>
      </c>
      <c r="G290" s="2">
        <v>45226</v>
      </c>
      <c r="H290" s="3">
        <v>0.58680555555555558</v>
      </c>
      <c r="I290" s="1">
        <v>-7.7839049999999999</v>
      </c>
      <c r="J290" s="1">
        <v>14.114281999999999</v>
      </c>
      <c r="K290">
        <v>33</v>
      </c>
    </row>
    <row r="291" spans="1:11" x14ac:dyDescent="0.25">
      <c r="A291" s="1" t="s">
        <v>1054</v>
      </c>
      <c r="B291" s="1" t="s">
        <v>13</v>
      </c>
      <c r="C291" s="1" t="s">
        <v>1067</v>
      </c>
      <c r="D291" s="1" t="s">
        <v>1508</v>
      </c>
      <c r="E291" s="1" t="s">
        <v>1507</v>
      </c>
      <c r="F291" s="1" t="s">
        <v>813</v>
      </c>
      <c r="G291" s="2">
        <v>45221</v>
      </c>
      <c r="H291" s="3">
        <v>0.27847222222222223</v>
      </c>
      <c r="I291" s="1">
        <v>-12.292039000000001</v>
      </c>
      <c r="J291" s="1">
        <v>27.538202999999999</v>
      </c>
      <c r="K291">
        <v>83</v>
      </c>
    </row>
    <row r="292" spans="1:11" hidden="1" x14ac:dyDescent="0.25">
      <c r="A292" s="1" t="s">
        <v>1054</v>
      </c>
      <c r="B292" s="1" t="s">
        <v>1695</v>
      </c>
      <c r="C292" s="1" t="s">
        <v>914</v>
      </c>
      <c r="D292" s="1" t="s">
        <v>1695</v>
      </c>
      <c r="E292" s="1" t="s">
        <v>1695</v>
      </c>
      <c r="F292" s="1" t="s">
        <v>813</v>
      </c>
      <c r="G292" s="2">
        <v>45220</v>
      </c>
      <c r="H292" s="3">
        <v>0.79236111111111107</v>
      </c>
      <c r="I292" s="1" t="s">
        <v>1695</v>
      </c>
      <c r="J292" s="1" t="s">
        <v>1695</v>
      </c>
      <c r="K292">
        <v>10</v>
      </c>
    </row>
    <row r="293" spans="1:11" hidden="1" x14ac:dyDescent="0.25">
      <c r="A293" s="1" t="s">
        <v>1054</v>
      </c>
      <c r="B293" s="1" t="s">
        <v>1695</v>
      </c>
      <c r="C293" s="1" t="s">
        <v>1056</v>
      </c>
      <c r="D293" s="1" t="s">
        <v>1695</v>
      </c>
      <c r="E293" s="1" t="s">
        <v>1695</v>
      </c>
      <c r="F293" s="1" t="s">
        <v>811</v>
      </c>
      <c r="G293" s="2">
        <v>45201</v>
      </c>
      <c r="H293" s="3">
        <v>0.42708333333333326</v>
      </c>
      <c r="I293" s="1" t="s">
        <v>1695</v>
      </c>
      <c r="J293" s="1" t="s">
        <v>1695</v>
      </c>
      <c r="K293">
        <v>98</v>
      </c>
    </row>
    <row r="294" spans="1:11" hidden="1" x14ac:dyDescent="0.25">
      <c r="A294" s="1" t="s">
        <v>1054</v>
      </c>
      <c r="B294" s="1" t="s">
        <v>1695</v>
      </c>
      <c r="C294" s="1" t="s">
        <v>1068</v>
      </c>
      <c r="D294" s="1" t="s">
        <v>1695</v>
      </c>
      <c r="E294" s="1" t="s">
        <v>1695</v>
      </c>
      <c r="F294" s="1" t="s">
        <v>813</v>
      </c>
      <c r="G294" s="2">
        <v>45204</v>
      </c>
      <c r="H294" s="3">
        <v>0.75902777777777786</v>
      </c>
      <c r="I294" s="1" t="s">
        <v>1695</v>
      </c>
      <c r="J294" s="1" t="s">
        <v>1695</v>
      </c>
      <c r="K294">
        <v>105</v>
      </c>
    </row>
    <row r="295" spans="1:11" x14ac:dyDescent="0.25">
      <c r="A295" s="1" t="s">
        <v>1054</v>
      </c>
      <c r="B295" s="1" t="s">
        <v>37</v>
      </c>
      <c r="C295" s="1" t="s">
        <v>1069</v>
      </c>
      <c r="D295" s="1" t="s">
        <v>1503</v>
      </c>
      <c r="E295" s="1" t="s">
        <v>1504</v>
      </c>
      <c r="F295" s="1" t="s">
        <v>813</v>
      </c>
      <c r="G295" s="2">
        <v>45202</v>
      </c>
      <c r="H295" s="3">
        <v>0.71736111111111112</v>
      </c>
      <c r="I295" s="1">
        <v>-1.5936220000000001</v>
      </c>
      <c r="J295" s="1">
        <v>14.928856</v>
      </c>
      <c r="K295">
        <v>115</v>
      </c>
    </row>
    <row r="296" spans="1:11" x14ac:dyDescent="0.25">
      <c r="A296" s="1" t="s">
        <v>1054</v>
      </c>
      <c r="B296" s="1" t="s">
        <v>40</v>
      </c>
      <c r="C296" s="1" t="s">
        <v>1070</v>
      </c>
      <c r="D296" s="1" t="s">
        <v>1506</v>
      </c>
      <c r="E296" s="1" t="s">
        <v>1516</v>
      </c>
      <c r="F296" s="1" t="s">
        <v>808</v>
      </c>
      <c r="G296" s="2">
        <v>45218</v>
      </c>
      <c r="H296" s="3">
        <v>0.2861111111111112</v>
      </c>
      <c r="I296" s="1">
        <v>-7.5129409999999996</v>
      </c>
      <c r="J296" s="1">
        <v>18.701522000000001</v>
      </c>
      <c r="K296">
        <v>89</v>
      </c>
    </row>
    <row r="297" spans="1:11" hidden="1" x14ac:dyDescent="0.25">
      <c r="A297" s="1" t="s">
        <v>1054</v>
      </c>
      <c r="B297" s="1" t="s">
        <v>1695</v>
      </c>
      <c r="C297" s="1" t="s">
        <v>836</v>
      </c>
      <c r="D297" s="1" t="s">
        <v>1695</v>
      </c>
      <c r="E297" s="1" t="s">
        <v>1695</v>
      </c>
      <c r="F297" s="1" t="s">
        <v>811</v>
      </c>
      <c r="G297" s="2">
        <v>45227</v>
      </c>
      <c r="H297" s="3">
        <v>0.30624999999999991</v>
      </c>
      <c r="I297" s="1" t="s">
        <v>1695</v>
      </c>
      <c r="J297" s="1" t="s">
        <v>1695</v>
      </c>
      <c r="K297">
        <v>71</v>
      </c>
    </row>
    <row r="298" spans="1:11" x14ac:dyDescent="0.25">
      <c r="A298" s="1" t="s">
        <v>1054</v>
      </c>
      <c r="B298" s="1" t="s">
        <v>78</v>
      </c>
      <c r="C298" s="1" t="s">
        <v>962</v>
      </c>
      <c r="D298" s="1" t="s">
        <v>1506</v>
      </c>
      <c r="E298" s="1" t="s">
        <v>1504</v>
      </c>
      <c r="F298" s="1" t="s">
        <v>813</v>
      </c>
      <c r="G298" s="2">
        <v>45224</v>
      </c>
      <c r="H298" s="3">
        <v>0.20138888888888884</v>
      </c>
      <c r="I298" s="1">
        <v>-4.6818410000000004</v>
      </c>
      <c r="J298" s="1">
        <v>17.541618</v>
      </c>
      <c r="K298">
        <v>43</v>
      </c>
    </row>
    <row r="299" spans="1:11" x14ac:dyDescent="0.25">
      <c r="A299" s="1" t="s">
        <v>1054</v>
      </c>
      <c r="B299" s="1" t="s">
        <v>37</v>
      </c>
      <c r="C299" s="1" t="s">
        <v>807</v>
      </c>
      <c r="D299" s="1" t="s">
        <v>1506</v>
      </c>
      <c r="E299" s="1" t="s">
        <v>1516</v>
      </c>
      <c r="F299" s="1" t="s">
        <v>808</v>
      </c>
      <c r="G299" s="2">
        <v>45228</v>
      </c>
      <c r="H299" s="3">
        <v>0.79166666666666674</v>
      </c>
      <c r="I299" s="1">
        <v>-11.144149000000001</v>
      </c>
      <c r="J299" s="1">
        <v>27.244658999999999</v>
      </c>
      <c r="K299">
        <v>63</v>
      </c>
    </row>
    <row r="300" spans="1:11" hidden="1" x14ac:dyDescent="0.25">
      <c r="A300" s="1" t="s">
        <v>1054</v>
      </c>
      <c r="B300" s="1" t="s">
        <v>1695</v>
      </c>
      <c r="C300" s="1" t="s">
        <v>859</v>
      </c>
      <c r="D300" s="1" t="s">
        <v>1695</v>
      </c>
      <c r="E300" s="1" t="s">
        <v>1695</v>
      </c>
      <c r="F300" s="1" t="s">
        <v>808</v>
      </c>
      <c r="G300" s="2">
        <v>45208</v>
      </c>
      <c r="H300" s="3">
        <v>0.17222222222222228</v>
      </c>
      <c r="I300" s="1" t="s">
        <v>1695</v>
      </c>
      <c r="J300" s="1" t="s">
        <v>1695</v>
      </c>
      <c r="K300">
        <v>87</v>
      </c>
    </row>
    <row r="301" spans="1:11" x14ac:dyDescent="0.25">
      <c r="A301" s="1" t="s">
        <v>1054</v>
      </c>
      <c r="B301" s="1" t="s">
        <v>131</v>
      </c>
      <c r="C301" s="1" t="s">
        <v>1071</v>
      </c>
      <c r="D301" s="1" t="s">
        <v>1508</v>
      </c>
      <c r="E301" s="1" t="s">
        <v>1504</v>
      </c>
      <c r="F301" s="1" t="s">
        <v>808</v>
      </c>
      <c r="G301" s="2">
        <v>45217</v>
      </c>
      <c r="H301" s="3">
        <v>0.36874999999999991</v>
      </c>
      <c r="I301" s="1">
        <v>-4.1754939999999996</v>
      </c>
      <c r="J301" s="1">
        <v>16.704664999999999</v>
      </c>
      <c r="K301">
        <v>8</v>
      </c>
    </row>
    <row r="302" spans="1:11" x14ac:dyDescent="0.25">
      <c r="A302" s="1" t="s">
        <v>1054</v>
      </c>
      <c r="B302" s="1" t="s">
        <v>21</v>
      </c>
      <c r="C302" s="1" t="s">
        <v>895</v>
      </c>
      <c r="D302" s="1" t="s">
        <v>1508</v>
      </c>
      <c r="E302" s="1" t="s">
        <v>1516</v>
      </c>
      <c r="F302" s="1" t="s">
        <v>808</v>
      </c>
      <c r="G302" s="2">
        <v>45205</v>
      </c>
      <c r="H302" s="3">
        <v>0.15416666666666656</v>
      </c>
      <c r="I302" s="1">
        <v>-5.2526849999999996</v>
      </c>
      <c r="J302" s="1">
        <v>12.374528</v>
      </c>
      <c r="K302">
        <v>12</v>
      </c>
    </row>
    <row r="303" spans="1:11" hidden="1" x14ac:dyDescent="0.25">
      <c r="A303" s="1" t="s">
        <v>1054</v>
      </c>
      <c r="B303" s="1" t="s">
        <v>1695</v>
      </c>
      <c r="C303" s="1" t="s">
        <v>1072</v>
      </c>
      <c r="D303" s="1" t="s">
        <v>1695</v>
      </c>
      <c r="E303" s="1" t="s">
        <v>1695</v>
      </c>
      <c r="F303" s="1" t="s">
        <v>813</v>
      </c>
      <c r="G303" s="2">
        <v>45227</v>
      </c>
      <c r="H303" s="3">
        <v>5.5555555555555358E-3</v>
      </c>
      <c r="I303" s="1" t="s">
        <v>1695</v>
      </c>
      <c r="J303" s="1" t="s">
        <v>1695</v>
      </c>
      <c r="K303">
        <v>66</v>
      </c>
    </row>
    <row r="304" spans="1:11" x14ac:dyDescent="0.25">
      <c r="A304" s="1" t="s">
        <v>1054</v>
      </c>
      <c r="B304" s="1" t="s">
        <v>21</v>
      </c>
      <c r="C304" s="1" t="s">
        <v>1073</v>
      </c>
      <c r="D304" s="1" t="s">
        <v>1508</v>
      </c>
      <c r="E304" s="1" t="s">
        <v>1509</v>
      </c>
      <c r="F304" s="1" t="s">
        <v>808</v>
      </c>
      <c r="G304" s="2">
        <v>45200</v>
      </c>
      <c r="H304" s="3">
        <v>0.49305555555555558</v>
      </c>
      <c r="I304" s="1">
        <v>-1.5419050000000001</v>
      </c>
      <c r="J304" s="1">
        <v>14.730632999999999</v>
      </c>
      <c r="K304">
        <v>113</v>
      </c>
    </row>
    <row r="305" spans="1:11" x14ac:dyDescent="0.25">
      <c r="A305" s="1" t="s">
        <v>1054</v>
      </c>
      <c r="B305" s="1" t="s">
        <v>89</v>
      </c>
      <c r="C305" s="1" t="s">
        <v>941</v>
      </c>
      <c r="D305" s="1" t="s">
        <v>1503</v>
      </c>
      <c r="E305" s="1" t="s">
        <v>1516</v>
      </c>
      <c r="F305" s="1" t="s">
        <v>811</v>
      </c>
      <c r="G305" s="2">
        <v>45225</v>
      </c>
      <c r="H305" s="3">
        <v>0.3173611111111112</v>
      </c>
      <c r="I305" s="1">
        <v>-7.9987219999999999</v>
      </c>
      <c r="J305" s="1">
        <v>12.779335</v>
      </c>
      <c r="K305">
        <v>56</v>
      </c>
    </row>
    <row r="306" spans="1:11" hidden="1" x14ac:dyDescent="0.25">
      <c r="A306" s="1" t="s">
        <v>1054</v>
      </c>
      <c r="B306" s="1" t="s">
        <v>1695</v>
      </c>
      <c r="C306" s="1" t="s">
        <v>1074</v>
      </c>
      <c r="D306" s="1" t="s">
        <v>1695</v>
      </c>
      <c r="E306" s="1" t="s">
        <v>1695</v>
      </c>
      <c r="F306" s="1" t="s">
        <v>811</v>
      </c>
      <c r="G306" s="2">
        <v>45210</v>
      </c>
      <c r="H306" s="3">
        <v>7.6388888888889728E-3</v>
      </c>
      <c r="I306" s="1" t="s">
        <v>1695</v>
      </c>
      <c r="J306" s="1" t="s">
        <v>1695</v>
      </c>
      <c r="K306">
        <v>59</v>
      </c>
    </row>
    <row r="307" spans="1:11" hidden="1" x14ac:dyDescent="0.25">
      <c r="A307" s="1" t="s">
        <v>1054</v>
      </c>
      <c r="B307" s="1" t="s">
        <v>1695</v>
      </c>
      <c r="C307" s="1" t="s">
        <v>857</v>
      </c>
      <c r="D307" s="1" t="s">
        <v>1695</v>
      </c>
      <c r="E307" s="1" t="s">
        <v>1695</v>
      </c>
      <c r="F307" s="1" t="s">
        <v>813</v>
      </c>
      <c r="G307" s="2">
        <v>45208</v>
      </c>
      <c r="H307" s="3">
        <v>4.7222222222222276E-2</v>
      </c>
      <c r="I307" s="1" t="s">
        <v>1695</v>
      </c>
      <c r="J307" s="1" t="s">
        <v>1695</v>
      </c>
      <c r="K307">
        <v>92</v>
      </c>
    </row>
    <row r="308" spans="1:11" hidden="1" x14ac:dyDescent="0.25">
      <c r="A308" s="1" t="s">
        <v>1075</v>
      </c>
      <c r="B308" s="1" t="s">
        <v>1695</v>
      </c>
      <c r="C308" s="1" t="s">
        <v>1014</v>
      </c>
      <c r="D308" s="1" t="s">
        <v>1695</v>
      </c>
      <c r="E308" s="1" t="s">
        <v>1695</v>
      </c>
      <c r="F308" s="1" t="s">
        <v>808</v>
      </c>
      <c r="G308" s="2">
        <v>45221</v>
      </c>
      <c r="H308" s="3">
        <v>0.14305555555555549</v>
      </c>
      <c r="I308" s="1" t="s">
        <v>1695</v>
      </c>
      <c r="J308" s="1" t="s">
        <v>1695</v>
      </c>
      <c r="K308">
        <v>43</v>
      </c>
    </row>
    <row r="309" spans="1:11" hidden="1" x14ac:dyDescent="0.25">
      <c r="A309" s="1" t="s">
        <v>1075</v>
      </c>
      <c r="B309" s="1" t="s">
        <v>1695</v>
      </c>
      <c r="C309" s="1" t="s">
        <v>1076</v>
      </c>
      <c r="D309" s="1" t="s">
        <v>1695</v>
      </c>
      <c r="E309" s="1" t="s">
        <v>1695</v>
      </c>
      <c r="F309" s="1" t="s">
        <v>811</v>
      </c>
      <c r="G309" s="2">
        <v>45211</v>
      </c>
      <c r="H309" s="3">
        <v>0.90833333333333344</v>
      </c>
      <c r="I309" s="1" t="s">
        <v>1695</v>
      </c>
      <c r="J309" s="1" t="s">
        <v>1695</v>
      </c>
      <c r="K309">
        <v>32</v>
      </c>
    </row>
    <row r="310" spans="1:11" hidden="1" x14ac:dyDescent="0.25">
      <c r="A310" s="1" t="s">
        <v>1075</v>
      </c>
      <c r="B310" s="1" t="s">
        <v>1695</v>
      </c>
      <c r="C310" s="1" t="s">
        <v>1077</v>
      </c>
      <c r="D310" s="1" t="s">
        <v>1695</v>
      </c>
      <c r="E310" s="1" t="s">
        <v>1695</v>
      </c>
      <c r="F310" s="1" t="s">
        <v>811</v>
      </c>
      <c r="G310" s="2">
        <v>45213</v>
      </c>
      <c r="H310" s="3">
        <v>0.9604166666666667</v>
      </c>
      <c r="I310" s="1" t="s">
        <v>1695</v>
      </c>
      <c r="J310" s="1" t="s">
        <v>1695</v>
      </c>
      <c r="K310">
        <v>103</v>
      </c>
    </row>
    <row r="311" spans="1:11" hidden="1" x14ac:dyDescent="0.25">
      <c r="A311" s="1" t="s">
        <v>1075</v>
      </c>
      <c r="B311" s="1" t="s">
        <v>1695</v>
      </c>
      <c r="C311" s="1" t="s">
        <v>1074</v>
      </c>
      <c r="D311" s="1" t="s">
        <v>1695</v>
      </c>
      <c r="E311" s="1" t="s">
        <v>1695</v>
      </c>
      <c r="F311" s="1" t="s">
        <v>813</v>
      </c>
      <c r="G311" s="2">
        <v>45209</v>
      </c>
      <c r="H311" s="3">
        <v>0.46249999999999991</v>
      </c>
      <c r="I311" s="1" t="s">
        <v>1695</v>
      </c>
      <c r="J311" s="1" t="s">
        <v>1695</v>
      </c>
      <c r="K311">
        <v>102</v>
      </c>
    </row>
    <row r="312" spans="1:11" x14ac:dyDescent="0.25">
      <c r="A312" s="1" t="s">
        <v>1075</v>
      </c>
      <c r="B312" s="1" t="s">
        <v>21</v>
      </c>
      <c r="C312" s="1" t="s">
        <v>964</v>
      </c>
      <c r="D312" s="1" t="s">
        <v>1506</v>
      </c>
      <c r="E312" s="1" t="s">
        <v>1504</v>
      </c>
      <c r="F312" s="1" t="s">
        <v>813</v>
      </c>
      <c r="G312" s="2">
        <v>45218</v>
      </c>
      <c r="H312" s="3">
        <v>0.67569444444444438</v>
      </c>
      <c r="I312" s="1">
        <v>-2.9651529999999999</v>
      </c>
      <c r="J312" s="1">
        <v>29.79908</v>
      </c>
      <c r="K312">
        <v>37</v>
      </c>
    </row>
    <row r="313" spans="1:11" hidden="1" x14ac:dyDescent="0.25">
      <c r="A313" s="1" t="s">
        <v>1075</v>
      </c>
      <c r="B313" s="1" t="s">
        <v>1695</v>
      </c>
      <c r="C313" s="1" t="s">
        <v>1078</v>
      </c>
      <c r="D313" s="1" t="s">
        <v>1695</v>
      </c>
      <c r="E313" s="1" t="s">
        <v>1695</v>
      </c>
      <c r="F313" s="1" t="s">
        <v>811</v>
      </c>
      <c r="G313" s="2">
        <v>45204</v>
      </c>
      <c r="H313" s="3">
        <v>0.89583333333333326</v>
      </c>
      <c r="I313" s="1" t="s">
        <v>1695</v>
      </c>
      <c r="J313" s="1" t="s">
        <v>1695</v>
      </c>
      <c r="K313">
        <v>42</v>
      </c>
    </row>
    <row r="314" spans="1:11" x14ac:dyDescent="0.25">
      <c r="A314" s="1" t="s">
        <v>1075</v>
      </c>
      <c r="B314" s="1" t="s">
        <v>62</v>
      </c>
      <c r="C314" s="1" t="s">
        <v>1079</v>
      </c>
      <c r="D314" s="1" t="s">
        <v>1506</v>
      </c>
      <c r="E314" s="1" t="s">
        <v>1516</v>
      </c>
      <c r="F314" s="1" t="s">
        <v>811</v>
      </c>
      <c r="G314" s="2">
        <v>45207</v>
      </c>
      <c r="H314" s="3">
        <v>0.14027777777777772</v>
      </c>
      <c r="I314" s="1">
        <v>-12.112399999999999</v>
      </c>
      <c r="J314" s="1">
        <v>15.872226</v>
      </c>
      <c r="K314">
        <v>46</v>
      </c>
    </row>
    <row r="315" spans="1:11" hidden="1" x14ac:dyDescent="0.25">
      <c r="A315" s="1" t="s">
        <v>1075</v>
      </c>
      <c r="B315" s="1" t="s">
        <v>1695</v>
      </c>
      <c r="C315" s="1" t="s">
        <v>1068</v>
      </c>
      <c r="D315" s="1" t="s">
        <v>1695</v>
      </c>
      <c r="E315" s="1" t="s">
        <v>1695</v>
      </c>
      <c r="F315" s="1" t="s">
        <v>808</v>
      </c>
      <c r="G315" s="2">
        <v>45227</v>
      </c>
      <c r="H315" s="3">
        <v>0.72430555555555554</v>
      </c>
      <c r="I315" s="1" t="s">
        <v>1695</v>
      </c>
      <c r="J315" s="1" t="s">
        <v>1695</v>
      </c>
      <c r="K315">
        <v>20</v>
      </c>
    </row>
    <row r="316" spans="1:11" hidden="1" x14ac:dyDescent="0.25">
      <c r="A316" s="1" t="s">
        <v>1075</v>
      </c>
      <c r="B316" s="1" t="s">
        <v>1695</v>
      </c>
      <c r="C316" s="1" t="s">
        <v>1080</v>
      </c>
      <c r="D316" s="1" t="s">
        <v>1695</v>
      </c>
      <c r="E316" s="1" t="s">
        <v>1695</v>
      </c>
      <c r="F316" s="1" t="s">
        <v>808</v>
      </c>
      <c r="G316" s="2">
        <v>45203</v>
      </c>
      <c r="H316" s="3">
        <v>0.35833333333333339</v>
      </c>
      <c r="I316" s="1" t="s">
        <v>1695</v>
      </c>
      <c r="J316" s="1" t="s">
        <v>1695</v>
      </c>
      <c r="K316">
        <v>5</v>
      </c>
    </row>
    <row r="317" spans="1:11" x14ac:dyDescent="0.25">
      <c r="A317" s="1" t="s">
        <v>1075</v>
      </c>
      <c r="B317" s="1" t="s">
        <v>10</v>
      </c>
      <c r="C317" s="1" t="s">
        <v>1081</v>
      </c>
      <c r="D317" s="1" t="s">
        <v>1503</v>
      </c>
      <c r="E317" s="1" t="s">
        <v>1509</v>
      </c>
      <c r="F317" s="1" t="s">
        <v>808</v>
      </c>
      <c r="G317" s="2">
        <v>45207</v>
      </c>
      <c r="H317" s="3">
        <v>0.57916666666666661</v>
      </c>
      <c r="I317" s="1">
        <v>-3.7720639999999999</v>
      </c>
      <c r="J317" s="1">
        <v>16.006277999999998</v>
      </c>
      <c r="K317">
        <v>68</v>
      </c>
    </row>
    <row r="318" spans="1:11" hidden="1" x14ac:dyDescent="0.25">
      <c r="A318" s="1" t="s">
        <v>1075</v>
      </c>
      <c r="B318" s="1" t="s">
        <v>1695</v>
      </c>
      <c r="C318" s="1" t="s">
        <v>946</v>
      </c>
      <c r="D318" s="1" t="s">
        <v>1695</v>
      </c>
      <c r="E318" s="1" t="s">
        <v>1695</v>
      </c>
      <c r="F318" s="1" t="s">
        <v>808</v>
      </c>
      <c r="G318" s="2">
        <v>45217</v>
      </c>
      <c r="H318" s="3">
        <v>0.81875000000000009</v>
      </c>
      <c r="I318" s="1" t="s">
        <v>1695</v>
      </c>
      <c r="J318" s="1" t="s">
        <v>1695</v>
      </c>
      <c r="K318">
        <v>100</v>
      </c>
    </row>
    <row r="319" spans="1:11" hidden="1" x14ac:dyDescent="0.25">
      <c r="A319" s="1" t="s">
        <v>1075</v>
      </c>
      <c r="B319" s="1" t="s">
        <v>1695</v>
      </c>
      <c r="C319" s="1" t="s">
        <v>1082</v>
      </c>
      <c r="D319" s="1" t="s">
        <v>1695</v>
      </c>
      <c r="E319" s="1" t="s">
        <v>1695</v>
      </c>
      <c r="F319" s="1" t="s">
        <v>813</v>
      </c>
      <c r="G319" s="2">
        <v>45221</v>
      </c>
      <c r="H319" s="3">
        <v>0.85763888888888884</v>
      </c>
      <c r="I319" s="1" t="s">
        <v>1695</v>
      </c>
      <c r="J319" s="1" t="s">
        <v>1695</v>
      </c>
      <c r="K319">
        <v>60</v>
      </c>
    </row>
    <row r="320" spans="1:11" x14ac:dyDescent="0.25">
      <c r="A320" s="1" t="s">
        <v>1075</v>
      </c>
      <c r="B320" s="1" t="s">
        <v>21</v>
      </c>
      <c r="C320" s="1" t="s">
        <v>1083</v>
      </c>
      <c r="D320" s="1" t="s">
        <v>1506</v>
      </c>
      <c r="E320" s="1" t="s">
        <v>1507</v>
      </c>
      <c r="F320" s="1" t="s">
        <v>808</v>
      </c>
      <c r="G320" s="2">
        <v>45200</v>
      </c>
      <c r="H320" s="3">
        <v>0.83263888888888893</v>
      </c>
      <c r="I320" s="1">
        <v>1.2419519999999999</v>
      </c>
      <c r="J320" s="1">
        <v>25.261382999999999</v>
      </c>
      <c r="K320">
        <v>27</v>
      </c>
    </row>
    <row r="321" spans="1:11" x14ac:dyDescent="0.25">
      <c r="A321" s="1" t="s">
        <v>1075</v>
      </c>
      <c r="B321" s="1" t="s">
        <v>21</v>
      </c>
      <c r="C321" s="1" t="s">
        <v>847</v>
      </c>
      <c r="D321" s="1" t="s">
        <v>1508</v>
      </c>
      <c r="E321" s="1" t="s">
        <v>1509</v>
      </c>
      <c r="F321" s="1" t="s">
        <v>808</v>
      </c>
      <c r="G321" s="2">
        <v>45221</v>
      </c>
      <c r="H321" s="3">
        <v>0.92847222222222214</v>
      </c>
      <c r="I321" s="1">
        <v>4.2493650000000001</v>
      </c>
      <c r="J321" s="1">
        <v>28.355039999999999</v>
      </c>
      <c r="K321">
        <v>21</v>
      </c>
    </row>
    <row r="322" spans="1:11" hidden="1" x14ac:dyDescent="0.25">
      <c r="A322" s="1" t="s">
        <v>1075</v>
      </c>
      <c r="B322" s="1" t="s">
        <v>1695</v>
      </c>
      <c r="C322" s="1" t="s">
        <v>1084</v>
      </c>
      <c r="D322" s="1" t="s">
        <v>1695</v>
      </c>
      <c r="E322" s="1" t="s">
        <v>1695</v>
      </c>
      <c r="F322" s="1" t="s">
        <v>811</v>
      </c>
      <c r="G322" s="2">
        <v>45200</v>
      </c>
      <c r="H322" s="3">
        <v>0.22013888888888888</v>
      </c>
      <c r="I322" s="1" t="s">
        <v>1695</v>
      </c>
      <c r="J322" s="1" t="s">
        <v>1695</v>
      </c>
      <c r="K322">
        <v>53</v>
      </c>
    </row>
    <row r="323" spans="1:11" x14ac:dyDescent="0.25">
      <c r="A323" s="1" t="s">
        <v>1075</v>
      </c>
      <c r="B323" s="1" t="s">
        <v>89</v>
      </c>
      <c r="C323" s="1" t="s">
        <v>1085</v>
      </c>
      <c r="D323" s="1" t="s">
        <v>1503</v>
      </c>
      <c r="E323" s="1" t="s">
        <v>1509</v>
      </c>
      <c r="F323" s="1" t="s">
        <v>808</v>
      </c>
      <c r="G323" s="2">
        <v>45222</v>
      </c>
      <c r="H323" s="3">
        <v>0.41527777777777786</v>
      </c>
      <c r="I323" s="1">
        <v>-4.8128659999999996</v>
      </c>
      <c r="J323" s="1">
        <v>18.559304999999998</v>
      </c>
      <c r="K323">
        <v>73</v>
      </c>
    </row>
    <row r="324" spans="1:11" x14ac:dyDescent="0.25">
      <c r="A324" s="1" t="s">
        <v>1075</v>
      </c>
      <c r="B324" s="1" t="s">
        <v>18</v>
      </c>
      <c r="C324" s="1" t="s">
        <v>996</v>
      </c>
      <c r="D324" s="1" t="s">
        <v>1506</v>
      </c>
      <c r="E324" s="1" t="s">
        <v>1507</v>
      </c>
      <c r="F324" s="1" t="s">
        <v>811</v>
      </c>
      <c r="G324" s="2">
        <v>45210</v>
      </c>
      <c r="H324" s="3">
        <v>0.45833333333333326</v>
      </c>
      <c r="I324" s="1">
        <v>-12.112682</v>
      </c>
      <c r="J324" s="1">
        <v>19.972052000000001</v>
      </c>
      <c r="K324">
        <v>95</v>
      </c>
    </row>
    <row r="325" spans="1:11" x14ac:dyDescent="0.25">
      <c r="A325" s="1" t="s">
        <v>1075</v>
      </c>
      <c r="B325" s="1" t="s">
        <v>35</v>
      </c>
      <c r="C325" s="1" t="s">
        <v>1086</v>
      </c>
      <c r="D325" s="1" t="s">
        <v>1508</v>
      </c>
      <c r="E325" s="1" t="s">
        <v>1509</v>
      </c>
      <c r="F325" s="1" t="s">
        <v>808</v>
      </c>
      <c r="G325" s="2">
        <v>45205</v>
      </c>
      <c r="H325" s="3">
        <v>0.19166666666666665</v>
      </c>
      <c r="I325" s="1">
        <v>-4.7886769999999999</v>
      </c>
      <c r="J325" s="1">
        <v>23.600221999999999</v>
      </c>
      <c r="K325">
        <v>34</v>
      </c>
    </row>
    <row r="326" spans="1:11" hidden="1" x14ac:dyDescent="0.25">
      <c r="A326" s="1" t="s">
        <v>1075</v>
      </c>
      <c r="B326" s="1" t="s">
        <v>1695</v>
      </c>
      <c r="C326" s="1" t="s">
        <v>1087</v>
      </c>
      <c r="D326" s="1" t="s">
        <v>1695</v>
      </c>
      <c r="E326" s="1" t="s">
        <v>1695</v>
      </c>
      <c r="F326" s="1" t="s">
        <v>808</v>
      </c>
      <c r="G326" s="2">
        <v>45221</v>
      </c>
      <c r="H326" s="3">
        <v>0.50277777777777777</v>
      </c>
      <c r="I326" s="1" t="s">
        <v>1695</v>
      </c>
      <c r="J326" s="1" t="s">
        <v>1695</v>
      </c>
      <c r="K326">
        <v>69</v>
      </c>
    </row>
    <row r="327" spans="1:11" x14ac:dyDescent="0.25">
      <c r="A327" s="1" t="s">
        <v>1075</v>
      </c>
      <c r="B327" s="1" t="s">
        <v>127</v>
      </c>
      <c r="C327" s="1" t="s">
        <v>1088</v>
      </c>
      <c r="D327" s="1" t="s">
        <v>1503</v>
      </c>
      <c r="E327" s="1" t="s">
        <v>1504</v>
      </c>
      <c r="F327" s="1" t="s">
        <v>811</v>
      </c>
      <c r="G327" s="2">
        <v>45204</v>
      </c>
      <c r="H327" s="3">
        <v>0.98611111111111116</v>
      </c>
      <c r="I327" s="1">
        <v>-4.869434</v>
      </c>
      <c r="J327" s="1">
        <v>22.326522000000001</v>
      </c>
      <c r="K327">
        <v>76</v>
      </c>
    </row>
    <row r="328" spans="1:11" hidden="1" x14ac:dyDescent="0.25">
      <c r="A328" s="1" t="s">
        <v>1075</v>
      </c>
      <c r="B328" s="1" t="s">
        <v>1695</v>
      </c>
      <c r="C328" s="1" t="s">
        <v>854</v>
      </c>
      <c r="D328" s="1" t="s">
        <v>1695</v>
      </c>
      <c r="E328" s="1" t="s">
        <v>1695</v>
      </c>
      <c r="F328" s="1" t="s">
        <v>813</v>
      </c>
      <c r="G328" s="2">
        <v>45200</v>
      </c>
      <c r="H328" s="3">
        <v>0.11597222222222214</v>
      </c>
      <c r="I328" s="1" t="s">
        <v>1695</v>
      </c>
      <c r="J328" s="1" t="s">
        <v>1695</v>
      </c>
      <c r="K328">
        <v>111</v>
      </c>
    </row>
    <row r="329" spans="1:11" x14ac:dyDescent="0.25">
      <c r="A329" s="1" t="s">
        <v>1075</v>
      </c>
      <c r="B329" s="1" t="s">
        <v>78</v>
      </c>
      <c r="C329" s="1" t="s">
        <v>966</v>
      </c>
      <c r="D329" s="1" t="s">
        <v>1503</v>
      </c>
      <c r="E329" s="1" t="s">
        <v>1504</v>
      </c>
      <c r="F329" s="1" t="s">
        <v>813</v>
      </c>
      <c r="G329" s="2">
        <v>45216</v>
      </c>
      <c r="H329" s="3">
        <v>0.26666666666666661</v>
      </c>
      <c r="I329" s="1">
        <v>-2.3743210000000001</v>
      </c>
      <c r="J329" s="1">
        <v>22.399491000000001</v>
      </c>
      <c r="K329">
        <v>90</v>
      </c>
    </row>
    <row r="330" spans="1:11" hidden="1" x14ac:dyDescent="0.25">
      <c r="A330" s="1" t="s">
        <v>1075</v>
      </c>
      <c r="B330" s="1" t="s">
        <v>1695</v>
      </c>
      <c r="C330" s="1" t="s">
        <v>1089</v>
      </c>
      <c r="D330" s="1" t="s">
        <v>1695</v>
      </c>
      <c r="E330" s="1" t="s">
        <v>1695</v>
      </c>
      <c r="F330" s="1" t="s">
        <v>811</v>
      </c>
      <c r="G330" s="2">
        <v>45213</v>
      </c>
      <c r="H330" s="3">
        <v>0.59791666666666665</v>
      </c>
      <c r="I330" s="1" t="s">
        <v>1695</v>
      </c>
      <c r="J330" s="1" t="s">
        <v>1695</v>
      </c>
      <c r="K330">
        <v>108</v>
      </c>
    </row>
    <row r="331" spans="1:11" x14ac:dyDescent="0.25">
      <c r="A331" s="1" t="s">
        <v>1075</v>
      </c>
      <c r="B331" s="1" t="s">
        <v>18</v>
      </c>
      <c r="C331" s="1" t="s">
        <v>1090</v>
      </c>
      <c r="D331" s="1" t="s">
        <v>1506</v>
      </c>
      <c r="E331" s="1" t="s">
        <v>1507</v>
      </c>
      <c r="F331" s="1" t="s">
        <v>811</v>
      </c>
      <c r="G331" s="2">
        <v>45205</v>
      </c>
      <c r="H331" s="3">
        <v>0.47152777777777777</v>
      </c>
      <c r="I331" s="1">
        <v>2.628638</v>
      </c>
      <c r="J331" s="1">
        <v>28.420582</v>
      </c>
      <c r="K331">
        <v>50</v>
      </c>
    </row>
    <row r="332" spans="1:11" x14ac:dyDescent="0.25">
      <c r="A332" s="1" t="s">
        <v>1075</v>
      </c>
      <c r="B332" s="1" t="s">
        <v>13</v>
      </c>
      <c r="C332" s="1" t="s">
        <v>1091</v>
      </c>
      <c r="D332" s="1" t="s">
        <v>1508</v>
      </c>
      <c r="E332" s="1" t="s">
        <v>1507</v>
      </c>
      <c r="F332" s="1" t="s">
        <v>813</v>
      </c>
      <c r="G332" s="2">
        <v>45223</v>
      </c>
      <c r="H332" s="3">
        <v>0.45069444444444451</v>
      </c>
      <c r="I332" s="1">
        <v>-2.571777</v>
      </c>
      <c r="J332" s="1">
        <v>12.120642</v>
      </c>
      <c r="K332">
        <v>14</v>
      </c>
    </row>
    <row r="333" spans="1:11" hidden="1" x14ac:dyDescent="0.25">
      <c r="A333" s="1" t="s">
        <v>1075</v>
      </c>
      <c r="B333" s="1" t="s">
        <v>1695</v>
      </c>
      <c r="C333" s="1" t="s">
        <v>1092</v>
      </c>
      <c r="D333" s="1" t="s">
        <v>1695</v>
      </c>
      <c r="E333" s="1" t="s">
        <v>1695</v>
      </c>
      <c r="F333" s="1" t="s">
        <v>811</v>
      </c>
      <c r="G333" s="2">
        <v>45230</v>
      </c>
      <c r="H333" s="3">
        <v>0.7763888888888888</v>
      </c>
      <c r="I333" s="1" t="s">
        <v>1695</v>
      </c>
      <c r="J333" s="1" t="s">
        <v>1695</v>
      </c>
      <c r="K333">
        <v>55</v>
      </c>
    </row>
    <row r="334" spans="1:11" x14ac:dyDescent="0.25">
      <c r="A334" s="1" t="s">
        <v>1075</v>
      </c>
      <c r="B334" s="1" t="s">
        <v>13</v>
      </c>
      <c r="C334" s="1" t="s">
        <v>1093</v>
      </c>
      <c r="D334" s="1" t="s">
        <v>1506</v>
      </c>
      <c r="E334" s="1" t="s">
        <v>1509</v>
      </c>
      <c r="F334" s="1" t="s">
        <v>811</v>
      </c>
      <c r="G334" s="2">
        <v>45202</v>
      </c>
      <c r="H334" s="3">
        <v>4.7916666666666607E-2</v>
      </c>
      <c r="I334" s="1">
        <v>-10.577049000000001</v>
      </c>
      <c r="J334" s="1">
        <v>23.721854</v>
      </c>
      <c r="K334">
        <v>115</v>
      </c>
    </row>
    <row r="335" spans="1:11" hidden="1" x14ac:dyDescent="0.25">
      <c r="A335" s="1" t="s">
        <v>1075</v>
      </c>
      <c r="B335" s="1" t="s">
        <v>1695</v>
      </c>
      <c r="C335" s="1" t="s">
        <v>1094</v>
      </c>
      <c r="D335" s="1" t="s">
        <v>1695</v>
      </c>
      <c r="E335" s="1" t="s">
        <v>1695</v>
      </c>
      <c r="F335" s="1" t="s">
        <v>811</v>
      </c>
      <c r="G335" s="2">
        <v>45205</v>
      </c>
      <c r="H335" s="3">
        <v>0.79374999999999996</v>
      </c>
      <c r="I335" s="1" t="s">
        <v>1695</v>
      </c>
      <c r="J335" s="1" t="s">
        <v>1695</v>
      </c>
      <c r="K335">
        <v>99</v>
      </c>
    </row>
    <row r="336" spans="1:11" hidden="1" x14ac:dyDescent="0.25">
      <c r="A336" s="1" t="s">
        <v>1075</v>
      </c>
      <c r="B336" s="1" t="s">
        <v>1695</v>
      </c>
      <c r="C336" s="1" t="s">
        <v>823</v>
      </c>
      <c r="D336" s="1" t="s">
        <v>1695</v>
      </c>
      <c r="E336" s="1" t="s">
        <v>1695</v>
      </c>
      <c r="F336" s="1" t="s">
        <v>811</v>
      </c>
      <c r="G336" s="2">
        <v>45221</v>
      </c>
      <c r="H336" s="3">
        <v>9.5138888888888884E-2</v>
      </c>
      <c r="I336" s="1" t="s">
        <v>1695</v>
      </c>
      <c r="J336" s="1" t="s">
        <v>1695</v>
      </c>
      <c r="K336">
        <v>10</v>
      </c>
    </row>
    <row r="337" spans="1:11" hidden="1" x14ac:dyDescent="0.25">
      <c r="A337" s="1" t="s">
        <v>1075</v>
      </c>
      <c r="B337" s="1" t="s">
        <v>1695</v>
      </c>
      <c r="C337" s="1" t="s">
        <v>1095</v>
      </c>
      <c r="D337" s="1" t="s">
        <v>1695</v>
      </c>
      <c r="E337" s="1" t="s">
        <v>1695</v>
      </c>
      <c r="F337" s="1" t="s">
        <v>811</v>
      </c>
      <c r="G337" s="2">
        <v>45214</v>
      </c>
      <c r="H337" s="3">
        <v>0.89375000000000004</v>
      </c>
      <c r="I337" s="1" t="s">
        <v>1695</v>
      </c>
      <c r="J337" s="1" t="s">
        <v>1695</v>
      </c>
      <c r="K337">
        <v>60</v>
      </c>
    </row>
    <row r="338" spans="1:11" hidden="1" x14ac:dyDescent="0.25">
      <c r="A338" s="1" t="s">
        <v>1075</v>
      </c>
      <c r="B338" s="1" t="s">
        <v>1695</v>
      </c>
      <c r="C338" s="1" t="s">
        <v>975</v>
      </c>
      <c r="D338" s="1" t="s">
        <v>1695</v>
      </c>
      <c r="E338" s="1" t="s">
        <v>1695</v>
      </c>
      <c r="F338" s="1" t="s">
        <v>813</v>
      </c>
      <c r="G338" s="2">
        <v>45215</v>
      </c>
      <c r="H338" s="3">
        <v>0.81111111111111112</v>
      </c>
      <c r="I338" s="1" t="s">
        <v>1695</v>
      </c>
      <c r="J338" s="1" t="s">
        <v>1695</v>
      </c>
      <c r="K338">
        <v>7</v>
      </c>
    </row>
    <row r="339" spans="1:11" x14ac:dyDescent="0.25">
      <c r="A339" s="1" t="s">
        <v>1075</v>
      </c>
      <c r="B339" s="1" t="s">
        <v>21</v>
      </c>
      <c r="C339" s="1" t="s">
        <v>1096</v>
      </c>
      <c r="D339" s="1" t="s">
        <v>1503</v>
      </c>
      <c r="E339" s="1" t="s">
        <v>1516</v>
      </c>
      <c r="F339" s="1" t="s">
        <v>811</v>
      </c>
      <c r="G339" s="2">
        <v>45213</v>
      </c>
      <c r="H339" s="3">
        <v>0.34236111111111112</v>
      </c>
      <c r="I339" s="1">
        <v>0.31740800000000002</v>
      </c>
      <c r="J339" s="1">
        <v>27.197666999999999</v>
      </c>
      <c r="K339">
        <v>63</v>
      </c>
    </row>
    <row r="340" spans="1:11" hidden="1" x14ac:dyDescent="0.25">
      <c r="A340" s="1" t="s">
        <v>1075</v>
      </c>
      <c r="B340" s="1" t="s">
        <v>1695</v>
      </c>
      <c r="C340" s="1" t="s">
        <v>963</v>
      </c>
      <c r="D340" s="1" t="s">
        <v>1695</v>
      </c>
      <c r="E340" s="1" t="s">
        <v>1695</v>
      </c>
      <c r="F340" s="1" t="s">
        <v>813</v>
      </c>
      <c r="G340" s="2">
        <v>45224</v>
      </c>
      <c r="H340" s="3">
        <v>0.67152777777777772</v>
      </c>
      <c r="I340" s="1" t="s">
        <v>1695</v>
      </c>
      <c r="J340" s="1" t="s">
        <v>1695</v>
      </c>
      <c r="K340">
        <v>14</v>
      </c>
    </row>
    <row r="341" spans="1:11" hidden="1" x14ac:dyDescent="0.25">
      <c r="A341" s="1" t="s">
        <v>1075</v>
      </c>
      <c r="B341" s="1" t="s">
        <v>1695</v>
      </c>
      <c r="C341" s="1" t="s">
        <v>870</v>
      </c>
      <c r="D341" s="1" t="s">
        <v>1695</v>
      </c>
      <c r="E341" s="1" t="s">
        <v>1695</v>
      </c>
      <c r="F341" s="1" t="s">
        <v>808</v>
      </c>
      <c r="G341" s="2">
        <v>45211</v>
      </c>
      <c r="H341" s="3">
        <v>0.54652777777777772</v>
      </c>
      <c r="I341" s="1" t="s">
        <v>1695</v>
      </c>
      <c r="J341" s="1" t="s">
        <v>1695</v>
      </c>
      <c r="K341">
        <v>115</v>
      </c>
    </row>
    <row r="342" spans="1:11" hidden="1" x14ac:dyDescent="0.25">
      <c r="A342" s="1" t="s">
        <v>1075</v>
      </c>
      <c r="B342" s="1" t="s">
        <v>1695</v>
      </c>
      <c r="C342" s="1" t="s">
        <v>834</v>
      </c>
      <c r="D342" s="1" t="s">
        <v>1695</v>
      </c>
      <c r="E342" s="1" t="s">
        <v>1695</v>
      </c>
      <c r="F342" s="1" t="s">
        <v>813</v>
      </c>
      <c r="G342" s="2">
        <v>45209</v>
      </c>
      <c r="H342" s="3">
        <v>0.90486111111111112</v>
      </c>
      <c r="I342" s="1" t="s">
        <v>1695</v>
      </c>
      <c r="J342" s="1" t="s">
        <v>1695</v>
      </c>
      <c r="K342">
        <v>45</v>
      </c>
    </row>
    <row r="343" spans="1:11" hidden="1" x14ac:dyDescent="0.25">
      <c r="A343" s="1" t="s">
        <v>1075</v>
      </c>
      <c r="B343" s="1" t="s">
        <v>1695</v>
      </c>
      <c r="C343" s="1" t="s">
        <v>1097</v>
      </c>
      <c r="D343" s="1" t="s">
        <v>1695</v>
      </c>
      <c r="E343" s="1" t="s">
        <v>1695</v>
      </c>
      <c r="F343" s="1" t="s">
        <v>808</v>
      </c>
      <c r="G343" s="2">
        <v>45218</v>
      </c>
      <c r="H343" s="3">
        <v>0.6479166666666667</v>
      </c>
      <c r="I343" s="1" t="s">
        <v>1695</v>
      </c>
      <c r="J343" s="1" t="s">
        <v>1695</v>
      </c>
      <c r="K343">
        <v>78</v>
      </c>
    </row>
    <row r="344" spans="1:11" x14ac:dyDescent="0.25">
      <c r="A344" s="1" t="s">
        <v>1075</v>
      </c>
      <c r="B344" s="1" t="s">
        <v>78</v>
      </c>
      <c r="C344" s="1" t="s">
        <v>1098</v>
      </c>
      <c r="D344" s="1" t="s">
        <v>1503</v>
      </c>
      <c r="E344" s="1" t="s">
        <v>1504</v>
      </c>
      <c r="F344" s="1" t="s">
        <v>813</v>
      </c>
      <c r="G344" s="2">
        <v>45221</v>
      </c>
      <c r="H344" s="3">
        <v>0.37638888888888888</v>
      </c>
      <c r="I344" s="1">
        <v>-8.4824669999999998</v>
      </c>
      <c r="J344" s="1">
        <v>21.897777999999999</v>
      </c>
      <c r="K344">
        <v>59</v>
      </c>
    </row>
    <row r="345" spans="1:11" x14ac:dyDescent="0.25">
      <c r="A345" s="1" t="s">
        <v>1075</v>
      </c>
      <c r="B345" s="1" t="s">
        <v>24</v>
      </c>
      <c r="C345" s="1" t="s">
        <v>1099</v>
      </c>
      <c r="D345" s="1" t="s">
        <v>1508</v>
      </c>
      <c r="E345" s="1" t="s">
        <v>1504</v>
      </c>
      <c r="F345" s="1" t="s">
        <v>813</v>
      </c>
      <c r="G345" s="2">
        <v>45207</v>
      </c>
      <c r="H345" s="3">
        <v>0.5263888888888888</v>
      </c>
      <c r="I345" s="1">
        <v>-9.4229749999999992</v>
      </c>
      <c r="J345" s="1">
        <v>29.375005999999999</v>
      </c>
      <c r="K345">
        <v>78</v>
      </c>
    </row>
    <row r="346" spans="1:11" x14ac:dyDescent="0.25">
      <c r="A346" s="1" t="s">
        <v>1075</v>
      </c>
      <c r="B346" s="1" t="s">
        <v>89</v>
      </c>
      <c r="C346" s="1" t="s">
        <v>1066</v>
      </c>
      <c r="D346" s="1" t="s">
        <v>1508</v>
      </c>
      <c r="E346" s="1" t="s">
        <v>1509</v>
      </c>
      <c r="F346" s="1" t="s">
        <v>811</v>
      </c>
      <c r="G346" s="2">
        <v>45201</v>
      </c>
      <c r="H346" s="3">
        <v>9.0277777777778567E-3</v>
      </c>
      <c r="I346" s="1">
        <v>-7.7839049999999999</v>
      </c>
      <c r="J346" s="1">
        <v>14.114281999999999</v>
      </c>
      <c r="K346">
        <v>56</v>
      </c>
    </row>
    <row r="347" spans="1:11" x14ac:dyDescent="0.25">
      <c r="A347" s="1" t="s">
        <v>1100</v>
      </c>
      <c r="B347" s="1" t="s">
        <v>24</v>
      </c>
      <c r="C347" s="1" t="s">
        <v>1101</v>
      </c>
      <c r="D347" s="1" t="s">
        <v>1508</v>
      </c>
      <c r="E347" s="1" t="s">
        <v>1509</v>
      </c>
      <c r="F347" s="1" t="s">
        <v>808</v>
      </c>
      <c r="G347" s="2">
        <v>45201</v>
      </c>
      <c r="H347" s="3">
        <v>5.7638888888888795E-2</v>
      </c>
      <c r="I347" s="1">
        <v>-11.594525000000001</v>
      </c>
      <c r="J347" s="1">
        <v>29.744895</v>
      </c>
      <c r="K347">
        <v>103</v>
      </c>
    </row>
    <row r="348" spans="1:11" x14ac:dyDescent="0.25">
      <c r="A348" s="1" t="s">
        <v>1100</v>
      </c>
      <c r="B348" s="1" t="s">
        <v>16</v>
      </c>
      <c r="C348" s="1" t="s">
        <v>1102</v>
      </c>
      <c r="D348" s="1" t="s">
        <v>1503</v>
      </c>
      <c r="E348" s="1" t="s">
        <v>1516</v>
      </c>
      <c r="F348" s="1" t="s">
        <v>813</v>
      </c>
      <c r="G348" s="2">
        <v>45226</v>
      </c>
      <c r="H348" s="3">
        <v>0.37777777777777777</v>
      </c>
      <c r="I348" s="1">
        <v>4.6809229999999999</v>
      </c>
      <c r="J348" s="1">
        <v>28.934242000000001</v>
      </c>
      <c r="K348">
        <v>74</v>
      </c>
    </row>
    <row r="349" spans="1:11" x14ac:dyDescent="0.25">
      <c r="A349" s="1" t="s">
        <v>1100</v>
      </c>
      <c r="B349" s="1" t="s">
        <v>10</v>
      </c>
      <c r="C349" s="1" t="s">
        <v>1103</v>
      </c>
      <c r="D349" s="1" t="s">
        <v>1508</v>
      </c>
      <c r="E349" s="1" t="s">
        <v>1516</v>
      </c>
      <c r="F349" s="1" t="s">
        <v>813</v>
      </c>
      <c r="G349" s="2">
        <v>45220</v>
      </c>
      <c r="H349" s="3">
        <v>0.11041666666666661</v>
      </c>
      <c r="I349" s="1">
        <v>-4.1250960000000001</v>
      </c>
      <c r="J349" s="1">
        <v>27.799897999999999</v>
      </c>
      <c r="K349">
        <v>111</v>
      </c>
    </row>
    <row r="350" spans="1:11" x14ac:dyDescent="0.25">
      <c r="A350" s="1" t="s">
        <v>1100</v>
      </c>
      <c r="B350" s="1" t="s">
        <v>62</v>
      </c>
      <c r="C350" s="1" t="s">
        <v>1104</v>
      </c>
      <c r="D350" s="1" t="s">
        <v>1503</v>
      </c>
      <c r="E350" s="1" t="s">
        <v>1516</v>
      </c>
      <c r="F350" s="1" t="s">
        <v>811</v>
      </c>
      <c r="G350" s="2">
        <v>45219</v>
      </c>
      <c r="H350" s="3">
        <v>0.68333333333333335</v>
      </c>
      <c r="I350" s="1">
        <v>-9.5840350000000001</v>
      </c>
      <c r="J350" s="1">
        <v>15.966024000000001</v>
      </c>
      <c r="K350">
        <v>99</v>
      </c>
    </row>
    <row r="351" spans="1:11" x14ac:dyDescent="0.25">
      <c r="A351" s="1" t="s">
        <v>1100</v>
      </c>
      <c r="B351" s="1" t="s">
        <v>31</v>
      </c>
      <c r="C351" s="1" t="s">
        <v>886</v>
      </c>
      <c r="D351" s="1" t="s">
        <v>1506</v>
      </c>
      <c r="E351" s="1" t="s">
        <v>1507</v>
      </c>
      <c r="F351" s="1" t="s">
        <v>808</v>
      </c>
      <c r="G351" s="2">
        <v>45214</v>
      </c>
      <c r="H351" s="3">
        <v>0.77430555555555558</v>
      </c>
      <c r="I351" s="1">
        <v>-10.914952</v>
      </c>
      <c r="J351" s="1">
        <v>26.409648000000001</v>
      </c>
      <c r="K351">
        <v>118</v>
      </c>
    </row>
    <row r="352" spans="1:11" x14ac:dyDescent="0.25">
      <c r="A352" s="1" t="s">
        <v>1100</v>
      </c>
      <c r="B352" s="1" t="s">
        <v>10</v>
      </c>
      <c r="C352" s="1" t="s">
        <v>1105</v>
      </c>
      <c r="D352" s="1" t="s">
        <v>1503</v>
      </c>
      <c r="E352" s="1" t="s">
        <v>1507</v>
      </c>
      <c r="F352" s="1" t="s">
        <v>813</v>
      </c>
      <c r="G352" s="2">
        <v>45230</v>
      </c>
      <c r="H352" s="3">
        <v>0.99791666666666656</v>
      </c>
      <c r="I352" s="1">
        <v>-1.9120569999999999</v>
      </c>
      <c r="J352" s="1">
        <v>15.236072999999999</v>
      </c>
      <c r="K352">
        <v>72</v>
      </c>
    </row>
    <row r="353" spans="1:11" hidden="1" x14ac:dyDescent="0.25">
      <c r="A353" s="1" t="s">
        <v>1100</v>
      </c>
      <c r="B353" s="1" t="s">
        <v>1695</v>
      </c>
      <c r="C353" s="1" t="s">
        <v>1106</v>
      </c>
      <c r="D353" s="1" t="s">
        <v>1695</v>
      </c>
      <c r="E353" s="1" t="s">
        <v>1695</v>
      </c>
      <c r="F353" s="1" t="s">
        <v>808</v>
      </c>
      <c r="G353" s="2">
        <v>45201</v>
      </c>
      <c r="H353" s="3">
        <v>0.62361111111111112</v>
      </c>
      <c r="I353" s="1" t="s">
        <v>1695</v>
      </c>
      <c r="J353" s="1" t="s">
        <v>1695</v>
      </c>
      <c r="K353">
        <v>9</v>
      </c>
    </row>
    <row r="354" spans="1:11" hidden="1" x14ac:dyDescent="0.25">
      <c r="A354" s="1" t="s">
        <v>1100</v>
      </c>
      <c r="B354" s="1" t="s">
        <v>1695</v>
      </c>
      <c r="C354" s="1" t="s">
        <v>1107</v>
      </c>
      <c r="D354" s="1" t="s">
        <v>1695</v>
      </c>
      <c r="E354" s="1" t="s">
        <v>1695</v>
      </c>
      <c r="F354" s="1" t="s">
        <v>808</v>
      </c>
      <c r="G354" s="2">
        <v>45225</v>
      </c>
      <c r="H354" s="3">
        <v>0.77847222222222223</v>
      </c>
      <c r="I354" s="1" t="s">
        <v>1695</v>
      </c>
      <c r="J354" s="1" t="s">
        <v>1695</v>
      </c>
      <c r="K354">
        <v>89</v>
      </c>
    </row>
    <row r="355" spans="1:11" x14ac:dyDescent="0.25">
      <c r="A355" s="1" t="s">
        <v>1100</v>
      </c>
      <c r="B355" s="1" t="s">
        <v>18</v>
      </c>
      <c r="C355" s="1" t="s">
        <v>1108</v>
      </c>
      <c r="D355" s="1" t="s">
        <v>1506</v>
      </c>
      <c r="E355" s="1" t="s">
        <v>1507</v>
      </c>
      <c r="F355" s="1" t="s">
        <v>813</v>
      </c>
      <c r="G355" s="2">
        <v>45206</v>
      </c>
      <c r="H355" s="3">
        <v>0.44305555555555554</v>
      </c>
      <c r="I355" s="1">
        <v>0.16327700000000001</v>
      </c>
      <c r="J355" s="1">
        <v>14.871577</v>
      </c>
      <c r="K355">
        <v>48</v>
      </c>
    </row>
    <row r="356" spans="1:11" x14ac:dyDescent="0.25">
      <c r="A356" s="1" t="s">
        <v>1100</v>
      </c>
      <c r="B356" s="1" t="s">
        <v>131</v>
      </c>
      <c r="C356" s="1" t="s">
        <v>853</v>
      </c>
      <c r="D356" s="1" t="s">
        <v>1508</v>
      </c>
      <c r="E356" s="1" t="s">
        <v>1507</v>
      </c>
      <c r="F356" s="1" t="s">
        <v>813</v>
      </c>
      <c r="G356" s="2">
        <v>45215</v>
      </c>
      <c r="H356" s="3">
        <v>0.67291666666666661</v>
      </c>
      <c r="I356" s="1">
        <v>-11.866133</v>
      </c>
      <c r="J356" s="1">
        <v>27.068932</v>
      </c>
      <c r="K356">
        <v>117</v>
      </c>
    </row>
    <row r="357" spans="1:11" hidden="1" x14ac:dyDescent="0.25">
      <c r="A357" s="1" t="s">
        <v>1100</v>
      </c>
      <c r="B357" s="1" t="s">
        <v>1695</v>
      </c>
      <c r="C357" s="1" t="s">
        <v>1109</v>
      </c>
      <c r="D357" s="1" t="s">
        <v>1695</v>
      </c>
      <c r="E357" s="1" t="s">
        <v>1695</v>
      </c>
      <c r="F357" s="1" t="s">
        <v>808</v>
      </c>
      <c r="G357" s="2">
        <v>45230</v>
      </c>
      <c r="H357" s="3">
        <v>6.1111111111111116E-2</v>
      </c>
      <c r="I357" s="1" t="s">
        <v>1695</v>
      </c>
      <c r="J357" s="1" t="s">
        <v>1695</v>
      </c>
      <c r="K357">
        <v>103</v>
      </c>
    </row>
    <row r="358" spans="1:11" hidden="1" x14ac:dyDescent="0.25">
      <c r="A358" s="1" t="s">
        <v>1100</v>
      </c>
      <c r="B358" s="1" t="s">
        <v>1695</v>
      </c>
      <c r="C358" s="1" t="s">
        <v>1027</v>
      </c>
      <c r="D358" s="1" t="s">
        <v>1695</v>
      </c>
      <c r="E358" s="1" t="s">
        <v>1695</v>
      </c>
      <c r="F358" s="1" t="s">
        <v>813</v>
      </c>
      <c r="G358" s="2">
        <v>45203</v>
      </c>
      <c r="H358" s="3">
        <v>0.44791666666666674</v>
      </c>
      <c r="I358" s="1" t="s">
        <v>1695</v>
      </c>
      <c r="J358" s="1" t="s">
        <v>1695</v>
      </c>
      <c r="K358">
        <v>84</v>
      </c>
    </row>
    <row r="359" spans="1:11" hidden="1" x14ac:dyDescent="0.25">
      <c r="A359" s="1" t="s">
        <v>1100</v>
      </c>
      <c r="B359" s="1" t="s">
        <v>1695</v>
      </c>
      <c r="C359" s="1" t="s">
        <v>1110</v>
      </c>
      <c r="D359" s="1" t="s">
        <v>1695</v>
      </c>
      <c r="E359" s="1" t="s">
        <v>1695</v>
      </c>
      <c r="F359" s="1" t="s">
        <v>808</v>
      </c>
      <c r="G359" s="2">
        <v>45202</v>
      </c>
      <c r="H359" s="3">
        <v>0.69513888888888897</v>
      </c>
      <c r="I359" s="1" t="s">
        <v>1695</v>
      </c>
      <c r="J359" s="1" t="s">
        <v>1695</v>
      </c>
      <c r="K359">
        <v>21</v>
      </c>
    </row>
    <row r="360" spans="1:11" x14ac:dyDescent="0.25">
      <c r="A360" s="1" t="s">
        <v>1100</v>
      </c>
      <c r="B360" s="1" t="s">
        <v>29</v>
      </c>
      <c r="C360" s="1" t="s">
        <v>1111</v>
      </c>
      <c r="D360" s="1" t="s">
        <v>1506</v>
      </c>
      <c r="E360" s="1" t="s">
        <v>1509</v>
      </c>
      <c r="F360" s="1" t="s">
        <v>813</v>
      </c>
      <c r="G360" s="2">
        <v>45205</v>
      </c>
      <c r="H360" s="3">
        <v>5.2083333333333259E-2</v>
      </c>
      <c r="I360" s="1">
        <v>1.5802860000000001</v>
      </c>
      <c r="J360" s="1">
        <v>20.99053</v>
      </c>
      <c r="K360">
        <v>81</v>
      </c>
    </row>
    <row r="361" spans="1:11" hidden="1" x14ac:dyDescent="0.25">
      <c r="A361" s="1" t="s">
        <v>1100</v>
      </c>
      <c r="B361" s="1" t="s">
        <v>1695</v>
      </c>
      <c r="C361" s="1" t="s">
        <v>1112</v>
      </c>
      <c r="D361" s="1" t="s">
        <v>1695</v>
      </c>
      <c r="E361" s="1" t="s">
        <v>1695</v>
      </c>
      <c r="F361" s="1" t="s">
        <v>811</v>
      </c>
      <c r="G361" s="2">
        <v>45222</v>
      </c>
      <c r="H361" s="3">
        <v>0.60277777777777786</v>
      </c>
      <c r="I361" s="1" t="s">
        <v>1695</v>
      </c>
      <c r="J361" s="1" t="s">
        <v>1695</v>
      </c>
      <c r="K361">
        <v>53</v>
      </c>
    </row>
    <row r="362" spans="1:11" x14ac:dyDescent="0.25">
      <c r="A362" s="1" t="s">
        <v>1100</v>
      </c>
      <c r="B362" s="1" t="s">
        <v>127</v>
      </c>
      <c r="C362" s="1" t="s">
        <v>927</v>
      </c>
      <c r="D362" s="1" t="s">
        <v>1506</v>
      </c>
      <c r="E362" s="1" t="s">
        <v>1507</v>
      </c>
      <c r="F362" s="1" t="s">
        <v>813</v>
      </c>
      <c r="G362" s="2">
        <v>45216</v>
      </c>
      <c r="H362" s="3">
        <v>0.69375000000000009</v>
      </c>
      <c r="I362" s="1">
        <v>-12.100756000000001</v>
      </c>
      <c r="J362" s="1">
        <v>21.938649999999999</v>
      </c>
      <c r="K362">
        <v>24</v>
      </c>
    </row>
    <row r="363" spans="1:11" x14ac:dyDescent="0.25">
      <c r="A363" s="1" t="s">
        <v>1100</v>
      </c>
      <c r="B363" s="1" t="s">
        <v>127</v>
      </c>
      <c r="C363" s="1" t="s">
        <v>1113</v>
      </c>
      <c r="D363" s="1" t="s">
        <v>1503</v>
      </c>
      <c r="E363" s="1" t="s">
        <v>1507</v>
      </c>
      <c r="F363" s="1" t="s">
        <v>808</v>
      </c>
      <c r="G363" s="2">
        <v>45205</v>
      </c>
      <c r="H363" s="3">
        <v>0.47430555555555554</v>
      </c>
      <c r="I363" s="1">
        <v>-1.013558</v>
      </c>
      <c r="J363" s="1">
        <v>17.346937</v>
      </c>
      <c r="K363">
        <v>25</v>
      </c>
    </row>
    <row r="364" spans="1:11" x14ac:dyDescent="0.25">
      <c r="A364" s="1" t="s">
        <v>1100</v>
      </c>
      <c r="B364" s="1" t="s">
        <v>137</v>
      </c>
      <c r="C364" s="1" t="s">
        <v>1114</v>
      </c>
      <c r="D364" s="1" t="s">
        <v>1506</v>
      </c>
      <c r="E364" s="1" t="s">
        <v>1504</v>
      </c>
      <c r="F364" s="1" t="s">
        <v>813</v>
      </c>
      <c r="G364" s="2">
        <v>45229</v>
      </c>
      <c r="H364" s="3">
        <v>0.39166666666666661</v>
      </c>
      <c r="I364" s="1">
        <v>-10.967288</v>
      </c>
      <c r="J364" s="1">
        <v>17.617781000000001</v>
      </c>
      <c r="K364">
        <v>28</v>
      </c>
    </row>
    <row r="365" spans="1:11" hidden="1" x14ac:dyDescent="0.25">
      <c r="A365" s="1" t="s">
        <v>1100</v>
      </c>
      <c r="B365" s="1" t="s">
        <v>1695</v>
      </c>
      <c r="C365" s="1" t="s">
        <v>1115</v>
      </c>
      <c r="D365" s="1" t="s">
        <v>1695</v>
      </c>
      <c r="E365" s="1" t="s">
        <v>1695</v>
      </c>
      <c r="F365" s="1" t="s">
        <v>808</v>
      </c>
      <c r="G365" s="2">
        <v>45213</v>
      </c>
      <c r="H365" s="3">
        <v>0.44652777777777786</v>
      </c>
      <c r="I365" s="1" t="s">
        <v>1695</v>
      </c>
      <c r="J365" s="1" t="s">
        <v>1695</v>
      </c>
      <c r="K365">
        <v>111</v>
      </c>
    </row>
    <row r="366" spans="1:11" hidden="1" x14ac:dyDescent="0.25">
      <c r="A366" s="1" t="s">
        <v>1100</v>
      </c>
      <c r="B366" s="1" t="s">
        <v>1695</v>
      </c>
      <c r="C366" s="1" t="s">
        <v>1116</v>
      </c>
      <c r="D366" s="1" t="s">
        <v>1695</v>
      </c>
      <c r="E366" s="1" t="s">
        <v>1695</v>
      </c>
      <c r="F366" s="1" t="s">
        <v>813</v>
      </c>
      <c r="G366" s="2">
        <v>45219</v>
      </c>
      <c r="H366" s="3">
        <v>7.638888888888884E-2</v>
      </c>
      <c r="I366" s="1" t="s">
        <v>1695</v>
      </c>
      <c r="J366" s="1" t="s">
        <v>1695</v>
      </c>
      <c r="K366">
        <v>93</v>
      </c>
    </row>
    <row r="367" spans="1:11" x14ac:dyDescent="0.25">
      <c r="A367" s="1" t="s">
        <v>1100</v>
      </c>
      <c r="B367" s="1" t="s">
        <v>62</v>
      </c>
      <c r="C367" s="1" t="s">
        <v>1079</v>
      </c>
      <c r="D367" s="1" t="s">
        <v>1506</v>
      </c>
      <c r="E367" s="1" t="s">
        <v>1516</v>
      </c>
      <c r="F367" s="1" t="s">
        <v>808</v>
      </c>
      <c r="G367" s="2">
        <v>45220</v>
      </c>
      <c r="H367" s="3">
        <v>0.84791666666666665</v>
      </c>
      <c r="I367" s="1">
        <v>-12.112399999999999</v>
      </c>
      <c r="J367" s="1">
        <v>15.872226</v>
      </c>
      <c r="K367">
        <v>103</v>
      </c>
    </row>
    <row r="368" spans="1:11" x14ac:dyDescent="0.25">
      <c r="A368" s="1" t="s">
        <v>1100</v>
      </c>
      <c r="B368" s="1" t="s">
        <v>31</v>
      </c>
      <c r="C368" s="1" t="s">
        <v>832</v>
      </c>
      <c r="D368" s="1" t="s">
        <v>1503</v>
      </c>
      <c r="E368" s="1" t="s">
        <v>1504</v>
      </c>
      <c r="F368" s="1" t="s">
        <v>808</v>
      </c>
      <c r="G368" s="2">
        <v>45202</v>
      </c>
      <c r="H368" s="3">
        <v>0.42083333333333339</v>
      </c>
      <c r="I368" s="1">
        <v>-10.56448</v>
      </c>
      <c r="J368" s="1">
        <v>19.792876</v>
      </c>
      <c r="K368">
        <v>84</v>
      </c>
    </row>
    <row r="369" spans="1:11" x14ac:dyDescent="0.25">
      <c r="A369" s="1" t="s">
        <v>1100</v>
      </c>
      <c r="B369" s="1" t="s">
        <v>16</v>
      </c>
      <c r="C369" s="1" t="s">
        <v>1117</v>
      </c>
      <c r="D369" s="1" t="s">
        <v>1503</v>
      </c>
      <c r="E369" s="1" t="s">
        <v>1507</v>
      </c>
      <c r="F369" s="1" t="s">
        <v>813</v>
      </c>
      <c r="G369" s="2">
        <v>45217</v>
      </c>
      <c r="H369" s="3">
        <v>0.89166666666666661</v>
      </c>
      <c r="I369" s="1">
        <v>-5.3762689999999997</v>
      </c>
      <c r="J369" s="1">
        <v>28.189575999999999</v>
      </c>
      <c r="K369">
        <v>108</v>
      </c>
    </row>
    <row r="370" spans="1:11" x14ac:dyDescent="0.25">
      <c r="A370" s="1" t="s">
        <v>1100</v>
      </c>
      <c r="B370" s="1" t="s">
        <v>35</v>
      </c>
      <c r="C370" s="1" t="s">
        <v>1118</v>
      </c>
      <c r="D370" s="1" t="s">
        <v>1506</v>
      </c>
      <c r="E370" s="1" t="s">
        <v>1509</v>
      </c>
      <c r="F370" s="1" t="s">
        <v>808</v>
      </c>
      <c r="G370" s="2">
        <v>45209</v>
      </c>
      <c r="H370" s="3">
        <v>0.36527777777777781</v>
      </c>
      <c r="I370" s="1">
        <v>-1.4110389999999999</v>
      </c>
      <c r="J370" s="1">
        <v>21.261644</v>
      </c>
      <c r="K370">
        <v>120</v>
      </c>
    </row>
    <row r="371" spans="1:11" x14ac:dyDescent="0.25">
      <c r="A371" s="1" t="s">
        <v>1100</v>
      </c>
      <c r="B371" s="1" t="s">
        <v>10</v>
      </c>
      <c r="C371" s="1" t="s">
        <v>1081</v>
      </c>
      <c r="D371" s="1" t="s">
        <v>1503</v>
      </c>
      <c r="E371" s="1" t="s">
        <v>1509</v>
      </c>
      <c r="F371" s="1" t="s">
        <v>811</v>
      </c>
      <c r="G371" s="2">
        <v>45227</v>
      </c>
      <c r="H371" s="3">
        <v>0.91527777777777786</v>
      </c>
      <c r="I371" s="1">
        <v>-3.7720639999999999</v>
      </c>
      <c r="J371" s="1">
        <v>16.006277999999998</v>
      </c>
      <c r="K371">
        <v>26</v>
      </c>
    </row>
    <row r="372" spans="1:11" x14ac:dyDescent="0.25">
      <c r="A372" s="1" t="s">
        <v>1100</v>
      </c>
      <c r="B372" s="1" t="s">
        <v>131</v>
      </c>
      <c r="C372" s="1" t="s">
        <v>1071</v>
      </c>
      <c r="D372" s="1" t="s">
        <v>1508</v>
      </c>
      <c r="E372" s="1" t="s">
        <v>1504</v>
      </c>
      <c r="F372" s="1" t="s">
        <v>811</v>
      </c>
      <c r="G372" s="2">
        <v>45219</v>
      </c>
      <c r="H372" s="3">
        <v>0.18124999999999991</v>
      </c>
      <c r="I372" s="1">
        <v>-4.1754939999999996</v>
      </c>
      <c r="J372" s="1">
        <v>16.704664999999999</v>
      </c>
      <c r="K372">
        <v>97</v>
      </c>
    </row>
    <row r="373" spans="1:11" x14ac:dyDescent="0.25">
      <c r="A373" s="1" t="s">
        <v>1100</v>
      </c>
      <c r="B373" s="1" t="s">
        <v>37</v>
      </c>
      <c r="C373" s="1" t="s">
        <v>1119</v>
      </c>
      <c r="D373" s="1" t="s">
        <v>1506</v>
      </c>
      <c r="E373" s="1" t="s">
        <v>1516</v>
      </c>
      <c r="F373" s="1" t="s">
        <v>813</v>
      </c>
      <c r="G373" s="2">
        <v>45202</v>
      </c>
      <c r="H373" s="3">
        <v>0.77916666666666656</v>
      </c>
      <c r="I373" s="1">
        <v>-12.229338</v>
      </c>
      <c r="J373" s="1">
        <v>29.587834999999998</v>
      </c>
      <c r="K373">
        <v>61</v>
      </c>
    </row>
    <row r="374" spans="1:11" x14ac:dyDescent="0.25">
      <c r="A374" s="1" t="s">
        <v>1100</v>
      </c>
      <c r="B374" s="1" t="s">
        <v>131</v>
      </c>
      <c r="C374" s="1" t="s">
        <v>1120</v>
      </c>
      <c r="D374" s="1" t="s">
        <v>1503</v>
      </c>
      <c r="E374" s="1" t="s">
        <v>1507</v>
      </c>
      <c r="F374" s="1" t="s">
        <v>808</v>
      </c>
      <c r="G374" s="2">
        <v>45204</v>
      </c>
      <c r="H374" s="3">
        <v>0.47152777777777777</v>
      </c>
      <c r="I374" s="1">
        <v>4.9455159999999996</v>
      </c>
      <c r="J374" s="1">
        <v>23.647746000000001</v>
      </c>
      <c r="K374">
        <v>10</v>
      </c>
    </row>
    <row r="375" spans="1:11" x14ac:dyDescent="0.25">
      <c r="A375" s="1" t="s">
        <v>1100</v>
      </c>
      <c r="B375" s="1" t="s">
        <v>21</v>
      </c>
      <c r="C375" s="1" t="s">
        <v>1121</v>
      </c>
      <c r="D375" s="1" t="s">
        <v>1508</v>
      </c>
      <c r="E375" s="1" t="s">
        <v>1516</v>
      </c>
      <c r="F375" s="1" t="s">
        <v>808</v>
      </c>
      <c r="G375" s="2">
        <v>45230</v>
      </c>
      <c r="H375" s="3">
        <v>0.86388888888888893</v>
      </c>
      <c r="I375" s="1">
        <v>-4.1694589999999998</v>
      </c>
      <c r="J375" s="1">
        <v>23.376487000000001</v>
      </c>
      <c r="K375">
        <v>57</v>
      </c>
    </row>
    <row r="376" spans="1:11" x14ac:dyDescent="0.25">
      <c r="A376" s="1" t="s">
        <v>1100</v>
      </c>
      <c r="B376" s="1" t="s">
        <v>16</v>
      </c>
      <c r="C376" s="1" t="s">
        <v>1122</v>
      </c>
      <c r="D376" s="1" t="s">
        <v>1508</v>
      </c>
      <c r="E376" s="1" t="s">
        <v>1504</v>
      </c>
      <c r="F376" s="1" t="s">
        <v>808</v>
      </c>
      <c r="G376" s="2">
        <v>45221</v>
      </c>
      <c r="H376" s="3">
        <v>0.50555555555555554</v>
      </c>
      <c r="I376" s="1">
        <v>-1.231033</v>
      </c>
      <c r="J376" s="1">
        <v>28.851388</v>
      </c>
      <c r="K376">
        <v>51</v>
      </c>
    </row>
    <row r="377" spans="1:11" hidden="1" x14ac:dyDescent="0.25">
      <c r="A377" s="1" t="s">
        <v>1100</v>
      </c>
      <c r="B377" s="1" t="s">
        <v>1695</v>
      </c>
      <c r="C377" s="1" t="s">
        <v>1123</v>
      </c>
      <c r="D377" s="1" t="s">
        <v>1695</v>
      </c>
      <c r="E377" s="1" t="s">
        <v>1695</v>
      </c>
      <c r="F377" s="1" t="s">
        <v>813</v>
      </c>
      <c r="G377" s="2">
        <v>45219</v>
      </c>
      <c r="H377" s="3">
        <v>0.92013888888888884</v>
      </c>
      <c r="I377" s="1" t="s">
        <v>1695</v>
      </c>
      <c r="J377" s="1" t="s">
        <v>1695</v>
      </c>
      <c r="K377">
        <v>91</v>
      </c>
    </row>
    <row r="378" spans="1:11" hidden="1" x14ac:dyDescent="0.25">
      <c r="A378" s="1" t="s">
        <v>1100</v>
      </c>
      <c r="B378" s="1" t="s">
        <v>1695</v>
      </c>
      <c r="C378" s="1" t="s">
        <v>1124</v>
      </c>
      <c r="D378" s="1" t="s">
        <v>1695</v>
      </c>
      <c r="E378" s="1" t="s">
        <v>1695</v>
      </c>
      <c r="F378" s="1" t="s">
        <v>813</v>
      </c>
      <c r="G378" s="2">
        <v>45209</v>
      </c>
      <c r="H378" s="3">
        <v>0.72500000000000009</v>
      </c>
      <c r="I378" s="1" t="s">
        <v>1695</v>
      </c>
      <c r="J378" s="1" t="s">
        <v>1695</v>
      </c>
      <c r="K378">
        <v>97</v>
      </c>
    </row>
    <row r="379" spans="1:11" hidden="1" x14ac:dyDescent="0.25">
      <c r="A379" s="1" t="s">
        <v>1100</v>
      </c>
      <c r="B379" s="1" t="s">
        <v>1695</v>
      </c>
      <c r="C379" s="1" t="s">
        <v>1125</v>
      </c>
      <c r="D379" s="1" t="s">
        <v>1695</v>
      </c>
      <c r="E379" s="1" t="s">
        <v>1695</v>
      </c>
      <c r="F379" s="1" t="s">
        <v>811</v>
      </c>
      <c r="G379" s="2">
        <v>45220</v>
      </c>
      <c r="H379" s="3">
        <v>0.45277777777777772</v>
      </c>
      <c r="I379" s="1" t="s">
        <v>1695</v>
      </c>
      <c r="J379" s="1" t="s">
        <v>1695</v>
      </c>
      <c r="K379">
        <v>35</v>
      </c>
    </row>
    <row r="380" spans="1:11" x14ac:dyDescent="0.25">
      <c r="A380" s="1" t="s">
        <v>1100</v>
      </c>
      <c r="B380" s="1" t="s">
        <v>26</v>
      </c>
      <c r="C380" s="1" t="s">
        <v>1126</v>
      </c>
      <c r="D380" s="1" t="s">
        <v>1503</v>
      </c>
      <c r="E380" s="1" t="s">
        <v>1504</v>
      </c>
      <c r="F380" s="1" t="s">
        <v>808</v>
      </c>
      <c r="G380" s="2">
        <v>45204</v>
      </c>
      <c r="H380" s="3">
        <v>0.90555555555555545</v>
      </c>
      <c r="I380" s="1">
        <v>4.497306</v>
      </c>
      <c r="J380" s="1">
        <v>12.857251</v>
      </c>
      <c r="K380">
        <v>61</v>
      </c>
    </row>
    <row r="381" spans="1:11" hidden="1" x14ac:dyDescent="0.25">
      <c r="A381" s="1" t="s">
        <v>1100</v>
      </c>
      <c r="B381" s="1" t="s">
        <v>1695</v>
      </c>
      <c r="C381" s="1" t="s">
        <v>1127</v>
      </c>
      <c r="D381" s="1" t="s">
        <v>1695</v>
      </c>
      <c r="E381" s="1" t="s">
        <v>1695</v>
      </c>
      <c r="F381" s="1" t="s">
        <v>811</v>
      </c>
      <c r="G381" s="2">
        <v>45226</v>
      </c>
      <c r="H381" s="3">
        <v>0.98819444444444438</v>
      </c>
      <c r="I381" s="1" t="s">
        <v>1695</v>
      </c>
      <c r="J381" s="1" t="s">
        <v>1695</v>
      </c>
      <c r="K381">
        <v>83</v>
      </c>
    </row>
    <row r="382" spans="1:11" x14ac:dyDescent="0.25">
      <c r="A382" s="1" t="s">
        <v>1100</v>
      </c>
      <c r="B382" s="1" t="s">
        <v>18</v>
      </c>
      <c r="C382" s="1" t="s">
        <v>1128</v>
      </c>
      <c r="D382" s="1" t="s">
        <v>1506</v>
      </c>
      <c r="E382" s="1" t="s">
        <v>1516</v>
      </c>
      <c r="F382" s="1" t="s">
        <v>813</v>
      </c>
      <c r="G382" s="2">
        <v>45229</v>
      </c>
      <c r="H382" s="3">
        <v>0.67013888888888884</v>
      </c>
      <c r="I382" s="1">
        <v>-7.1785899999999998</v>
      </c>
      <c r="J382" s="1">
        <v>24.4404</v>
      </c>
      <c r="K382">
        <v>41</v>
      </c>
    </row>
    <row r="383" spans="1:11" x14ac:dyDescent="0.25">
      <c r="A383" s="1" t="s">
        <v>1100</v>
      </c>
      <c r="B383" s="1" t="s">
        <v>26</v>
      </c>
      <c r="C383" s="1" t="s">
        <v>1129</v>
      </c>
      <c r="D383" s="1" t="s">
        <v>1506</v>
      </c>
      <c r="E383" s="1" t="s">
        <v>1507</v>
      </c>
      <c r="F383" s="1" t="s">
        <v>813</v>
      </c>
      <c r="G383" s="2">
        <v>45220</v>
      </c>
      <c r="H383" s="3">
        <v>0.89375000000000004</v>
      </c>
      <c r="I383" s="1">
        <v>-2.2876210000000001</v>
      </c>
      <c r="J383" s="1">
        <v>27.582545</v>
      </c>
      <c r="K383">
        <v>101</v>
      </c>
    </row>
    <row r="384" spans="1:11" hidden="1" x14ac:dyDescent="0.25">
      <c r="A384" s="1" t="s">
        <v>1100</v>
      </c>
      <c r="B384" s="1" t="s">
        <v>1695</v>
      </c>
      <c r="C384" s="1" t="s">
        <v>956</v>
      </c>
      <c r="D384" s="1" t="s">
        <v>1695</v>
      </c>
      <c r="E384" s="1" t="s">
        <v>1695</v>
      </c>
      <c r="F384" s="1" t="s">
        <v>811</v>
      </c>
      <c r="G384" s="2">
        <v>45216</v>
      </c>
      <c r="H384" s="3">
        <v>0.45902777777777781</v>
      </c>
      <c r="I384" s="1" t="s">
        <v>1695</v>
      </c>
      <c r="J384" s="1" t="s">
        <v>1695</v>
      </c>
      <c r="K384">
        <v>100</v>
      </c>
    </row>
    <row r="385" spans="1:11" hidden="1" x14ac:dyDescent="0.25">
      <c r="A385" s="1" t="s">
        <v>1100</v>
      </c>
      <c r="B385" s="1" t="s">
        <v>1695</v>
      </c>
      <c r="C385" s="1" t="s">
        <v>863</v>
      </c>
      <c r="D385" s="1" t="s">
        <v>1695</v>
      </c>
      <c r="E385" s="1" t="s">
        <v>1695</v>
      </c>
      <c r="F385" s="1" t="s">
        <v>808</v>
      </c>
      <c r="G385" s="2">
        <v>45211</v>
      </c>
      <c r="H385" s="3">
        <v>0.38263888888888897</v>
      </c>
      <c r="I385" s="1" t="s">
        <v>1695</v>
      </c>
      <c r="J385" s="1" t="s">
        <v>1695</v>
      </c>
      <c r="K385">
        <v>105</v>
      </c>
    </row>
    <row r="386" spans="1:11" x14ac:dyDescent="0.25">
      <c r="A386" s="1" t="s">
        <v>1100</v>
      </c>
      <c r="B386" s="1" t="s">
        <v>16</v>
      </c>
      <c r="C386" s="1" t="s">
        <v>1130</v>
      </c>
      <c r="D386" s="1" t="s">
        <v>1503</v>
      </c>
      <c r="E386" s="1" t="s">
        <v>1504</v>
      </c>
      <c r="F386" s="1" t="s">
        <v>808</v>
      </c>
      <c r="G386" s="2">
        <v>45230</v>
      </c>
      <c r="H386" s="3">
        <v>0.26458333333333339</v>
      </c>
      <c r="I386" s="1">
        <v>3.6344850000000002</v>
      </c>
      <c r="J386" s="1">
        <v>12.158348999999999</v>
      </c>
      <c r="K386">
        <v>62</v>
      </c>
    </row>
    <row r="387" spans="1:11" x14ac:dyDescent="0.25">
      <c r="A387" s="1" t="s">
        <v>1100</v>
      </c>
      <c r="B387" s="1" t="s">
        <v>57</v>
      </c>
      <c r="C387" s="1" t="s">
        <v>1131</v>
      </c>
      <c r="D387" s="1" t="s">
        <v>1503</v>
      </c>
      <c r="E387" s="1" t="s">
        <v>1509</v>
      </c>
      <c r="F387" s="1" t="s">
        <v>808</v>
      </c>
      <c r="G387" s="2">
        <v>45230</v>
      </c>
      <c r="H387" s="3">
        <v>0.6333333333333333</v>
      </c>
      <c r="I387" s="1">
        <v>2.486888</v>
      </c>
      <c r="J387" s="1">
        <v>23.798074</v>
      </c>
      <c r="K387">
        <v>34</v>
      </c>
    </row>
    <row r="388" spans="1:11" hidden="1" x14ac:dyDescent="0.25">
      <c r="A388" s="1" t="s">
        <v>1100</v>
      </c>
      <c r="B388" s="1" t="s">
        <v>1695</v>
      </c>
      <c r="C388" s="1" t="s">
        <v>1132</v>
      </c>
      <c r="D388" s="1" t="s">
        <v>1695</v>
      </c>
      <c r="E388" s="1" t="s">
        <v>1695</v>
      </c>
      <c r="F388" s="1" t="s">
        <v>813</v>
      </c>
      <c r="G388" s="2">
        <v>45207</v>
      </c>
      <c r="H388" s="3">
        <v>0.17291666666666661</v>
      </c>
      <c r="I388" s="1" t="s">
        <v>1695</v>
      </c>
      <c r="J388" s="1" t="s">
        <v>1695</v>
      </c>
      <c r="K388">
        <v>73</v>
      </c>
    </row>
    <row r="389" spans="1:11" x14ac:dyDescent="0.25">
      <c r="A389" s="1" t="s">
        <v>1100</v>
      </c>
      <c r="B389" s="1" t="s">
        <v>26</v>
      </c>
      <c r="C389" s="1" t="s">
        <v>1133</v>
      </c>
      <c r="D389" s="1" t="s">
        <v>1508</v>
      </c>
      <c r="E389" s="1" t="s">
        <v>1504</v>
      </c>
      <c r="F389" s="1" t="s">
        <v>808</v>
      </c>
      <c r="G389" s="2">
        <v>45202</v>
      </c>
      <c r="H389" s="3">
        <v>0.41250000000000009</v>
      </c>
      <c r="I389" s="1">
        <v>-6.4197189999999997</v>
      </c>
      <c r="J389" s="1">
        <v>22.287264</v>
      </c>
      <c r="K389">
        <v>35</v>
      </c>
    </row>
    <row r="390" spans="1:11" x14ac:dyDescent="0.25">
      <c r="A390" s="1" t="s">
        <v>1100</v>
      </c>
      <c r="B390" s="1" t="s">
        <v>21</v>
      </c>
      <c r="C390" s="1" t="s">
        <v>1134</v>
      </c>
      <c r="D390" s="1" t="s">
        <v>1508</v>
      </c>
      <c r="E390" s="1" t="s">
        <v>1504</v>
      </c>
      <c r="F390" s="1" t="s">
        <v>808</v>
      </c>
      <c r="G390" s="2">
        <v>45225</v>
      </c>
      <c r="H390" s="3">
        <v>0.14722222222222214</v>
      </c>
      <c r="I390" s="1">
        <v>4.2904629999999999</v>
      </c>
      <c r="J390" s="1">
        <v>26.354195000000001</v>
      </c>
      <c r="K390">
        <v>44</v>
      </c>
    </row>
    <row r="391" spans="1:11" hidden="1" x14ac:dyDescent="0.25">
      <c r="A391" s="1" t="s">
        <v>1135</v>
      </c>
      <c r="B391" s="1" t="s">
        <v>1695</v>
      </c>
      <c r="C391" s="1" t="s">
        <v>1057</v>
      </c>
      <c r="D391" s="1" t="s">
        <v>1695</v>
      </c>
      <c r="E391" s="1" t="s">
        <v>1695</v>
      </c>
      <c r="F391" s="1" t="s">
        <v>813</v>
      </c>
      <c r="G391" s="2">
        <v>45207</v>
      </c>
      <c r="H391" s="3">
        <v>0.3798611111111112</v>
      </c>
      <c r="I391" s="1" t="s">
        <v>1695</v>
      </c>
      <c r="J391" s="1" t="s">
        <v>1695</v>
      </c>
      <c r="K391">
        <v>118</v>
      </c>
    </row>
    <row r="392" spans="1:11" hidden="1" x14ac:dyDescent="0.25">
      <c r="A392" s="1" t="s">
        <v>1135</v>
      </c>
      <c r="B392" s="1" t="s">
        <v>1695</v>
      </c>
      <c r="C392" s="1" t="s">
        <v>1136</v>
      </c>
      <c r="D392" s="1" t="s">
        <v>1695</v>
      </c>
      <c r="E392" s="1" t="s">
        <v>1695</v>
      </c>
      <c r="F392" s="1" t="s">
        <v>813</v>
      </c>
      <c r="G392" s="2">
        <v>45201</v>
      </c>
      <c r="H392" s="3">
        <v>0.30972222222222223</v>
      </c>
      <c r="I392" s="1" t="s">
        <v>1695</v>
      </c>
      <c r="J392" s="1" t="s">
        <v>1695</v>
      </c>
      <c r="K392">
        <v>56</v>
      </c>
    </row>
    <row r="393" spans="1:11" x14ac:dyDescent="0.25">
      <c r="A393" s="1" t="s">
        <v>1135</v>
      </c>
      <c r="B393" s="1" t="s">
        <v>51</v>
      </c>
      <c r="C393" s="1" t="s">
        <v>1137</v>
      </c>
      <c r="D393" s="1" t="s">
        <v>1508</v>
      </c>
      <c r="E393" s="1" t="s">
        <v>1507</v>
      </c>
      <c r="F393" s="1" t="s">
        <v>813</v>
      </c>
      <c r="G393" s="2">
        <v>45220</v>
      </c>
      <c r="H393" s="3">
        <v>0.81180555555555545</v>
      </c>
      <c r="I393" s="1">
        <v>-0.98830399999999996</v>
      </c>
      <c r="J393" s="1">
        <v>28.099966999999999</v>
      </c>
      <c r="K393">
        <v>100</v>
      </c>
    </row>
    <row r="394" spans="1:11" x14ac:dyDescent="0.25">
      <c r="A394" s="1" t="s">
        <v>1135</v>
      </c>
      <c r="B394" s="1" t="s">
        <v>131</v>
      </c>
      <c r="C394" s="1" t="s">
        <v>1138</v>
      </c>
      <c r="D394" s="1" t="s">
        <v>1508</v>
      </c>
      <c r="E394" s="1" t="s">
        <v>1507</v>
      </c>
      <c r="F394" s="1" t="s">
        <v>811</v>
      </c>
      <c r="G394" s="2">
        <v>45202</v>
      </c>
      <c r="H394" s="3">
        <v>0.16180555555555554</v>
      </c>
      <c r="I394" s="1">
        <v>-6.5529849999999996</v>
      </c>
      <c r="J394" s="1">
        <v>21.990606</v>
      </c>
      <c r="K394">
        <v>61</v>
      </c>
    </row>
    <row r="395" spans="1:11" x14ac:dyDescent="0.25">
      <c r="A395" s="1" t="s">
        <v>1135</v>
      </c>
      <c r="B395" s="1" t="s">
        <v>21</v>
      </c>
      <c r="C395" s="1" t="s">
        <v>1139</v>
      </c>
      <c r="D395" s="1" t="s">
        <v>1503</v>
      </c>
      <c r="E395" s="1" t="s">
        <v>1504</v>
      </c>
      <c r="F395" s="1" t="s">
        <v>808</v>
      </c>
      <c r="G395" s="2">
        <v>45228</v>
      </c>
      <c r="H395" s="3">
        <v>0.6513888888888888</v>
      </c>
      <c r="I395" s="1">
        <v>2.453036</v>
      </c>
      <c r="J395" s="1">
        <v>20.555484</v>
      </c>
      <c r="K395">
        <v>119</v>
      </c>
    </row>
    <row r="396" spans="1:11" hidden="1" x14ac:dyDescent="0.25">
      <c r="A396" s="1" t="s">
        <v>1135</v>
      </c>
      <c r="B396" s="1" t="s">
        <v>1695</v>
      </c>
      <c r="C396" s="1" t="s">
        <v>989</v>
      </c>
      <c r="D396" s="1" t="s">
        <v>1695</v>
      </c>
      <c r="E396" s="1" t="s">
        <v>1695</v>
      </c>
      <c r="F396" s="1" t="s">
        <v>811</v>
      </c>
      <c r="G396" s="2">
        <v>45217</v>
      </c>
      <c r="H396" s="3">
        <v>2.7777777777777679E-2</v>
      </c>
      <c r="I396" s="1" t="s">
        <v>1695</v>
      </c>
      <c r="J396" s="1" t="s">
        <v>1695</v>
      </c>
      <c r="K396">
        <v>54</v>
      </c>
    </row>
    <row r="397" spans="1:11" x14ac:dyDescent="0.25">
      <c r="A397" s="1" t="s">
        <v>1135</v>
      </c>
      <c r="B397" s="1" t="s">
        <v>10</v>
      </c>
      <c r="C397" s="1" t="s">
        <v>1140</v>
      </c>
      <c r="D397" s="1" t="s">
        <v>1503</v>
      </c>
      <c r="E397" s="1" t="s">
        <v>1509</v>
      </c>
      <c r="F397" s="1" t="s">
        <v>808</v>
      </c>
      <c r="G397" s="2">
        <v>45216</v>
      </c>
      <c r="H397" s="3">
        <v>0.76041666666666674</v>
      </c>
      <c r="I397" s="1">
        <v>-11.002602</v>
      </c>
      <c r="J397" s="1">
        <v>23.918247999999998</v>
      </c>
      <c r="K397">
        <v>48</v>
      </c>
    </row>
    <row r="398" spans="1:11" x14ac:dyDescent="0.25">
      <c r="A398" s="1" t="s">
        <v>1135</v>
      </c>
      <c r="B398" s="1" t="s">
        <v>64</v>
      </c>
      <c r="C398" s="1" t="s">
        <v>1141</v>
      </c>
      <c r="D398" s="1" t="s">
        <v>1508</v>
      </c>
      <c r="E398" s="1" t="s">
        <v>1507</v>
      </c>
      <c r="F398" s="1" t="s">
        <v>811</v>
      </c>
      <c r="G398" s="2">
        <v>45222</v>
      </c>
      <c r="H398" s="3">
        <v>0.1791666666666667</v>
      </c>
      <c r="I398" s="1">
        <v>-0.90854400000000002</v>
      </c>
      <c r="J398" s="1">
        <v>17.154896999999998</v>
      </c>
      <c r="K398">
        <v>28</v>
      </c>
    </row>
    <row r="399" spans="1:11" x14ac:dyDescent="0.25">
      <c r="A399" s="1" t="s">
        <v>1135</v>
      </c>
      <c r="B399" s="1" t="s">
        <v>40</v>
      </c>
      <c r="C399" s="1" t="s">
        <v>1142</v>
      </c>
      <c r="D399" s="1" t="s">
        <v>1503</v>
      </c>
      <c r="E399" s="1" t="s">
        <v>1509</v>
      </c>
      <c r="F399" s="1" t="s">
        <v>813</v>
      </c>
      <c r="G399" s="2">
        <v>45213</v>
      </c>
      <c r="H399" s="3">
        <v>2.7083333333333348E-2</v>
      </c>
      <c r="I399" s="1">
        <v>-8.1210620000000002</v>
      </c>
      <c r="J399" s="1">
        <v>21.094390000000001</v>
      </c>
      <c r="K399">
        <v>68</v>
      </c>
    </row>
    <row r="400" spans="1:11" x14ac:dyDescent="0.25">
      <c r="A400" s="1" t="s">
        <v>1135</v>
      </c>
      <c r="B400" s="1" t="s">
        <v>137</v>
      </c>
      <c r="C400" s="1" t="s">
        <v>1143</v>
      </c>
      <c r="D400" s="1" t="s">
        <v>1506</v>
      </c>
      <c r="E400" s="1" t="s">
        <v>1509</v>
      </c>
      <c r="F400" s="1" t="s">
        <v>813</v>
      </c>
      <c r="G400" s="2">
        <v>45211</v>
      </c>
      <c r="H400" s="3">
        <v>0.31666666666666665</v>
      </c>
      <c r="I400" s="1">
        <v>1.286548</v>
      </c>
      <c r="J400" s="1">
        <v>29.823702999999998</v>
      </c>
      <c r="K400">
        <v>93</v>
      </c>
    </row>
    <row r="401" spans="1:11" x14ac:dyDescent="0.25">
      <c r="A401" s="1" t="s">
        <v>1135</v>
      </c>
      <c r="B401" s="1" t="s">
        <v>131</v>
      </c>
      <c r="C401" s="1" t="s">
        <v>932</v>
      </c>
      <c r="D401" s="1" t="s">
        <v>1506</v>
      </c>
      <c r="E401" s="1" t="s">
        <v>1507</v>
      </c>
      <c r="F401" s="1" t="s">
        <v>813</v>
      </c>
      <c r="G401" s="2">
        <v>45213</v>
      </c>
      <c r="H401" s="3">
        <v>0.23750000000000004</v>
      </c>
      <c r="I401" s="1">
        <v>-10.25074</v>
      </c>
      <c r="J401" s="1">
        <v>26.099086</v>
      </c>
      <c r="K401">
        <v>68</v>
      </c>
    </row>
    <row r="402" spans="1:11" hidden="1" x14ac:dyDescent="0.25">
      <c r="A402" s="1" t="s">
        <v>1135</v>
      </c>
      <c r="B402" s="1" t="s">
        <v>1695</v>
      </c>
      <c r="C402" s="1" t="s">
        <v>827</v>
      </c>
      <c r="D402" s="1" t="s">
        <v>1695</v>
      </c>
      <c r="E402" s="1" t="s">
        <v>1695</v>
      </c>
      <c r="F402" s="1" t="s">
        <v>813</v>
      </c>
      <c r="G402" s="2">
        <v>45221</v>
      </c>
      <c r="H402" s="3">
        <v>0.10624999999999996</v>
      </c>
      <c r="I402" s="1" t="s">
        <v>1695</v>
      </c>
      <c r="J402" s="1" t="s">
        <v>1695</v>
      </c>
      <c r="K402">
        <v>52</v>
      </c>
    </row>
    <row r="403" spans="1:11" x14ac:dyDescent="0.25">
      <c r="A403" s="1" t="s">
        <v>1135</v>
      </c>
      <c r="B403" s="1" t="s">
        <v>29</v>
      </c>
      <c r="C403" s="1" t="s">
        <v>1144</v>
      </c>
      <c r="D403" s="1" t="s">
        <v>1503</v>
      </c>
      <c r="E403" s="1" t="s">
        <v>1507</v>
      </c>
      <c r="F403" s="1" t="s">
        <v>808</v>
      </c>
      <c r="G403" s="2">
        <v>45211</v>
      </c>
      <c r="H403" s="3">
        <v>0.10624999999999996</v>
      </c>
      <c r="I403" s="1">
        <v>-5.125</v>
      </c>
      <c r="J403" s="1">
        <v>23.513119</v>
      </c>
      <c r="K403">
        <v>107</v>
      </c>
    </row>
    <row r="404" spans="1:11" hidden="1" x14ac:dyDescent="0.25">
      <c r="A404" s="1" t="s">
        <v>1135</v>
      </c>
      <c r="B404" s="1" t="s">
        <v>1695</v>
      </c>
      <c r="C404" s="1" t="s">
        <v>946</v>
      </c>
      <c r="D404" s="1" t="s">
        <v>1695</v>
      </c>
      <c r="E404" s="1" t="s">
        <v>1695</v>
      </c>
      <c r="F404" s="1" t="s">
        <v>811</v>
      </c>
      <c r="G404" s="2">
        <v>45217</v>
      </c>
      <c r="H404" s="3">
        <v>0.70138888888888884</v>
      </c>
      <c r="I404" s="1" t="s">
        <v>1695</v>
      </c>
      <c r="J404" s="1" t="s">
        <v>1695</v>
      </c>
      <c r="K404">
        <v>71</v>
      </c>
    </row>
    <row r="405" spans="1:11" x14ac:dyDescent="0.25">
      <c r="A405" s="1" t="s">
        <v>1135</v>
      </c>
      <c r="B405" s="1" t="s">
        <v>10</v>
      </c>
      <c r="C405" s="1" t="s">
        <v>1145</v>
      </c>
      <c r="D405" s="1" t="s">
        <v>1503</v>
      </c>
      <c r="E405" s="1" t="s">
        <v>1504</v>
      </c>
      <c r="F405" s="1" t="s">
        <v>808</v>
      </c>
      <c r="G405" s="2">
        <v>45216</v>
      </c>
      <c r="H405" s="3">
        <v>0.70902777777777781</v>
      </c>
      <c r="I405" s="1">
        <v>-0.34051900000000002</v>
      </c>
      <c r="J405" s="1">
        <v>17.079799000000001</v>
      </c>
      <c r="K405">
        <v>39</v>
      </c>
    </row>
    <row r="406" spans="1:11" hidden="1" x14ac:dyDescent="0.25">
      <c r="A406" s="1" t="s">
        <v>1135</v>
      </c>
      <c r="B406" s="1" t="s">
        <v>1695</v>
      </c>
      <c r="C406" s="1" t="s">
        <v>1146</v>
      </c>
      <c r="D406" s="1" t="s">
        <v>1695</v>
      </c>
      <c r="E406" s="1" t="s">
        <v>1695</v>
      </c>
      <c r="F406" s="1" t="s">
        <v>811</v>
      </c>
      <c r="G406" s="2">
        <v>45212</v>
      </c>
      <c r="H406" s="3">
        <v>0.62638888888888888</v>
      </c>
      <c r="I406" s="1" t="s">
        <v>1695</v>
      </c>
      <c r="J406" s="1" t="s">
        <v>1695</v>
      </c>
      <c r="K406">
        <v>107</v>
      </c>
    </row>
    <row r="407" spans="1:11" hidden="1" x14ac:dyDescent="0.25">
      <c r="A407" s="1" t="s">
        <v>1135</v>
      </c>
      <c r="B407" s="1" t="s">
        <v>1695</v>
      </c>
      <c r="C407" s="1" t="s">
        <v>1147</v>
      </c>
      <c r="D407" s="1" t="s">
        <v>1695</v>
      </c>
      <c r="E407" s="1" t="s">
        <v>1695</v>
      </c>
      <c r="F407" s="1" t="s">
        <v>813</v>
      </c>
      <c r="G407" s="2">
        <v>45220</v>
      </c>
      <c r="H407" s="3">
        <v>0.51597222222222228</v>
      </c>
      <c r="I407" s="1" t="s">
        <v>1695</v>
      </c>
      <c r="J407" s="1" t="s">
        <v>1695</v>
      </c>
      <c r="K407">
        <v>15</v>
      </c>
    </row>
    <row r="408" spans="1:11" x14ac:dyDescent="0.25">
      <c r="A408" s="1" t="s">
        <v>1135</v>
      </c>
      <c r="B408" s="1" t="s">
        <v>131</v>
      </c>
      <c r="C408" s="1" t="s">
        <v>873</v>
      </c>
      <c r="D408" s="1" t="s">
        <v>1503</v>
      </c>
      <c r="E408" s="1" t="s">
        <v>1509</v>
      </c>
      <c r="F408" s="1" t="s">
        <v>813</v>
      </c>
      <c r="G408" s="2">
        <v>45208</v>
      </c>
      <c r="H408" s="3">
        <v>0.95902777777777781</v>
      </c>
      <c r="I408" s="1">
        <v>0.82868600000000003</v>
      </c>
      <c r="J408" s="1">
        <v>26.958843999999999</v>
      </c>
      <c r="K408">
        <v>98</v>
      </c>
    </row>
    <row r="409" spans="1:11" x14ac:dyDescent="0.25">
      <c r="A409" s="1" t="s">
        <v>1135</v>
      </c>
      <c r="B409" s="1" t="s">
        <v>31</v>
      </c>
      <c r="C409" s="1" t="s">
        <v>1148</v>
      </c>
      <c r="D409" s="1" t="s">
        <v>1508</v>
      </c>
      <c r="E409" s="1" t="s">
        <v>1507</v>
      </c>
      <c r="F409" s="1" t="s">
        <v>813</v>
      </c>
      <c r="G409" s="2">
        <v>45211</v>
      </c>
      <c r="H409" s="3">
        <v>9.8611111111111205E-2</v>
      </c>
      <c r="I409" s="1">
        <v>-11.387295999999999</v>
      </c>
      <c r="J409" s="1">
        <v>19.384257999999999</v>
      </c>
      <c r="K409">
        <v>59</v>
      </c>
    </row>
    <row r="410" spans="1:11" x14ac:dyDescent="0.25">
      <c r="A410" s="1" t="s">
        <v>1135</v>
      </c>
      <c r="B410" s="1" t="s">
        <v>40</v>
      </c>
      <c r="C410" s="1" t="s">
        <v>1149</v>
      </c>
      <c r="D410" s="1" t="s">
        <v>1503</v>
      </c>
      <c r="E410" s="1" t="s">
        <v>1504</v>
      </c>
      <c r="F410" s="1" t="s">
        <v>811</v>
      </c>
      <c r="G410" s="2">
        <v>45207</v>
      </c>
      <c r="H410" s="3">
        <v>0.98750000000000004</v>
      </c>
      <c r="I410" s="1">
        <v>-9.0798120000000004</v>
      </c>
      <c r="J410" s="1">
        <v>14.945484</v>
      </c>
      <c r="K410">
        <v>15</v>
      </c>
    </row>
    <row r="411" spans="1:11" x14ac:dyDescent="0.25">
      <c r="A411" s="1" t="s">
        <v>1135</v>
      </c>
      <c r="B411" s="1" t="s">
        <v>73</v>
      </c>
      <c r="C411" s="1" t="s">
        <v>1150</v>
      </c>
      <c r="D411" s="1" t="s">
        <v>1506</v>
      </c>
      <c r="E411" s="1" t="s">
        <v>1507</v>
      </c>
      <c r="F411" s="1" t="s">
        <v>813</v>
      </c>
      <c r="G411" s="2">
        <v>45220</v>
      </c>
      <c r="H411" s="3">
        <v>0.15902777777777777</v>
      </c>
      <c r="I411" s="1">
        <v>-9.4133639999999996</v>
      </c>
      <c r="J411" s="1">
        <v>15.682482</v>
      </c>
      <c r="K411">
        <v>60</v>
      </c>
    </row>
    <row r="412" spans="1:11" x14ac:dyDescent="0.25">
      <c r="A412" s="1" t="s">
        <v>1135</v>
      </c>
      <c r="B412" s="1" t="s">
        <v>10</v>
      </c>
      <c r="C412" s="1" t="s">
        <v>1081</v>
      </c>
      <c r="D412" s="1" t="s">
        <v>1503</v>
      </c>
      <c r="E412" s="1" t="s">
        <v>1509</v>
      </c>
      <c r="F412" s="1" t="s">
        <v>808</v>
      </c>
      <c r="G412" s="2">
        <v>45218</v>
      </c>
      <c r="H412" s="3">
        <v>0.9916666666666667</v>
      </c>
      <c r="I412" s="1">
        <v>-3.7720639999999999</v>
      </c>
      <c r="J412" s="1">
        <v>16.006277999999998</v>
      </c>
      <c r="K412">
        <v>82</v>
      </c>
    </row>
    <row r="413" spans="1:11" x14ac:dyDescent="0.25">
      <c r="A413" s="1" t="s">
        <v>1135</v>
      </c>
      <c r="B413" s="1" t="s">
        <v>37</v>
      </c>
      <c r="C413" s="1" t="s">
        <v>1151</v>
      </c>
      <c r="D413" s="1" t="s">
        <v>1506</v>
      </c>
      <c r="E413" s="1" t="s">
        <v>1507</v>
      </c>
      <c r="F413" s="1" t="s">
        <v>808</v>
      </c>
      <c r="G413" s="2">
        <v>45210</v>
      </c>
      <c r="H413" s="3">
        <v>0.16805555555555562</v>
      </c>
      <c r="I413" s="1">
        <v>-9.9565739999999998</v>
      </c>
      <c r="J413" s="1">
        <v>21.017202000000001</v>
      </c>
      <c r="K413">
        <v>110</v>
      </c>
    </row>
    <row r="414" spans="1:11" x14ac:dyDescent="0.25">
      <c r="A414" s="1" t="s">
        <v>1135</v>
      </c>
      <c r="B414" s="1" t="s">
        <v>127</v>
      </c>
      <c r="C414" s="1" t="s">
        <v>1152</v>
      </c>
      <c r="D414" s="1" t="s">
        <v>1506</v>
      </c>
      <c r="E414" s="1" t="s">
        <v>1507</v>
      </c>
      <c r="F414" s="1" t="s">
        <v>808</v>
      </c>
      <c r="G414" s="2">
        <v>45211</v>
      </c>
      <c r="H414" s="3">
        <v>0.72291666666666665</v>
      </c>
      <c r="I414" s="1">
        <v>-6.9624990000000002</v>
      </c>
      <c r="J414" s="1">
        <v>20.759834999999999</v>
      </c>
      <c r="K414">
        <v>28</v>
      </c>
    </row>
    <row r="415" spans="1:11" x14ac:dyDescent="0.25">
      <c r="A415" s="1" t="s">
        <v>1135</v>
      </c>
      <c r="B415" s="1" t="s">
        <v>64</v>
      </c>
      <c r="C415" s="1" t="s">
        <v>1153</v>
      </c>
      <c r="D415" s="1" t="s">
        <v>1503</v>
      </c>
      <c r="E415" s="1" t="s">
        <v>1509</v>
      </c>
      <c r="F415" s="1" t="s">
        <v>811</v>
      </c>
      <c r="G415" s="2">
        <v>45226</v>
      </c>
      <c r="H415" s="3">
        <v>0.84097222222222223</v>
      </c>
      <c r="I415" s="1">
        <v>-11.389362</v>
      </c>
      <c r="J415" s="1">
        <v>22.240174</v>
      </c>
      <c r="K415">
        <v>74</v>
      </c>
    </row>
    <row r="416" spans="1:11" hidden="1" x14ac:dyDescent="0.25">
      <c r="A416" s="1" t="s">
        <v>1135</v>
      </c>
      <c r="B416" s="1" t="s">
        <v>1695</v>
      </c>
      <c r="C416" s="1" t="s">
        <v>1154</v>
      </c>
      <c r="D416" s="1" t="s">
        <v>1695</v>
      </c>
      <c r="E416" s="1" t="s">
        <v>1695</v>
      </c>
      <c r="F416" s="1" t="s">
        <v>808</v>
      </c>
      <c r="G416" s="2">
        <v>45226</v>
      </c>
      <c r="H416" s="3">
        <v>0.89513888888888893</v>
      </c>
      <c r="I416" s="1" t="s">
        <v>1695</v>
      </c>
      <c r="J416" s="1" t="s">
        <v>1695</v>
      </c>
      <c r="K416">
        <v>42</v>
      </c>
    </row>
    <row r="417" spans="1:11" x14ac:dyDescent="0.25">
      <c r="A417" s="1" t="s">
        <v>1135</v>
      </c>
      <c r="B417" s="1" t="s">
        <v>67</v>
      </c>
      <c r="C417" s="1" t="s">
        <v>1155</v>
      </c>
      <c r="D417" s="1" t="s">
        <v>1508</v>
      </c>
      <c r="E417" s="1" t="s">
        <v>1504</v>
      </c>
      <c r="F417" s="1" t="s">
        <v>813</v>
      </c>
      <c r="G417" s="2">
        <v>45222</v>
      </c>
      <c r="H417" s="3">
        <v>0.65277777777777768</v>
      </c>
      <c r="I417" s="1">
        <v>-11.266565999999999</v>
      </c>
      <c r="J417" s="1">
        <v>26.245055000000001</v>
      </c>
      <c r="K417">
        <v>46</v>
      </c>
    </row>
    <row r="418" spans="1:11" x14ac:dyDescent="0.25">
      <c r="A418" s="1" t="s">
        <v>1135</v>
      </c>
      <c r="B418" s="1" t="s">
        <v>29</v>
      </c>
      <c r="C418" s="1" t="s">
        <v>1156</v>
      </c>
      <c r="D418" s="1" t="s">
        <v>1508</v>
      </c>
      <c r="E418" s="1" t="s">
        <v>1507</v>
      </c>
      <c r="F418" s="1" t="s">
        <v>811</v>
      </c>
      <c r="G418" s="2">
        <v>45205</v>
      </c>
      <c r="H418" s="3">
        <v>0.16944444444444451</v>
      </c>
      <c r="I418" s="1">
        <v>4.8689660000000003</v>
      </c>
      <c r="J418" s="1">
        <v>25.112373000000002</v>
      </c>
      <c r="K418">
        <v>18</v>
      </c>
    </row>
    <row r="419" spans="1:11" x14ac:dyDescent="0.25">
      <c r="A419" s="1" t="s">
        <v>1135</v>
      </c>
      <c r="B419" s="1" t="s">
        <v>60</v>
      </c>
      <c r="C419" s="1" t="s">
        <v>1157</v>
      </c>
      <c r="D419" s="1" t="s">
        <v>1506</v>
      </c>
      <c r="E419" s="1" t="s">
        <v>1516</v>
      </c>
      <c r="F419" s="1" t="s">
        <v>813</v>
      </c>
      <c r="G419" s="2">
        <v>45222</v>
      </c>
      <c r="H419" s="3">
        <v>0.58472222222222214</v>
      </c>
      <c r="I419" s="1">
        <v>-9.1215879999999991</v>
      </c>
      <c r="J419" s="1">
        <v>16.457916999999998</v>
      </c>
      <c r="K419">
        <v>15</v>
      </c>
    </row>
    <row r="420" spans="1:11" hidden="1" x14ac:dyDescent="0.25">
      <c r="A420" s="1" t="s">
        <v>1135</v>
      </c>
      <c r="B420" s="1" t="s">
        <v>1695</v>
      </c>
      <c r="C420" s="1" t="s">
        <v>1062</v>
      </c>
      <c r="D420" s="1" t="s">
        <v>1695</v>
      </c>
      <c r="E420" s="1" t="s">
        <v>1695</v>
      </c>
      <c r="F420" s="1" t="s">
        <v>811</v>
      </c>
      <c r="G420" s="2">
        <v>45209</v>
      </c>
      <c r="H420" s="3">
        <v>0.25138888888888888</v>
      </c>
      <c r="I420" s="1" t="s">
        <v>1695</v>
      </c>
      <c r="J420" s="1" t="s">
        <v>1695</v>
      </c>
      <c r="K420">
        <v>46</v>
      </c>
    </row>
    <row r="421" spans="1:11" x14ac:dyDescent="0.25">
      <c r="A421" s="1" t="s">
        <v>1135</v>
      </c>
      <c r="B421" s="1" t="s">
        <v>18</v>
      </c>
      <c r="C421" s="1" t="s">
        <v>1108</v>
      </c>
      <c r="D421" s="1" t="s">
        <v>1506</v>
      </c>
      <c r="E421" s="1" t="s">
        <v>1507</v>
      </c>
      <c r="F421" s="1" t="s">
        <v>808</v>
      </c>
      <c r="G421" s="2">
        <v>45225</v>
      </c>
      <c r="H421" s="3">
        <v>0.28888888888888897</v>
      </c>
      <c r="I421" s="1">
        <v>0.16327700000000001</v>
      </c>
      <c r="J421" s="1">
        <v>14.871577</v>
      </c>
      <c r="K421">
        <v>89</v>
      </c>
    </row>
    <row r="422" spans="1:11" hidden="1" x14ac:dyDescent="0.25">
      <c r="A422" s="1" t="s">
        <v>1135</v>
      </c>
      <c r="B422" s="1" t="s">
        <v>1695</v>
      </c>
      <c r="C422" s="1" t="s">
        <v>1158</v>
      </c>
      <c r="D422" s="1" t="s">
        <v>1695</v>
      </c>
      <c r="E422" s="1" t="s">
        <v>1695</v>
      </c>
      <c r="F422" s="1" t="s">
        <v>813</v>
      </c>
      <c r="G422" s="2">
        <v>45201</v>
      </c>
      <c r="H422" s="3">
        <v>0.45763888888888893</v>
      </c>
      <c r="I422" s="1" t="s">
        <v>1695</v>
      </c>
      <c r="J422" s="1" t="s">
        <v>1695</v>
      </c>
      <c r="K422">
        <v>42</v>
      </c>
    </row>
    <row r="423" spans="1:11" hidden="1" x14ac:dyDescent="0.25">
      <c r="A423" s="1" t="s">
        <v>1135</v>
      </c>
      <c r="B423" s="1" t="s">
        <v>1695</v>
      </c>
      <c r="C423" s="1" t="s">
        <v>1007</v>
      </c>
      <c r="D423" s="1" t="s">
        <v>1695</v>
      </c>
      <c r="E423" s="1" t="s">
        <v>1695</v>
      </c>
      <c r="F423" s="1" t="s">
        <v>813</v>
      </c>
      <c r="G423" s="2">
        <v>45209</v>
      </c>
      <c r="H423" s="3">
        <v>0.68402777777777768</v>
      </c>
      <c r="I423" s="1" t="s">
        <v>1695</v>
      </c>
      <c r="J423" s="1" t="s">
        <v>1695</v>
      </c>
      <c r="K423">
        <v>44</v>
      </c>
    </row>
    <row r="424" spans="1:11" hidden="1" x14ac:dyDescent="0.25">
      <c r="A424" s="1" t="s">
        <v>1135</v>
      </c>
      <c r="B424" s="1" t="s">
        <v>1695</v>
      </c>
      <c r="C424" s="1" t="s">
        <v>1159</v>
      </c>
      <c r="D424" s="1" t="s">
        <v>1695</v>
      </c>
      <c r="E424" s="1" t="s">
        <v>1695</v>
      </c>
      <c r="F424" s="1" t="s">
        <v>811</v>
      </c>
      <c r="G424" s="2">
        <v>45226</v>
      </c>
      <c r="H424" s="3">
        <v>0.72916666666666674</v>
      </c>
      <c r="I424" s="1" t="s">
        <v>1695</v>
      </c>
      <c r="J424" s="1" t="s">
        <v>1695</v>
      </c>
      <c r="K424">
        <v>62</v>
      </c>
    </row>
    <row r="425" spans="1:11" hidden="1" x14ac:dyDescent="0.25">
      <c r="A425" s="1" t="s">
        <v>1135</v>
      </c>
      <c r="B425" s="1" t="s">
        <v>1695</v>
      </c>
      <c r="C425" s="1" t="s">
        <v>1064</v>
      </c>
      <c r="D425" s="1" t="s">
        <v>1695</v>
      </c>
      <c r="E425" s="1" t="s">
        <v>1695</v>
      </c>
      <c r="F425" s="1" t="s">
        <v>813</v>
      </c>
      <c r="G425" s="2">
        <v>45208</v>
      </c>
      <c r="H425" s="3">
        <v>7.4999999999999956E-2</v>
      </c>
      <c r="I425" s="1" t="s">
        <v>1695</v>
      </c>
      <c r="J425" s="1" t="s">
        <v>1695</v>
      </c>
      <c r="K425">
        <v>82</v>
      </c>
    </row>
    <row r="426" spans="1:11" hidden="1" x14ac:dyDescent="0.25">
      <c r="A426" s="1" t="s">
        <v>1135</v>
      </c>
      <c r="B426" s="1" t="s">
        <v>1695</v>
      </c>
      <c r="C426" s="1" t="s">
        <v>1160</v>
      </c>
      <c r="D426" s="1" t="s">
        <v>1695</v>
      </c>
      <c r="E426" s="1" t="s">
        <v>1695</v>
      </c>
      <c r="F426" s="1" t="s">
        <v>808</v>
      </c>
      <c r="G426" s="2">
        <v>45220</v>
      </c>
      <c r="H426" s="3">
        <v>0.26249999999999996</v>
      </c>
      <c r="I426" s="1" t="s">
        <v>1695</v>
      </c>
      <c r="J426" s="1" t="s">
        <v>1695</v>
      </c>
      <c r="K426">
        <v>96</v>
      </c>
    </row>
    <row r="427" spans="1:11" hidden="1" x14ac:dyDescent="0.25">
      <c r="A427" s="1" t="s">
        <v>1135</v>
      </c>
      <c r="B427" s="1" t="s">
        <v>1695</v>
      </c>
      <c r="C427" s="1" t="s">
        <v>1161</v>
      </c>
      <c r="D427" s="1" t="s">
        <v>1695</v>
      </c>
      <c r="E427" s="1" t="s">
        <v>1695</v>
      </c>
      <c r="F427" s="1" t="s">
        <v>811</v>
      </c>
      <c r="G427" s="2">
        <v>45211</v>
      </c>
      <c r="H427" s="3">
        <v>7.986111111111116E-2</v>
      </c>
      <c r="I427" s="1" t="s">
        <v>1695</v>
      </c>
      <c r="J427" s="1" t="s">
        <v>1695</v>
      </c>
      <c r="K427">
        <v>59</v>
      </c>
    </row>
    <row r="428" spans="1:11" hidden="1" x14ac:dyDescent="0.25">
      <c r="A428" s="1" t="s">
        <v>1135</v>
      </c>
      <c r="B428" s="1" t="s">
        <v>1695</v>
      </c>
      <c r="C428" s="1" t="s">
        <v>834</v>
      </c>
      <c r="D428" s="1" t="s">
        <v>1695</v>
      </c>
      <c r="E428" s="1" t="s">
        <v>1695</v>
      </c>
      <c r="F428" s="1" t="s">
        <v>813</v>
      </c>
      <c r="G428" s="2">
        <v>45220</v>
      </c>
      <c r="H428" s="3">
        <v>0.42847222222222214</v>
      </c>
      <c r="I428" s="1" t="s">
        <v>1695</v>
      </c>
      <c r="J428" s="1" t="s">
        <v>1695</v>
      </c>
      <c r="K428">
        <v>26</v>
      </c>
    </row>
    <row r="429" spans="1:11" hidden="1" x14ac:dyDescent="0.25">
      <c r="A429" s="1" t="s">
        <v>1135</v>
      </c>
      <c r="B429" s="1" t="s">
        <v>1695</v>
      </c>
      <c r="C429" s="1" t="s">
        <v>1162</v>
      </c>
      <c r="D429" s="1" t="s">
        <v>1695</v>
      </c>
      <c r="E429" s="1" t="s">
        <v>1695</v>
      </c>
      <c r="F429" s="1" t="s">
        <v>811</v>
      </c>
      <c r="G429" s="2">
        <v>45203</v>
      </c>
      <c r="H429" s="3">
        <v>0.4770833333333333</v>
      </c>
      <c r="I429" s="1" t="s">
        <v>1695</v>
      </c>
      <c r="J429" s="1" t="s">
        <v>1695</v>
      </c>
      <c r="K429">
        <v>93</v>
      </c>
    </row>
    <row r="430" spans="1:11" hidden="1" x14ac:dyDescent="0.25">
      <c r="A430" s="1" t="s">
        <v>1163</v>
      </c>
      <c r="B430" s="1" t="s">
        <v>1695</v>
      </c>
      <c r="C430" s="1" t="s">
        <v>1164</v>
      </c>
      <c r="D430" s="1" t="s">
        <v>1695</v>
      </c>
      <c r="E430" s="1" t="s">
        <v>1695</v>
      </c>
      <c r="F430" s="1" t="s">
        <v>813</v>
      </c>
      <c r="G430" s="2">
        <v>45202</v>
      </c>
      <c r="H430" s="3">
        <v>0.91250000000000009</v>
      </c>
      <c r="I430" s="1" t="s">
        <v>1695</v>
      </c>
      <c r="J430" s="1" t="s">
        <v>1695</v>
      </c>
      <c r="K430">
        <v>68</v>
      </c>
    </row>
    <row r="431" spans="1:11" hidden="1" x14ac:dyDescent="0.25">
      <c r="A431" s="1" t="s">
        <v>1163</v>
      </c>
      <c r="B431" s="1" t="s">
        <v>1695</v>
      </c>
      <c r="C431" s="1" t="s">
        <v>1002</v>
      </c>
      <c r="D431" s="1" t="s">
        <v>1695</v>
      </c>
      <c r="E431" s="1" t="s">
        <v>1695</v>
      </c>
      <c r="F431" s="1" t="s">
        <v>808</v>
      </c>
      <c r="G431" s="2">
        <v>45210</v>
      </c>
      <c r="H431" s="3">
        <v>0.89027777777777772</v>
      </c>
      <c r="I431" s="1" t="s">
        <v>1695</v>
      </c>
      <c r="J431" s="1" t="s">
        <v>1695</v>
      </c>
      <c r="K431">
        <v>118</v>
      </c>
    </row>
    <row r="432" spans="1:11" hidden="1" x14ac:dyDescent="0.25">
      <c r="A432" s="1" t="s">
        <v>1163</v>
      </c>
      <c r="B432" s="1" t="s">
        <v>1695</v>
      </c>
      <c r="C432" s="1" t="s">
        <v>921</v>
      </c>
      <c r="D432" s="1" t="s">
        <v>1695</v>
      </c>
      <c r="E432" s="1" t="s">
        <v>1695</v>
      </c>
      <c r="F432" s="1" t="s">
        <v>808</v>
      </c>
      <c r="G432" s="2">
        <v>45222</v>
      </c>
      <c r="H432" s="3">
        <v>0.10763888888888884</v>
      </c>
      <c r="I432" s="1" t="s">
        <v>1695</v>
      </c>
      <c r="J432" s="1" t="s">
        <v>1695</v>
      </c>
      <c r="K432">
        <v>85</v>
      </c>
    </row>
    <row r="433" spans="1:11" hidden="1" x14ac:dyDescent="0.25">
      <c r="A433" s="1" t="s">
        <v>1163</v>
      </c>
      <c r="B433" s="1" t="s">
        <v>1695</v>
      </c>
      <c r="C433" s="1" t="s">
        <v>924</v>
      </c>
      <c r="D433" s="1" t="s">
        <v>1695</v>
      </c>
      <c r="E433" s="1" t="s">
        <v>1695</v>
      </c>
      <c r="F433" s="1" t="s">
        <v>813</v>
      </c>
      <c r="G433" s="2">
        <v>45217</v>
      </c>
      <c r="H433" s="3">
        <v>0.4145833333333333</v>
      </c>
      <c r="I433" s="1" t="s">
        <v>1695</v>
      </c>
      <c r="J433" s="1" t="s">
        <v>1695</v>
      </c>
      <c r="K433">
        <v>74</v>
      </c>
    </row>
    <row r="434" spans="1:11" hidden="1" x14ac:dyDescent="0.25">
      <c r="A434" s="1" t="s">
        <v>1163</v>
      </c>
      <c r="B434" s="1" t="s">
        <v>1695</v>
      </c>
      <c r="C434" s="1" t="s">
        <v>1165</v>
      </c>
      <c r="D434" s="1" t="s">
        <v>1695</v>
      </c>
      <c r="E434" s="1" t="s">
        <v>1695</v>
      </c>
      <c r="F434" s="1" t="s">
        <v>813</v>
      </c>
      <c r="G434" s="2">
        <v>45209</v>
      </c>
      <c r="H434" s="3">
        <v>0.23958333333333326</v>
      </c>
      <c r="I434" s="1" t="s">
        <v>1695</v>
      </c>
      <c r="J434" s="1" t="s">
        <v>1695</v>
      </c>
      <c r="K434">
        <v>42</v>
      </c>
    </row>
    <row r="435" spans="1:11" hidden="1" x14ac:dyDescent="0.25">
      <c r="A435" s="1" t="s">
        <v>1163</v>
      </c>
      <c r="B435" s="1" t="s">
        <v>1695</v>
      </c>
      <c r="C435" s="1" t="s">
        <v>1022</v>
      </c>
      <c r="D435" s="1" t="s">
        <v>1695</v>
      </c>
      <c r="E435" s="1" t="s">
        <v>1695</v>
      </c>
      <c r="F435" s="1" t="s">
        <v>811</v>
      </c>
      <c r="G435" s="2">
        <v>45222</v>
      </c>
      <c r="H435" s="3">
        <v>0.94444444444444442</v>
      </c>
      <c r="I435" s="1" t="s">
        <v>1695</v>
      </c>
      <c r="J435" s="1" t="s">
        <v>1695</v>
      </c>
      <c r="K435">
        <v>87</v>
      </c>
    </row>
    <row r="436" spans="1:11" hidden="1" x14ac:dyDescent="0.25">
      <c r="A436" s="1" t="s">
        <v>1163</v>
      </c>
      <c r="B436" s="1" t="s">
        <v>1695</v>
      </c>
      <c r="C436" s="1" t="s">
        <v>1166</v>
      </c>
      <c r="D436" s="1" t="s">
        <v>1695</v>
      </c>
      <c r="E436" s="1" t="s">
        <v>1695</v>
      </c>
      <c r="F436" s="1" t="s">
        <v>811</v>
      </c>
      <c r="G436" s="2">
        <v>45205</v>
      </c>
      <c r="H436" s="3">
        <v>0.48055555555555562</v>
      </c>
      <c r="I436" s="1" t="s">
        <v>1695</v>
      </c>
      <c r="J436" s="1" t="s">
        <v>1695</v>
      </c>
      <c r="K436">
        <v>43</v>
      </c>
    </row>
    <row r="437" spans="1:11" x14ac:dyDescent="0.25">
      <c r="A437" s="1" t="s">
        <v>1163</v>
      </c>
      <c r="B437" s="1" t="s">
        <v>57</v>
      </c>
      <c r="C437" s="1" t="s">
        <v>1167</v>
      </c>
      <c r="D437" s="1" t="s">
        <v>1508</v>
      </c>
      <c r="E437" s="1" t="s">
        <v>1504</v>
      </c>
      <c r="F437" s="1" t="s">
        <v>811</v>
      </c>
      <c r="G437" s="2">
        <v>45207</v>
      </c>
      <c r="H437" s="3">
        <v>0.1333333333333333</v>
      </c>
      <c r="I437" s="1">
        <v>-5.4073029999999997</v>
      </c>
      <c r="J437" s="1">
        <v>29.762294000000001</v>
      </c>
      <c r="K437">
        <v>66</v>
      </c>
    </row>
    <row r="438" spans="1:11" hidden="1" x14ac:dyDescent="0.25">
      <c r="A438" s="1" t="s">
        <v>1163</v>
      </c>
      <c r="B438" s="1" t="s">
        <v>1695</v>
      </c>
      <c r="C438" s="1" t="s">
        <v>1168</v>
      </c>
      <c r="D438" s="1" t="s">
        <v>1695</v>
      </c>
      <c r="E438" s="1" t="s">
        <v>1695</v>
      </c>
      <c r="F438" s="1" t="s">
        <v>813</v>
      </c>
      <c r="G438" s="2">
        <v>45225</v>
      </c>
      <c r="H438" s="3">
        <v>0.17708333333333326</v>
      </c>
      <c r="I438" s="1" t="s">
        <v>1695</v>
      </c>
      <c r="J438" s="1" t="s">
        <v>1695</v>
      </c>
      <c r="K438">
        <v>36</v>
      </c>
    </row>
    <row r="439" spans="1:11" x14ac:dyDescent="0.25">
      <c r="A439" s="1" t="s">
        <v>1163</v>
      </c>
      <c r="B439" s="1" t="s">
        <v>31</v>
      </c>
      <c r="C439" s="1" t="s">
        <v>1169</v>
      </c>
      <c r="D439" s="1" t="s">
        <v>1503</v>
      </c>
      <c r="E439" s="1" t="s">
        <v>1509</v>
      </c>
      <c r="F439" s="1" t="s">
        <v>813</v>
      </c>
      <c r="G439" s="2">
        <v>45225</v>
      </c>
      <c r="H439" s="3">
        <v>0.62569444444444455</v>
      </c>
      <c r="I439" s="1">
        <v>-10.611184</v>
      </c>
      <c r="J439" s="1">
        <v>23.022268</v>
      </c>
      <c r="K439">
        <v>108</v>
      </c>
    </row>
    <row r="440" spans="1:11" hidden="1" x14ac:dyDescent="0.25">
      <c r="A440" s="1" t="s">
        <v>1163</v>
      </c>
      <c r="B440" s="1" t="s">
        <v>1695</v>
      </c>
      <c r="C440" s="1" t="s">
        <v>1170</v>
      </c>
      <c r="D440" s="1" t="s">
        <v>1695</v>
      </c>
      <c r="E440" s="1" t="s">
        <v>1695</v>
      </c>
      <c r="F440" s="1" t="s">
        <v>811</v>
      </c>
      <c r="G440" s="2">
        <v>45211</v>
      </c>
      <c r="H440" s="3">
        <v>0.73333333333333339</v>
      </c>
      <c r="I440" s="1" t="s">
        <v>1695</v>
      </c>
      <c r="J440" s="1" t="s">
        <v>1695</v>
      </c>
      <c r="K440">
        <v>108</v>
      </c>
    </row>
    <row r="441" spans="1:11" x14ac:dyDescent="0.25">
      <c r="A441" s="1" t="s">
        <v>1163</v>
      </c>
      <c r="B441" s="1" t="s">
        <v>73</v>
      </c>
      <c r="C441" s="1" t="s">
        <v>1171</v>
      </c>
      <c r="D441" s="1" t="s">
        <v>1508</v>
      </c>
      <c r="E441" s="1" t="s">
        <v>1504</v>
      </c>
      <c r="F441" s="1" t="s">
        <v>808</v>
      </c>
      <c r="G441" s="2">
        <v>45211</v>
      </c>
      <c r="H441" s="3">
        <v>0.61874999999999991</v>
      </c>
      <c r="I441" s="1">
        <v>-0.85624699999999998</v>
      </c>
      <c r="J441" s="1">
        <v>28.624870000000001</v>
      </c>
      <c r="K441">
        <v>92</v>
      </c>
    </row>
    <row r="442" spans="1:11" hidden="1" x14ac:dyDescent="0.25">
      <c r="A442" s="1" t="s">
        <v>1163</v>
      </c>
      <c r="B442" s="1" t="s">
        <v>1695</v>
      </c>
      <c r="C442" s="1" t="s">
        <v>1116</v>
      </c>
      <c r="D442" s="1" t="s">
        <v>1695</v>
      </c>
      <c r="E442" s="1" t="s">
        <v>1695</v>
      </c>
      <c r="F442" s="1" t="s">
        <v>808</v>
      </c>
      <c r="G442" s="2">
        <v>45217</v>
      </c>
      <c r="H442" s="3">
        <v>0.19375000000000009</v>
      </c>
      <c r="I442" s="1" t="s">
        <v>1695</v>
      </c>
      <c r="J442" s="1" t="s">
        <v>1695</v>
      </c>
      <c r="K442">
        <v>56</v>
      </c>
    </row>
    <row r="443" spans="1:11" x14ac:dyDescent="0.25">
      <c r="A443" s="1" t="s">
        <v>1163</v>
      </c>
      <c r="B443" s="1" t="s">
        <v>35</v>
      </c>
      <c r="C443" s="1" t="s">
        <v>1172</v>
      </c>
      <c r="D443" s="1" t="s">
        <v>1503</v>
      </c>
      <c r="E443" s="1" t="s">
        <v>1509</v>
      </c>
      <c r="F443" s="1" t="s">
        <v>813</v>
      </c>
      <c r="G443" s="2">
        <v>45228</v>
      </c>
      <c r="H443" s="3">
        <v>8.6111111111111027E-2</v>
      </c>
      <c r="I443" s="1">
        <v>-6.4883290000000002</v>
      </c>
      <c r="J443" s="1">
        <v>25.103404000000001</v>
      </c>
      <c r="K443">
        <v>43</v>
      </c>
    </row>
    <row r="444" spans="1:11" x14ac:dyDescent="0.25">
      <c r="A444" s="1" t="s">
        <v>1163</v>
      </c>
      <c r="B444" s="1" t="s">
        <v>78</v>
      </c>
      <c r="C444" s="1" t="s">
        <v>1173</v>
      </c>
      <c r="D444" s="1" t="s">
        <v>1506</v>
      </c>
      <c r="E444" s="1" t="s">
        <v>1507</v>
      </c>
      <c r="F444" s="1" t="s">
        <v>808</v>
      </c>
      <c r="G444" s="2">
        <v>45209</v>
      </c>
      <c r="H444" s="3">
        <v>0.53125</v>
      </c>
      <c r="I444" s="1">
        <v>1.727095</v>
      </c>
      <c r="J444" s="1">
        <v>22.099651999999999</v>
      </c>
      <c r="K444">
        <v>63</v>
      </c>
    </row>
    <row r="445" spans="1:11" hidden="1" x14ac:dyDescent="0.25">
      <c r="A445" s="1" t="s">
        <v>1163</v>
      </c>
      <c r="B445" s="1" t="s">
        <v>1695</v>
      </c>
      <c r="C445" s="1" t="s">
        <v>1174</v>
      </c>
      <c r="D445" s="1" t="s">
        <v>1695</v>
      </c>
      <c r="E445" s="1" t="s">
        <v>1695</v>
      </c>
      <c r="F445" s="1" t="s">
        <v>813</v>
      </c>
      <c r="G445" s="2">
        <v>45223</v>
      </c>
      <c r="H445" s="3">
        <v>0.6479166666666667</v>
      </c>
      <c r="I445" s="1" t="s">
        <v>1695</v>
      </c>
      <c r="J445" s="1" t="s">
        <v>1695</v>
      </c>
      <c r="K445">
        <v>14</v>
      </c>
    </row>
    <row r="446" spans="1:11" hidden="1" x14ac:dyDescent="0.25">
      <c r="A446" s="1" t="s">
        <v>1163</v>
      </c>
      <c r="B446" s="1" t="s">
        <v>1695</v>
      </c>
      <c r="C446" s="1" t="s">
        <v>1175</v>
      </c>
      <c r="D446" s="1" t="s">
        <v>1695</v>
      </c>
      <c r="E446" s="1" t="s">
        <v>1695</v>
      </c>
      <c r="F446" s="1" t="s">
        <v>811</v>
      </c>
      <c r="G446" s="2">
        <v>45213</v>
      </c>
      <c r="H446" s="3">
        <v>0.57777777777777772</v>
      </c>
      <c r="I446" s="1" t="s">
        <v>1695</v>
      </c>
      <c r="J446" s="1" t="s">
        <v>1695</v>
      </c>
      <c r="K446">
        <v>93</v>
      </c>
    </row>
    <row r="447" spans="1:11" x14ac:dyDescent="0.25">
      <c r="A447" s="1" t="s">
        <v>1163</v>
      </c>
      <c r="B447" s="1" t="s">
        <v>64</v>
      </c>
      <c r="C447" s="1" t="s">
        <v>1153</v>
      </c>
      <c r="D447" s="1" t="s">
        <v>1503</v>
      </c>
      <c r="E447" s="1" t="s">
        <v>1509</v>
      </c>
      <c r="F447" s="1" t="s">
        <v>813</v>
      </c>
      <c r="G447" s="2">
        <v>45218</v>
      </c>
      <c r="H447" s="3">
        <v>8.8888888888888795E-2</v>
      </c>
      <c r="I447" s="1">
        <v>-11.389362</v>
      </c>
      <c r="J447" s="1">
        <v>22.240174</v>
      </c>
      <c r="K447">
        <v>12</v>
      </c>
    </row>
    <row r="448" spans="1:11" hidden="1" x14ac:dyDescent="0.25">
      <c r="A448" s="1" t="s">
        <v>1163</v>
      </c>
      <c r="B448" s="1" t="s">
        <v>1695</v>
      </c>
      <c r="C448" s="1" t="s">
        <v>1176</v>
      </c>
      <c r="D448" s="1" t="s">
        <v>1695</v>
      </c>
      <c r="E448" s="1" t="s">
        <v>1695</v>
      </c>
      <c r="F448" s="1" t="s">
        <v>813</v>
      </c>
      <c r="G448" s="2">
        <v>45210</v>
      </c>
      <c r="H448" s="3">
        <v>0.83611111111111103</v>
      </c>
      <c r="I448" s="1" t="s">
        <v>1695</v>
      </c>
      <c r="J448" s="1" t="s">
        <v>1695</v>
      </c>
      <c r="K448">
        <v>25</v>
      </c>
    </row>
    <row r="449" spans="1:11" hidden="1" x14ac:dyDescent="0.25">
      <c r="A449" s="1" t="s">
        <v>1163</v>
      </c>
      <c r="B449" s="1" t="s">
        <v>1695</v>
      </c>
      <c r="C449" s="1" t="s">
        <v>1177</v>
      </c>
      <c r="D449" s="1" t="s">
        <v>1695</v>
      </c>
      <c r="E449" s="1" t="s">
        <v>1695</v>
      </c>
      <c r="F449" s="1" t="s">
        <v>813</v>
      </c>
      <c r="G449" s="2">
        <v>45214</v>
      </c>
      <c r="H449" s="3">
        <v>0.61319444444444438</v>
      </c>
      <c r="I449" s="1" t="s">
        <v>1695</v>
      </c>
      <c r="J449" s="1" t="s">
        <v>1695</v>
      </c>
      <c r="K449">
        <v>61</v>
      </c>
    </row>
    <row r="450" spans="1:11" x14ac:dyDescent="0.25">
      <c r="A450" s="1" t="s">
        <v>1163</v>
      </c>
      <c r="B450" s="1" t="s">
        <v>18</v>
      </c>
      <c r="C450" s="1" t="s">
        <v>1128</v>
      </c>
      <c r="D450" s="1" t="s">
        <v>1506</v>
      </c>
      <c r="E450" s="1" t="s">
        <v>1516</v>
      </c>
      <c r="F450" s="1" t="s">
        <v>808</v>
      </c>
      <c r="G450" s="2">
        <v>45216</v>
      </c>
      <c r="H450" s="3">
        <v>0.4638888888888888</v>
      </c>
      <c r="I450" s="1">
        <v>-7.1785899999999998</v>
      </c>
      <c r="J450" s="1">
        <v>24.4404</v>
      </c>
      <c r="K450">
        <v>58</v>
      </c>
    </row>
    <row r="451" spans="1:11" x14ac:dyDescent="0.25">
      <c r="A451" s="1" t="s">
        <v>1163</v>
      </c>
      <c r="B451" s="1" t="s">
        <v>57</v>
      </c>
      <c r="C451" s="1" t="s">
        <v>1178</v>
      </c>
      <c r="D451" s="1" t="s">
        <v>1503</v>
      </c>
      <c r="E451" s="1" t="s">
        <v>1516</v>
      </c>
      <c r="F451" s="1" t="s">
        <v>813</v>
      </c>
      <c r="G451" s="2">
        <v>45228</v>
      </c>
      <c r="H451" s="3">
        <v>0.73611111111111116</v>
      </c>
      <c r="I451" s="1">
        <v>-4.4831099999999999</v>
      </c>
      <c r="J451" s="1">
        <v>25.406548000000001</v>
      </c>
      <c r="K451">
        <v>66</v>
      </c>
    </row>
    <row r="452" spans="1:11" hidden="1" x14ac:dyDescent="0.25">
      <c r="A452" s="1" t="s">
        <v>1163</v>
      </c>
      <c r="B452" s="1" t="s">
        <v>1695</v>
      </c>
      <c r="C452" s="1" t="s">
        <v>1016</v>
      </c>
      <c r="D452" s="1" t="s">
        <v>1695</v>
      </c>
      <c r="E452" s="1" t="s">
        <v>1695</v>
      </c>
      <c r="F452" s="1" t="s">
        <v>808</v>
      </c>
      <c r="G452" s="2">
        <v>45218</v>
      </c>
      <c r="H452" s="3">
        <v>0.24236111111111103</v>
      </c>
      <c r="I452" s="1" t="s">
        <v>1695</v>
      </c>
      <c r="J452" s="1" t="s">
        <v>1695</v>
      </c>
      <c r="K452">
        <v>64</v>
      </c>
    </row>
    <row r="453" spans="1:11" hidden="1" x14ac:dyDescent="0.25">
      <c r="A453" s="1" t="s">
        <v>1163</v>
      </c>
      <c r="B453" s="1" t="s">
        <v>1695</v>
      </c>
      <c r="C453" s="1" t="s">
        <v>1179</v>
      </c>
      <c r="D453" s="1" t="s">
        <v>1695</v>
      </c>
      <c r="E453" s="1" t="s">
        <v>1695</v>
      </c>
      <c r="F453" s="1" t="s">
        <v>811</v>
      </c>
      <c r="G453" s="2">
        <v>45230</v>
      </c>
      <c r="H453" s="3">
        <v>0.18541666666666656</v>
      </c>
      <c r="I453" s="1" t="s">
        <v>1695</v>
      </c>
      <c r="J453" s="1" t="s">
        <v>1695</v>
      </c>
      <c r="K453">
        <v>31</v>
      </c>
    </row>
    <row r="454" spans="1:11" x14ac:dyDescent="0.25">
      <c r="A454" s="1" t="s">
        <v>1163</v>
      </c>
      <c r="B454" s="1" t="s">
        <v>31</v>
      </c>
      <c r="C454" s="1" t="s">
        <v>1180</v>
      </c>
      <c r="D454" s="1" t="s">
        <v>1508</v>
      </c>
      <c r="E454" s="1" t="s">
        <v>1504</v>
      </c>
      <c r="F454" s="1" t="s">
        <v>811</v>
      </c>
      <c r="G454" s="2">
        <v>45216</v>
      </c>
      <c r="H454" s="3">
        <v>7.8472222222222276E-2</v>
      </c>
      <c r="I454" s="1">
        <v>-8.0864899999999995</v>
      </c>
      <c r="J454" s="1">
        <v>14.555277</v>
      </c>
      <c r="K454">
        <v>48</v>
      </c>
    </row>
    <row r="455" spans="1:11" hidden="1" x14ac:dyDescent="0.25">
      <c r="A455" s="1" t="s">
        <v>1163</v>
      </c>
      <c r="B455" s="1" t="s">
        <v>1695</v>
      </c>
      <c r="C455" s="1" t="s">
        <v>1181</v>
      </c>
      <c r="D455" s="1" t="s">
        <v>1695</v>
      </c>
      <c r="E455" s="1" t="s">
        <v>1695</v>
      </c>
      <c r="F455" s="1" t="s">
        <v>808</v>
      </c>
      <c r="G455" s="2">
        <v>45203</v>
      </c>
      <c r="H455" s="3">
        <v>0.67291666666666661</v>
      </c>
      <c r="I455" s="1" t="s">
        <v>1695</v>
      </c>
      <c r="J455" s="1" t="s">
        <v>1695</v>
      </c>
      <c r="K455">
        <v>82</v>
      </c>
    </row>
    <row r="456" spans="1:11" x14ac:dyDescent="0.25">
      <c r="A456" s="1" t="s">
        <v>1163</v>
      </c>
      <c r="B456" s="1" t="s">
        <v>64</v>
      </c>
      <c r="C456" s="1" t="s">
        <v>1153</v>
      </c>
      <c r="D456" s="1" t="s">
        <v>1503</v>
      </c>
      <c r="E456" s="1" t="s">
        <v>1509</v>
      </c>
      <c r="F456" s="1" t="s">
        <v>813</v>
      </c>
      <c r="G456" s="2">
        <v>45209</v>
      </c>
      <c r="H456" s="3">
        <v>0.21527777777777768</v>
      </c>
      <c r="I456" s="1">
        <v>-11.389362</v>
      </c>
      <c r="J456" s="1">
        <v>22.240174</v>
      </c>
      <c r="K456">
        <v>23</v>
      </c>
    </row>
    <row r="457" spans="1:11" x14ac:dyDescent="0.25">
      <c r="A457" s="1" t="s">
        <v>1163</v>
      </c>
      <c r="B457" s="1" t="s">
        <v>18</v>
      </c>
      <c r="C457" s="1" t="s">
        <v>999</v>
      </c>
      <c r="D457" s="1" t="s">
        <v>1506</v>
      </c>
      <c r="E457" s="1" t="s">
        <v>1504</v>
      </c>
      <c r="F457" s="1" t="s">
        <v>811</v>
      </c>
      <c r="G457" s="2">
        <v>45210</v>
      </c>
      <c r="H457" s="3">
        <v>0.92638888888888893</v>
      </c>
      <c r="I457" s="1">
        <v>1.210869</v>
      </c>
      <c r="J457" s="1">
        <v>25.598741</v>
      </c>
      <c r="K457">
        <v>45</v>
      </c>
    </row>
    <row r="458" spans="1:11" hidden="1" x14ac:dyDescent="0.25">
      <c r="A458" s="1" t="s">
        <v>1163</v>
      </c>
      <c r="B458" s="1" t="s">
        <v>1695</v>
      </c>
      <c r="C458" s="1" t="s">
        <v>1182</v>
      </c>
      <c r="D458" s="1" t="s">
        <v>1695</v>
      </c>
      <c r="E458" s="1" t="s">
        <v>1695</v>
      </c>
      <c r="F458" s="1" t="s">
        <v>813</v>
      </c>
      <c r="G458" s="2">
        <v>45211</v>
      </c>
      <c r="H458" s="3">
        <v>0.70625000000000004</v>
      </c>
      <c r="I458" s="1" t="s">
        <v>1695</v>
      </c>
      <c r="J458" s="1" t="s">
        <v>1695</v>
      </c>
      <c r="K458">
        <v>115</v>
      </c>
    </row>
    <row r="459" spans="1:11" hidden="1" x14ac:dyDescent="0.25">
      <c r="A459" s="1" t="s">
        <v>1163</v>
      </c>
      <c r="B459" s="1" t="s">
        <v>1695</v>
      </c>
      <c r="C459" s="1" t="s">
        <v>1183</v>
      </c>
      <c r="D459" s="1" t="s">
        <v>1695</v>
      </c>
      <c r="E459" s="1" t="s">
        <v>1695</v>
      </c>
      <c r="F459" s="1" t="s">
        <v>808</v>
      </c>
      <c r="G459" s="2">
        <v>45209</v>
      </c>
      <c r="H459" s="3">
        <v>9.4444444444444553E-2</v>
      </c>
      <c r="I459" s="1" t="s">
        <v>1695</v>
      </c>
      <c r="J459" s="1" t="s">
        <v>1695</v>
      </c>
      <c r="K459">
        <v>96</v>
      </c>
    </row>
    <row r="460" spans="1:11" x14ac:dyDescent="0.25">
      <c r="A460" s="1" t="s">
        <v>1163</v>
      </c>
      <c r="B460" s="1" t="s">
        <v>18</v>
      </c>
      <c r="C460" s="1" t="s">
        <v>999</v>
      </c>
      <c r="D460" s="1" t="s">
        <v>1506</v>
      </c>
      <c r="E460" s="1" t="s">
        <v>1504</v>
      </c>
      <c r="F460" s="1" t="s">
        <v>813</v>
      </c>
      <c r="G460" s="2">
        <v>45206</v>
      </c>
      <c r="H460" s="3">
        <v>0.85763888888888884</v>
      </c>
      <c r="I460" s="1">
        <v>1.210869</v>
      </c>
      <c r="J460" s="1">
        <v>25.598741</v>
      </c>
      <c r="K460">
        <v>45</v>
      </c>
    </row>
    <row r="461" spans="1:11" hidden="1" x14ac:dyDescent="0.25">
      <c r="A461" s="1" t="s">
        <v>1163</v>
      </c>
      <c r="B461" s="1" t="s">
        <v>1695</v>
      </c>
      <c r="C461" s="1" t="s">
        <v>1184</v>
      </c>
      <c r="D461" s="1" t="s">
        <v>1695</v>
      </c>
      <c r="E461" s="1" t="s">
        <v>1695</v>
      </c>
      <c r="F461" s="1" t="s">
        <v>811</v>
      </c>
      <c r="G461" s="2">
        <v>45208</v>
      </c>
      <c r="H461" s="3">
        <v>0.19444444444444442</v>
      </c>
      <c r="I461" s="1" t="s">
        <v>1695</v>
      </c>
      <c r="J461" s="1" t="s">
        <v>1695</v>
      </c>
      <c r="K461">
        <v>98</v>
      </c>
    </row>
    <row r="462" spans="1:11" hidden="1" x14ac:dyDescent="0.25">
      <c r="A462" s="1" t="s">
        <v>1163</v>
      </c>
      <c r="B462" s="1" t="s">
        <v>1695</v>
      </c>
      <c r="C462" s="1" t="s">
        <v>898</v>
      </c>
      <c r="D462" s="1" t="s">
        <v>1695</v>
      </c>
      <c r="E462" s="1" t="s">
        <v>1695</v>
      </c>
      <c r="F462" s="1" t="s">
        <v>813</v>
      </c>
      <c r="G462" s="2">
        <v>45209</v>
      </c>
      <c r="H462" s="3">
        <v>0.81527777777777777</v>
      </c>
      <c r="I462" s="1" t="s">
        <v>1695</v>
      </c>
      <c r="J462" s="1" t="s">
        <v>1695</v>
      </c>
      <c r="K462">
        <v>115</v>
      </c>
    </row>
    <row r="463" spans="1:11" hidden="1" x14ac:dyDescent="0.25">
      <c r="A463" s="1" t="s">
        <v>1163</v>
      </c>
      <c r="B463" s="1" t="s">
        <v>1695</v>
      </c>
      <c r="C463" s="1" t="s">
        <v>1185</v>
      </c>
      <c r="D463" s="1" t="s">
        <v>1695</v>
      </c>
      <c r="E463" s="1" t="s">
        <v>1695</v>
      </c>
      <c r="F463" s="1" t="s">
        <v>811</v>
      </c>
      <c r="G463" s="2">
        <v>45202</v>
      </c>
      <c r="H463" s="3">
        <v>0.69513888888888897</v>
      </c>
      <c r="I463" s="1" t="s">
        <v>1695</v>
      </c>
      <c r="J463" s="1" t="s">
        <v>1695</v>
      </c>
      <c r="K463">
        <v>49</v>
      </c>
    </row>
    <row r="464" spans="1:11" hidden="1" x14ac:dyDescent="0.25">
      <c r="A464" s="1" t="s">
        <v>1163</v>
      </c>
      <c r="B464" s="1" t="s">
        <v>1695</v>
      </c>
      <c r="C464" s="1" t="s">
        <v>1186</v>
      </c>
      <c r="D464" s="1" t="s">
        <v>1695</v>
      </c>
      <c r="E464" s="1" t="s">
        <v>1695</v>
      </c>
      <c r="F464" s="1" t="s">
        <v>813</v>
      </c>
      <c r="G464" s="2">
        <v>45205</v>
      </c>
      <c r="H464" s="3">
        <v>0.77569444444444446</v>
      </c>
      <c r="I464" s="1" t="s">
        <v>1695</v>
      </c>
      <c r="J464" s="1" t="s">
        <v>1695</v>
      </c>
      <c r="K464">
        <v>56</v>
      </c>
    </row>
    <row r="465" spans="1:11" x14ac:dyDescent="0.25">
      <c r="A465" s="1" t="s">
        <v>1163</v>
      </c>
      <c r="B465" s="1" t="s">
        <v>62</v>
      </c>
      <c r="C465" s="1" t="s">
        <v>1032</v>
      </c>
      <c r="D465" s="1" t="s">
        <v>1506</v>
      </c>
      <c r="E465" s="1" t="s">
        <v>1507</v>
      </c>
      <c r="F465" s="1" t="s">
        <v>811</v>
      </c>
      <c r="G465" s="2">
        <v>45204</v>
      </c>
      <c r="H465" s="3">
        <v>0.23750000000000004</v>
      </c>
      <c r="I465" s="1">
        <v>2.975352</v>
      </c>
      <c r="J465" s="1">
        <v>22.535886000000001</v>
      </c>
      <c r="K465">
        <v>21</v>
      </c>
    </row>
    <row r="466" spans="1:11" hidden="1" x14ac:dyDescent="0.25">
      <c r="A466" s="1" t="s">
        <v>1163</v>
      </c>
      <c r="B466" s="1" t="s">
        <v>1695</v>
      </c>
      <c r="C466" s="1" t="s">
        <v>883</v>
      </c>
      <c r="D466" s="1" t="s">
        <v>1695</v>
      </c>
      <c r="E466" s="1" t="s">
        <v>1695</v>
      </c>
      <c r="F466" s="1" t="s">
        <v>811</v>
      </c>
      <c r="G466" s="2">
        <v>45219</v>
      </c>
      <c r="H466" s="3">
        <v>0.99791666666666656</v>
      </c>
      <c r="I466" s="1" t="s">
        <v>1695</v>
      </c>
      <c r="J466" s="1" t="s">
        <v>1695</v>
      </c>
      <c r="K466">
        <v>102</v>
      </c>
    </row>
    <row r="467" spans="1:11" hidden="1" x14ac:dyDescent="0.25">
      <c r="A467" s="1" t="s">
        <v>1163</v>
      </c>
      <c r="B467" s="1" t="s">
        <v>1695</v>
      </c>
      <c r="C467" s="1" t="s">
        <v>1187</v>
      </c>
      <c r="D467" s="1" t="s">
        <v>1695</v>
      </c>
      <c r="E467" s="1" t="s">
        <v>1695</v>
      </c>
      <c r="F467" s="1" t="s">
        <v>811</v>
      </c>
      <c r="G467" s="2">
        <v>45219</v>
      </c>
      <c r="H467" s="3">
        <v>0.45347222222222228</v>
      </c>
      <c r="I467" s="1" t="s">
        <v>1695</v>
      </c>
      <c r="J467" s="1" t="s">
        <v>1695</v>
      </c>
      <c r="K467">
        <v>52</v>
      </c>
    </row>
    <row r="468" spans="1:11" hidden="1" x14ac:dyDescent="0.25">
      <c r="A468" s="1" t="s">
        <v>1163</v>
      </c>
      <c r="B468" s="1" t="s">
        <v>1695</v>
      </c>
      <c r="C468" s="1" t="s">
        <v>1188</v>
      </c>
      <c r="D468" s="1" t="s">
        <v>1695</v>
      </c>
      <c r="E468" s="1" t="s">
        <v>1695</v>
      </c>
      <c r="F468" s="1" t="s">
        <v>808</v>
      </c>
      <c r="G468" s="2">
        <v>45229</v>
      </c>
      <c r="H468" s="3">
        <v>0.75138888888888888</v>
      </c>
      <c r="I468" s="1" t="s">
        <v>1695</v>
      </c>
      <c r="J468" s="1" t="s">
        <v>1695</v>
      </c>
      <c r="K468">
        <v>70</v>
      </c>
    </row>
    <row r="469" spans="1:11" hidden="1" x14ac:dyDescent="0.25">
      <c r="A469" s="1" t="s">
        <v>1163</v>
      </c>
      <c r="B469" s="1" t="s">
        <v>1695</v>
      </c>
      <c r="C469" s="1" t="s">
        <v>1189</v>
      </c>
      <c r="D469" s="1" t="s">
        <v>1695</v>
      </c>
      <c r="E469" s="1" t="s">
        <v>1695</v>
      </c>
      <c r="F469" s="1" t="s">
        <v>808</v>
      </c>
      <c r="G469" s="2">
        <v>45226</v>
      </c>
      <c r="H469" s="3">
        <v>3.4722222222223209E-3</v>
      </c>
      <c r="I469" s="1" t="s">
        <v>1695</v>
      </c>
      <c r="J469" s="1" t="s">
        <v>1695</v>
      </c>
      <c r="K469">
        <v>76</v>
      </c>
    </row>
    <row r="470" spans="1:11" x14ac:dyDescent="0.25">
      <c r="A470" s="1" t="s">
        <v>1163</v>
      </c>
      <c r="B470" s="1" t="s">
        <v>62</v>
      </c>
      <c r="C470" s="1" t="s">
        <v>1079</v>
      </c>
      <c r="D470" s="1" t="s">
        <v>1506</v>
      </c>
      <c r="E470" s="1" t="s">
        <v>1516</v>
      </c>
      <c r="F470" s="1" t="s">
        <v>808</v>
      </c>
      <c r="G470" s="2">
        <v>45201</v>
      </c>
      <c r="H470" s="3">
        <v>0.86736111111111103</v>
      </c>
      <c r="I470" s="1">
        <v>-12.112399999999999</v>
      </c>
      <c r="J470" s="1">
        <v>15.872226</v>
      </c>
      <c r="K470">
        <v>18</v>
      </c>
    </row>
    <row r="471" spans="1:11" hidden="1" x14ac:dyDescent="0.25">
      <c r="A471" s="1" t="s">
        <v>1163</v>
      </c>
      <c r="B471" s="1" t="s">
        <v>1695</v>
      </c>
      <c r="C471" s="1" t="s">
        <v>851</v>
      </c>
      <c r="D471" s="1" t="s">
        <v>1695</v>
      </c>
      <c r="E471" s="1" t="s">
        <v>1695</v>
      </c>
      <c r="F471" s="1" t="s">
        <v>813</v>
      </c>
      <c r="G471" s="2">
        <v>45218</v>
      </c>
      <c r="H471" s="3">
        <v>0.36180555555555549</v>
      </c>
      <c r="I471" s="1" t="s">
        <v>1695</v>
      </c>
      <c r="J471" s="1" t="s">
        <v>1695</v>
      </c>
      <c r="K471">
        <v>45</v>
      </c>
    </row>
    <row r="472" spans="1:11" hidden="1" x14ac:dyDescent="0.25">
      <c r="A472" s="1" t="s">
        <v>1163</v>
      </c>
      <c r="B472" s="1" t="s">
        <v>1695</v>
      </c>
      <c r="C472" s="1" t="s">
        <v>1190</v>
      </c>
      <c r="D472" s="1" t="s">
        <v>1695</v>
      </c>
      <c r="E472" s="1" t="s">
        <v>1695</v>
      </c>
      <c r="F472" s="1" t="s">
        <v>813</v>
      </c>
      <c r="G472" s="2">
        <v>45206</v>
      </c>
      <c r="H472" s="3">
        <v>0.76805555555555549</v>
      </c>
      <c r="I472" s="1" t="s">
        <v>1695</v>
      </c>
      <c r="J472" s="1" t="s">
        <v>1695</v>
      </c>
      <c r="K472">
        <v>35</v>
      </c>
    </row>
    <row r="473" spans="1:11" hidden="1" x14ac:dyDescent="0.25">
      <c r="A473" s="1" t="s">
        <v>1163</v>
      </c>
      <c r="B473" s="1" t="s">
        <v>1695</v>
      </c>
      <c r="C473" s="1" t="s">
        <v>1191</v>
      </c>
      <c r="D473" s="1" t="s">
        <v>1695</v>
      </c>
      <c r="E473" s="1" t="s">
        <v>1695</v>
      </c>
      <c r="F473" s="1" t="s">
        <v>813</v>
      </c>
      <c r="G473" s="2">
        <v>45219</v>
      </c>
      <c r="H473" s="3">
        <v>0.83402777777777781</v>
      </c>
      <c r="I473" s="1" t="s">
        <v>1695</v>
      </c>
      <c r="J473" s="1" t="s">
        <v>1695</v>
      </c>
      <c r="K473">
        <v>64</v>
      </c>
    </row>
    <row r="474" spans="1:11" hidden="1" x14ac:dyDescent="0.25">
      <c r="A474" s="1" t="s">
        <v>1192</v>
      </c>
      <c r="B474" s="1" t="s">
        <v>1695</v>
      </c>
      <c r="C474" s="1" t="s">
        <v>1166</v>
      </c>
      <c r="D474" s="1" t="s">
        <v>1695</v>
      </c>
      <c r="E474" s="1" t="s">
        <v>1695</v>
      </c>
      <c r="F474" s="1" t="s">
        <v>811</v>
      </c>
      <c r="G474" s="2">
        <v>45201</v>
      </c>
      <c r="H474" s="3">
        <v>4.3055555555555625E-2</v>
      </c>
      <c r="I474" s="1" t="s">
        <v>1695</v>
      </c>
      <c r="J474" s="1" t="s">
        <v>1695</v>
      </c>
      <c r="K474">
        <v>45</v>
      </c>
    </row>
    <row r="475" spans="1:11" hidden="1" x14ac:dyDescent="0.25">
      <c r="A475" s="1" t="s">
        <v>1192</v>
      </c>
      <c r="B475" s="1" t="s">
        <v>1695</v>
      </c>
      <c r="C475" s="1" t="s">
        <v>1193</v>
      </c>
      <c r="D475" s="1" t="s">
        <v>1695</v>
      </c>
      <c r="E475" s="1" t="s">
        <v>1695</v>
      </c>
      <c r="F475" s="1" t="s">
        <v>808</v>
      </c>
      <c r="G475" s="2">
        <v>45204</v>
      </c>
      <c r="H475" s="3">
        <v>0.93124999999999991</v>
      </c>
      <c r="I475" s="1" t="s">
        <v>1695</v>
      </c>
      <c r="J475" s="1" t="s">
        <v>1695</v>
      </c>
      <c r="K475">
        <v>66</v>
      </c>
    </row>
    <row r="476" spans="1:11" hidden="1" x14ac:dyDescent="0.25">
      <c r="A476" s="1" t="s">
        <v>1192</v>
      </c>
      <c r="B476" s="1" t="s">
        <v>1695</v>
      </c>
      <c r="C476" s="1" t="s">
        <v>1194</v>
      </c>
      <c r="D476" s="1" t="s">
        <v>1695</v>
      </c>
      <c r="E476" s="1" t="s">
        <v>1695</v>
      </c>
      <c r="F476" s="1" t="s">
        <v>808</v>
      </c>
      <c r="G476" s="2">
        <v>45225</v>
      </c>
      <c r="H476" s="3">
        <v>0.6479166666666667</v>
      </c>
      <c r="I476" s="1" t="s">
        <v>1695</v>
      </c>
      <c r="J476" s="1" t="s">
        <v>1695</v>
      </c>
      <c r="K476">
        <v>49</v>
      </c>
    </row>
    <row r="477" spans="1:11" hidden="1" x14ac:dyDescent="0.25">
      <c r="A477" s="1" t="s">
        <v>1192</v>
      </c>
      <c r="B477" s="1" t="s">
        <v>1695</v>
      </c>
      <c r="C477" s="1" t="s">
        <v>836</v>
      </c>
      <c r="D477" s="1" t="s">
        <v>1695</v>
      </c>
      <c r="E477" s="1" t="s">
        <v>1695</v>
      </c>
      <c r="F477" s="1" t="s">
        <v>813</v>
      </c>
      <c r="G477" s="2">
        <v>45214</v>
      </c>
      <c r="H477" s="3">
        <v>0.19305555555555554</v>
      </c>
      <c r="I477" s="1" t="s">
        <v>1695</v>
      </c>
      <c r="J477" s="1" t="s">
        <v>1695</v>
      </c>
      <c r="K477">
        <v>76</v>
      </c>
    </row>
    <row r="478" spans="1:11" x14ac:dyDescent="0.25">
      <c r="A478" s="1" t="s">
        <v>1192</v>
      </c>
      <c r="B478" s="1" t="s">
        <v>137</v>
      </c>
      <c r="C478" s="1" t="s">
        <v>1195</v>
      </c>
      <c r="D478" s="1" t="s">
        <v>1506</v>
      </c>
      <c r="E478" s="1" t="s">
        <v>1516</v>
      </c>
      <c r="F478" s="1" t="s">
        <v>808</v>
      </c>
      <c r="G478" s="2">
        <v>45228</v>
      </c>
      <c r="H478" s="3">
        <v>0.67222222222222228</v>
      </c>
      <c r="I478" s="1">
        <v>2.0392079999999999</v>
      </c>
      <c r="J478" s="1">
        <v>19.090841999999999</v>
      </c>
      <c r="K478">
        <v>106</v>
      </c>
    </row>
    <row r="479" spans="1:11" hidden="1" x14ac:dyDescent="0.25">
      <c r="A479" s="1" t="s">
        <v>1192</v>
      </c>
      <c r="B479" s="1" t="s">
        <v>1695</v>
      </c>
      <c r="C479" s="1" t="s">
        <v>1196</v>
      </c>
      <c r="D479" s="1" t="s">
        <v>1695</v>
      </c>
      <c r="E479" s="1" t="s">
        <v>1695</v>
      </c>
      <c r="F479" s="1" t="s">
        <v>808</v>
      </c>
      <c r="G479" s="2">
        <v>45210</v>
      </c>
      <c r="H479" s="3">
        <v>0.80555555555555558</v>
      </c>
      <c r="I479" s="1" t="s">
        <v>1695</v>
      </c>
      <c r="J479" s="1" t="s">
        <v>1695</v>
      </c>
      <c r="K479">
        <v>97</v>
      </c>
    </row>
    <row r="480" spans="1:11" x14ac:dyDescent="0.25">
      <c r="A480" s="1" t="s">
        <v>1192</v>
      </c>
      <c r="B480" s="1" t="s">
        <v>131</v>
      </c>
      <c r="C480" s="1" t="s">
        <v>1197</v>
      </c>
      <c r="D480" s="1" t="s">
        <v>1503</v>
      </c>
      <c r="E480" s="1" t="s">
        <v>1504</v>
      </c>
      <c r="F480" s="1" t="s">
        <v>813</v>
      </c>
      <c r="G480" s="2">
        <v>45205</v>
      </c>
      <c r="H480" s="3">
        <v>0.52708333333333335</v>
      </c>
      <c r="I480" s="1">
        <v>-5.42171</v>
      </c>
      <c r="J480" s="1">
        <v>24.202960999999998</v>
      </c>
      <c r="K480">
        <v>40</v>
      </c>
    </row>
    <row r="481" spans="1:11" x14ac:dyDescent="0.25">
      <c r="A481" s="1" t="s">
        <v>1192</v>
      </c>
      <c r="B481" s="1" t="s">
        <v>16</v>
      </c>
      <c r="C481" s="1" t="s">
        <v>1122</v>
      </c>
      <c r="D481" s="1" t="s">
        <v>1508</v>
      </c>
      <c r="E481" s="1" t="s">
        <v>1504</v>
      </c>
      <c r="F481" s="1" t="s">
        <v>813</v>
      </c>
      <c r="G481" s="2">
        <v>45223</v>
      </c>
      <c r="H481" s="3">
        <v>0.40069444444444446</v>
      </c>
      <c r="I481" s="1">
        <v>-1.231033</v>
      </c>
      <c r="J481" s="1">
        <v>28.851388</v>
      </c>
      <c r="K481">
        <v>41</v>
      </c>
    </row>
    <row r="482" spans="1:11" x14ac:dyDescent="0.25">
      <c r="A482" s="1" t="s">
        <v>1192</v>
      </c>
      <c r="B482" s="1" t="s">
        <v>60</v>
      </c>
      <c r="C482" s="1" t="s">
        <v>1198</v>
      </c>
      <c r="D482" s="1" t="s">
        <v>1503</v>
      </c>
      <c r="E482" s="1" t="s">
        <v>1507</v>
      </c>
      <c r="F482" s="1" t="s">
        <v>808</v>
      </c>
      <c r="G482" s="2">
        <v>45210</v>
      </c>
      <c r="H482" s="3">
        <v>0.70347222222222228</v>
      </c>
      <c r="I482" s="1">
        <v>-0.79459900000000006</v>
      </c>
      <c r="J482" s="1">
        <v>26.775570999999999</v>
      </c>
      <c r="K482">
        <v>20</v>
      </c>
    </row>
    <row r="483" spans="1:11" x14ac:dyDescent="0.25">
      <c r="A483" s="1" t="s">
        <v>1192</v>
      </c>
      <c r="B483" s="1" t="s">
        <v>137</v>
      </c>
      <c r="C483" s="1" t="s">
        <v>992</v>
      </c>
      <c r="D483" s="1" t="s">
        <v>1508</v>
      </c>
      <c r="E483" s="1" t="s">
        <v>1504</v>
      </c>
      <c r="F483" s="1" t="s">
        <v>811</v>
      </c>
      <c r="G483" s="2">
        <v>45216</v>
      </c>
      <c r="H483" s="3">
        <v>0.72986111111111107</v>
      </c>
      <c r="I483" s="1">
        <v>-9.5243310000000001</v>
      </c>
      <c r="J483" s="1">
        <v>30.541212000000002</v>
      </c>
      <c r="K483">
        <v>78</v>
      </c>
    </row>
    <row r="484" spans="1:11" x14ac:dyDescent="0.25">
      <c r="A484" s="1" t="s">
        <v>1192</v>
      </c>
      <c r="B484" s="1" t="s">
        <v>26</v>
      </c>
      <c r="C484" s="1" t="s">
        <v>977</v>
      </c>
      <c r="D484" s="1" t="s">
        <v>1503</v>
      </c>
      <c r="E484" s="1" t="s">
        <v>1509</v>
      </c>
      <c r="F484" s="1" t="s">
        <v>813</v>
      </c>
      <c r="G484" s="2">
        <v>45222</v>
      </c>
      <c r="H484" s="3">
        <v>0.76319444444444451</v>
      </c>
      <c r="I484" s="1">
        <v>-3.6945459999999999</v>
      </c>
      <c r="J484" s="1">
        <v>16.809108999999999</v>
      </c>
      <c r="K484">
        <v>91</v>
      </c>
    </row>
    <row r="485" spans="1:11" x14ac:dyDescent="0.25">
      <c r="A485" s="1" t="s">
        <v>1192</v>
      </c>
      <c r="B485" s="1" t="s">
        <v>33</v>
      </c>
      <c r="C485" s="1" t="s">
        <v>1199</v>
      </c>
      <c r="D485" s="1" t="s">
        <v>1506</v>
      </c>
      <c r="E485" s="1" t="s">
        <v>1507</v>
      </c>
      <c r="F485" s="1" t="s">
        <v>808</v>
      </c>
      <c r="G485" s="2">
        <v>45215</v>
      </c>
      <c r="H485" s="3">
        <v>1.5972222222222276E-2</v>
      </c>
      <c r="I485" s="1">
        <v>-5.8352820000000003</v>
      </c>
      <c r="J485" s="1">
        <v>26.603978000000001</v>
      </c>
      <c r="K485">
        <v>74</v>
      </c>
    </row>
    <row r="486" spans="1:11" x14ac:dyDescent="0.25">
      <c r="A486" s="1" t="s">
        <v>1192</v>
      </c>
      <c r="B486" s="1" t="s">
        <v>67</v>
      </c>
      <c r="C486" s="1" t="s">
        <v>1200</v>
      </c>
      <c r="D486" s="1" t="s">
        <v>1506</v>
      </c>
      <c r="E486" s="1" t="s">
        <v>1504</v>
      </c>
      <c r="F486" s="1" t="s">
        <v>808</v>
      </c>
      <c r="G486" s="2">
        <v>45210</v>
      </c>
      <c r="H486" s="3">
        <v>0.8798611111111112</v>
      </c>
      <c r="I486" s="1">
        <v>-7.8770429999999996</v>
      </c>
      <c r="J486" s="1">
        <v>16.357762999999998</v>
      </c>
      <c r="K486">
        <v>53</v>
      </c>
    </row>
    <row r="487" spans="1:11" x14ac:dyDescent="0.25">
      <c r="A487" s="1" t="s">
        <v>1192</v>
      </c>
      <c r="B487" s="1" t="s">
        <v>60</v>
      </c>
      <c r="C487" s="1" t="s">
        <v>1198</v>
      </c>
      <c r="D487" s="1" t="s">
        <v>1503</v>
      </c>
      <c r="E487" s="1" t="s">
        <v>1507</v>
      </c>
      <c r="F487" s="1" t="s">
        <v>813</v>
      </c>
      <c r="G487" s="2">
        <v>45213</v>
      </c>
      <c r="H487" s="3">
        <v>0.76319444444444451</v>
      </c>
      <c r="I487" s="1">
        <v>-0.79459900000000006</v>
      </c>
      <c r="J487" s="1">
        <v>26.775570999999999</v>
      </c>
      <c r="K487">
        <v>119</v>
      </c>
    </row>
    <row r="488" spans="1:11" hidden="1" x14ac:dyDescent="0.25">
      <c r="A488" s="1" t="s">
        <v>1192</v>
      </c>
      <c r="B488" s="1" t="s">
        <v>1695</v>
      </c>
      <c r="C488" s="1" t="s">
        <v>1018</v>
      </c>
      <c r="D488" s="1" t="s">
        <v>1695</v>
      </c>
      <c r="E488" s="1" t="s">
        <v>1695</v>
      </c>
      <c r="F488" s="1" t="s">
        <v>811</v>
      </c>
      <c r="G488" s="2">
        <v>45225</v>
      </c>
      <c r="H488" s="3">
        <v>0.99652777777777768</v>
      </c>
      <c r="I488" s="1" t="s">
        <v>1695</v>
      </c>
      <c r="J488" s="1" t="s">
        <v>1695</v>
      </c>
      <c r="K488">
        <v>55</v>
      </c>
    </row>
    <row r="489" spans="1:11" x14ac:dyDescent="0.25">
      <c r="A489" s="1" t="s">
        <v>1192</v>
      </c>
      <c r="B489" s="1" t="s">
        <v>24</v>
      </c>
      <c r="C489" s="1" t="s">
        <v>871</v>
      </c>
      <c r="D489" s="1" t="s">
        <v>1503</v>
      </c>
      <c r="E489" s="1" t="s">
        <v>1504</v>
      </c>
      <c r="F489" s="1" t="s">
        <v>811</v>
      </c>
      <c r="G489" s="2">
        <v>45222</v>
      </c>
      <c r="H489" s="3">
        <v>0.83402777777777781</v>
      </c>
      <c r="I489" s="1">
        <v>-2.9417719999999998</v>
      </c>
      <c r="J489" s="1">
        <v>18.587305000000001</v>
      </c>
      <c r="K489">
        <v>109</v>
      </c>
    </row>
    <row r="490" spans="1:11" hidden="1" x14ac:dyDescent="0.25">
      <c r="A490" s="1" t="s">
        <v>1192</v>
      </c>
      <c r="B490" s="1" t="s">
        <v>1695</v>
      </c>
      <c r="C490" s="1" t="s">
        <v>1020</v>
      </c>
      <c r="D490" s="1" t="s">
        <v>1695</v>
      </c>
      <c r="E490" s="1" t="s">
        <v>1695</v>
      </c>
      <c r="F490" s="1" t="s">
        <v>808</v>
      </c>
      <c r="G490" s="2">
        <v>45219</v>
      </c>
      <c r="H490" s="3">
        <v>0.63611111111111107</v>
      </c>
      <c r="I490" s="1" t="s">
        <v>1695</v>
      </c>
      <c r="J490" s="1" t="s">
        <v>1695</v>
      </c>
      <c r="K490">
        <v>49</v>
      </c>
    </row>
    <row r="491" spans="1:11" x14ac:dyDescent="0.25">
      <c r="A491" s="1" t="s">
        <v>1192</v>
      </c>
      <c r="B491" s="1" t="s">
        <v>26</v>
      </c>
      <c r="C491" s="1" t="s">
        <v>1201</v>
      </c>
      <c r="D491" s="1" t="s">
        <v>1503</v>
      </c>
      <c r="E491" s="1" t="s">
        <v>1507</v>
      </c>
      <c r="F491" s="1" t="s">
        <v>813</v>
      </c>
      <c r="G491" s="2">
        <v>45230</v>
      </c>
      <c r="H491" s="3">
        <v>0.86805555555555558</v>
      </c>
      <c r="I491" s="1">
        <v>-2.8532869999999999</v>
      </c>
      <c r="J491" s="1">
        <v>22.117896000000002</v>
      </c>
      <c r="K491">
        <v>103</v>
      </c>
    </row>
    <row r="492" spans="1:11" x14ac:dyDescent="0.25">
      <c r="A492" s="1" t="s">
        <v>1192</v>
      </c>
      <c r="B492" s="1" t="s">
        <v>60</v>
      </c>
      <c r="C492" s="1" t="s">
        <v>1202</v>
      </c>
      <c r="D492" s="1" t="s">
        <v>1503</v>
      </c>
      <c r="E492" s="1" t="s">
        <v>1509</v>
      </c>
      <c r="F492" s="1" t="s">
        <v>813</v>
      </c>
      <c r="G492" s="2">
        <v>45224</v>
      </c>
      <c r="H492" s="3">
        <v>0.77499999999999991</v>
      </c>
      <c r="I492" s="1">
        <v>-5.7200150000000001</v>
      </c>
      <c r="J492" s="1">
        <v>25.022109</v>
      </c>
      <c r="K492">
        <v>107</v>
      </c>
    </row>
    <row r="493" spans="1:11" x14ac:dyDescent="0.25">
      <c r="A493" s="1" t="s">
        <v>1192</v>
      </c>
      <c r="B493" s="1" t="s">
        <v>131</v>
      </c>
      <c r="C493" s="1" t="s">
        <v>976</v>
      </c>
      <c r="D493" s="1" t="s">
        <v>1503</v>
      </c>
      <c r="E493" s="1" t="s">
        <v>1507</v>
      </c>
      <c r="F493" s="1" t="s">
        <v>813</v>
      </c>
      <c r="G493" s="2">
        <v>45207</v>
      </c>
      <c r="H493" s="3">
        <v>0.9604166666666667</v>
      </c>
      <c r="I493" s="1">
        <v>-12.336202</v>
      </c>
      <c r="J493" s="1">
        <v>13.693683999999999</v>
      </c>
      <c r="K493">
        <v>23</v>
      </c>
    </row>
    <row r="494" spans="1:11" x14ac:dyDescent="0.25">
      <c r="A494" s="1" t="s">
        <v>1192</v>
      </c>
      <c r="B494" s="1" t="s">
        <v>51</v>
      </c>
      <c r="C494" s="1" t="s">
        <v>844</v>
      </c>
      <c r="D494" s="1" t="s">
        <v>1506</v>
      </c>
      <c r="E494" s="1" t="s">
        <v>1507</v>
      </c>
      <c r="F494" s="1" t="s">
        <v>811</v>
      </c>
      <c r="G494" s="2">
        <v>45218</v>
      </c>
      <c r="H494" s="3">
        <v>0.63194444444444442</v>
      </c>
      <c r="I494" s="1">
        <v>-0.77432100000000004</v>
      </c>
      <c r="J494" s="1">
        <v>18.628658999999999</v>
      </c>
      <c r="K494">
        <v>42</v>
      </c>
    </row>
    <row r="495" spans="1:11" x14ac:dyDescent="0.25">
      <c r="A495" s="1" t="s">
        <v>1192</v>
      </c>
      <c r="B495" s="1" t="s">
        <v>57</v>
      </c>
      <c r="C495" s="1" t="s">
        <v>1203</v>
      </c>
      <c r="D495" s="1" t="s">
        <v>1506</v>
      </c>
      <c r="E495" s="1" t="s">
        <v>1507</v>
      </c>
      <c r="F495" s="1" t="s">
        <v>811</v>
      </c>
      <c r="G495" s="2">
        <v>45216</v>
      </c>
      <c r="H495" s="3">
        <v>0.86527777777777781</v>
      </c>
      <c r="I495" s="1">
        <v>-1.648326</v>
      </c>
      <c r="J495" s="1">
        <v>25.528901999999999</v>
      </c>
      <c r="K495">
        <v>10</v>
      </c>
    </row>
    <row r="496" spans="1:11" x14ac:dyDescent="0.25">
      <c r="A496" s="1" t="s">
        <v>1192</v>
      </c>
      <c r="B496" s="1" t="s">
        <v>13</v>
      </c>
      <c r="C496" s="1" t="s">
        <v>951</v>
      </c>
      <c r="D496" s="1" t="s">
        <v>1503</v>
      </c>
      <c r="E496" s="1" t="s">
        <v>1507</v>
      </c>
      <c r="F496" s="1" t="s">
        <v>811</v>
      </c>
      <c r="G496" s="2">
        <v>45219</v>
      </c>
      <c r="H496" s="3">
        <v>0.50625000000000009</v>
      </c>
      <c r="I496" s="1">
        <v>-2.3677800000000002</v>
      </c>
      <c r="J496" s="1">
        <v>18.790323999999998</v>
      </c>
      <c r="K496">
        <v>41</v>
      </c>
    </row>
    <row r="497" spans="1:11" hidden="1" x14ac:dyDescent="0.25">
      <c r="A497" s="1" t="s">
        <v>1192</v>
      </c>
      <c r="B497" s="1" t="s">
        <v>1695</v>
      </c>
      <c r="C497" s="1" t="s">
        <v>1204</v>
      </c>
      <c r="D497" s="1" t="s">
        <v>1695</v>
      </c>
      <c r="E497" s="1" t="s">
        <v>1695</v>
      </c>
      <c r="F497" s="1" t="s">
        <v>813</v>
      </c>
      <c r="G497" s="2">
        <v>45226</v>
      </c>
      <c r="H497" s="3">
        <v>0.88541666666666674</v>
      </c>
      <c r="I497" s="1" t="s">
        <v>1695</v>
      </c>
      <c r="J497" s="1" t="s">
        <v>1695</v>
      </c>
      <c r="K497">
        <v>96</v>
      </c>
    </row>
    <row r="498" spans="1:11" hidden="1" x14ac:dyDescent="0.25">
      <c r="A498" s="1" t="s">
        <v>1192</v>
      </c>
      <c r="B498" s="1" t="s">
        <v>1695</v>
      </c>
      <c r="C498" s="1" t="s">
        <v>1205</v>
      </c>
      <c r="D498" s="1" t="s">
        <v>1695</v>
      </c>
      <c r="E498" s="1" t="s">
        <v>1695</v>
      </c>
      <c r="F498" s="1" t="s">
        <v>808</v>
      </c>
      <c r="G498" s="2">
        <v>45201</v>
      </c>
      <c r="H498" s="3">
        <v>0.78055555555555545</v>
      </c>
      <c r="I498" s="1" t="s">
        <v>1695</v>
      </c>
      <c r="J498" s="1" t="s">
        <v>1695</v>
      </c>
      <c r="K498">
        <v>15</v>
      </c>
    </row>
    <row r="499" spans="1:11" x14ac:dyDescent="0.25">
      <c r="A499" s="1" t="s">
        <v>1192</v>
      </c>
      <c r="B499" s="1" t="s">
        <v>33</v>
      </c>
      <c r="C499" s="1" t="s">
        <v>939</v>
      </c>
      <c r="D499" s="1" t="s">
        <v>1508</v>
      </c>
      <c r="E499" s="1" t="s">
        <v>1504</v>
      </c>
      <c r="F499" s="1" t="s">
        <v>811</v>
      </c>
      <c r="G499" s="2">
        <v>45203</v>
      </c>
      <c r="H499" s="3">
        <v>0.25069444444444455</v>
      </c>
      <c r="I499" s="1">
        <v>-10.414493</v>
      </c>
      <c r="J499" s="1">
        <v>12.333356999999999</v>
      </c>
      <c r="K499">
        <v>49</v>
      </c>
    </row>
    <row r="500" spans="1:11" x14ac:dyDescent="0.25">
      <c r="A500" s="1" t="s">
        <v>1192</v>
      </c>
      <c r="B500" s="1" t="s">
        <v>37</v>
      </c>
      <c r="C500" s="1" t="s">
        <v>846</v>
      </c>
      <c r="D500" s="1" t="s">
        <v>1506</v>
      </c>
      <c r="E500" s="1" t="s">
        <v>1504</v>
      </c>
      <c r="F500" s="1" t="s">
        <v>813</v>
      </c>
      <c r="G500" s="2">
        <v>45214</v>
      </c>
      <c r="H500" s="3">
        <v>0.43472222222222223</v>
      </c>
      <c r="I500" s="1">
        <v>-10.776204</v>
      </c>
      <c r="J500" s="1">
        <v>24.672934000000001</v>
      </c>
      <c r="K500">
        <v>61</v>
      </c>
    </row>
    <row r="501" spans="1:11" x14ac:dyDescent="0.25">
      <c r="A501" s="1" t="s">
        <v>1192</v>
      </c>
      <c r="B501" s="1" t="s">
        <v>33</v>
      </c>
      <c r="C501" s="1" t="s">
        <v>954</v>
      </c>
      <c r="D501" s="1" t="s">
        <v>1506</v>
      </c>
      <c r="E501" s="1" t="s">
        <v>1509</v>
      </c>
      <c r="F501" s="1" t="s">
        <v>813</v>
      </c>
      <c r="G501" s="2">
        <v>45204</v>
      </c>
      <c r="H501" s="3">
        <v>0.57222222222222219</v>
      </c>
      <c r="I501" s="1">
        <v>-3.111418</v>
      </c>
      <c r="J501" s="1">
        <v>14.144854</v>
      </c>
      <c r="K501">
        <v>88</v>
      </c>
    </row>
    <row r="502" spans="1:11" x14ac:dyDescent="0.25">
      <c r="A502" s="1" t="s">
        <v>1192</v>
      </c>
      <c r="B502" s="1" t="s">
        <v>127</v>
      </c>
      <c r="C502" s="1" t="s">
        <v>1206</v>
      </c>
      <c r="D502" s="1" t="s">
        <v>1506</v>
      </c>
      <c r="E502" s="1" t="s">
        <v>1516</v>
      </c>
      <c r="F502" s="1" t="s">
        <v>808</v>
      </c>
      <c r="G502" s="2">
        <v>45206</v>
      </c>
      <c r="H502" s="3">
        <v>0.56388888888888888</v>
      </c>
      <c r="I502" s="1">
        <v>0.20866199999999999</v>
      </c>
      <c r="J502" s="1">
        <v>18.556439000000001</v>
      </c>
      <c r="K502">
        <v>37</v>
      </c>
    </row>
    <row r="503" spans="1:11" hidden="1" x14ac:dyDescent="0.25">
      <c r="A503" s="1" t="s">
        <v>1192</v>
      </c>
      <c r="B503" s="1" t="s">
        <v>1695</v>
      </c>
      <c r="C503" s="1" t="s">
        <v>1207</v>
      </c>
      <c r="D503" s="1" t="s">
        <v>1695</v>
      </c>
      <c r="E503" s="1" t="s">
        <v>1695</v>
      </c>
      <c r="F503" s="1" t="s">
        <v>808</v>
      </c>
      <c r="G503" s="2">
        <v>45224</v>
      </c>
      <c r="H503" s="3">
        <v>0.83194444444444438</v>
      </c>
      <c r="I503" s="1" t="s">
        <v>1695</v>
      </c>
      <c r="J503" s="1" t="s">
        <v>1695</v>
      </c>
      <c r="K503">
        <v>100</v>
      </c>
    </row>
    <row r="504" spans="1:11" x14ac:dyDescent="0.25">
      <c r="A504" s="1" t="s">
        <v>1192</v>
      </c>
      <c r="B504" s="1" t="s">
        <v>35</v>
      </c>
      <c r="C504" s="1" t="s">
        <v>1118</v>
      </c>
      <c r="D504" s="1" t="s">
        <v>1506</v>
      </c>
      <c r="E504" s="1" t="s">
        <v>1509</v>
      </c>
      <c r="F504" s="1" t="s">
        <v>813</v>
      </c>
      <c r="G504" s="2">
        <v>45215</v>
      </c>
      <c r="H504" s="3">
        <v>0.99027777777777781</v>
      </c>
      <c r="I504" s="1">
        <v>-1.4110389999999999</v>
      </c>
      <c r="J504" s="1">
        <v>21.261644</v>
      </c>
      <c r="K504">
        <v>66</v>
      </c>
    </row>
    <row r="505" spans="1:11" x14ac:dyDescent="0.25">
      <c r="A505" s="1" t="s">
        <v>1192</v>
      </c>
      <c r="B505" s="1" t="s">
        <v>26</v>
      </c>
      <c r="C505" s="1" t="s">
        <v>998</v>
      </c>
      <c r="D505" s="1" t="s">
        <v>1508</v>
      </c>
      <c r="E505" s="1" t="s">
        <v>1507</v>
      </c>
      <c r="F505" s="1" t="s">
        <v>808</v>
      </c>
      <c r="G505" s="2">
        <v>45201</v>
      </c>
      <c r="H505" s="3">
        <v>0.92222222222222228</v>
      </c>
      <c r="I505" s="1">
        <v>1.5278670000000001</v>
      </c>
      <c r="J505" s="1">
        <v>13.899388999999999</v>
      </c>
      <c r="K505">
        <v>32</v>
      </c>
    </row>
    <row r="506" spans="1:11" x14ac:dyDescent="0.25">
      <c r="A506" s="1" t="s">
        <v>1192</v>
      </c>
      <c r="B506" s="1" t="s">
        <v>60</v>
      </c>
      <c r="C506" s="1" t="s">
        <v>1202</v>
      </c>
      <c r="D506" s="1" t="s">
        <v>1503</v>
      </c>
      <c r="E506" s="1" t="s">
        <v>1509</v>
      </c>
      <c r="F506" s="1" t="s">
        <v>811</v>
      </c>
      <c r="G506" s="2">
        <v>45216</v>
      </c>
      <c r="H506" s="3">
        <v>0.27430555555555558</v>
      </c>
      <c r="I506" s="1">
        <v>-5.7200150000000001</v>
      </c>
      <c r="J506" s="1">
        <v>25.022109</v>
      </c>
      <c r="K506">
        <v>30</v>
      </c>
    </row>
    <row r="507" spans="1:11" x14ac:dyDescent="0.25">
      <c r="A507" s="1" t="s">
        <v>1192</v>
      </c>
      <c r="B507" s="1" t="s">
        <v>29</v>
      </c>
      <c r="C507" s="1" t="s">
        <v>1006</v>
      </c>
      <c r="D507" s="1" t="s">
        <v>1503</v>
      </c>
      <c r="E507" s="1" t="s">
        <v>1516</v>
      </c>
      <c r="F507" s="1" t="s">
        <v>813</v>
      </c>
      <c r="G507" s="2">
        <v>45210</v>
      </c>
      <c r="H507" s="3">
        <v>0.89583333333333326</v>
      </c>
      <c r="I507" s="1">
        <v>-4.351254</v>
      </c>
      <c r="J507" s="1">
        <v>30.097408999999999</v>
      </c>
      <c r="K507">
        <v>110</v>
      </c>
    </row>
    <row r="508" spans="1:11" hidden="1" x14ac:dyDescent="0.25">
      <c r="A508" s="1" t="s">
        <v>1192</v>
      </c>
      <c r="B508" s="1" t="s">
        <v>1695</v>
      </c>
      <c r="C508" s="1" t="s">
        <v>1208</v>
      </c>
      <c r="D508" s="1" t="s">
        <v>1695</v>
      </c>
      <c r="E508" s="1" t="s">
        <v>1695</v>
      </c>
      <c r="F508" s="1" t="s">
        <v>811</v>
      </c>
      <c r="G508" s="2">
        <v>45216</v>
      </c>
      <c r="H508" s="3">
        <v>0.51388888888888884</v>
      </c>
      <c r="I508" s="1" t="s">
        <v>1695</v>
      </c>
      <c r="J508" s="1" t="s">
        <v>1695</v>
      </c>
      <c r="K508">
        <v>73</v>
      </c>
    </row>
    <row r="509" spans="1:11" x14ac:dyDescent="0.25">
      <c r="A509" s="1" t="s">
        <v>1192</v>
      </c>
      <c r="B509" s="1" t="s">
        <v>67</v>
      </c>
      <c r="C509" s="1" t="s">
        <v>936</v>
      </c>
      <c r="D509" s="1" t="s">
        <v>1503</v>
      </c>
      <c r="E509" s="1" t="s">
        <v>1516</v>
      </c>
      <c r="F509" s="1" t="s">
        <v>813</v>
      </c>
      <c r="G509" s="2">
        <v>45230</v>
      </c>
      <c r="H509" s="3">
        <v>0.22847222222222219</v>
      </c>
      <c r="I509" s="1">
        <v>-5.7035130000000001</v>
      </c>
      <c r="J509" s="1">
        <v>14.331479</v>
      </c>
      <c r="K509">
        <v>39</v>
      </c>
    </row>
    <row r="510" spans="1:11" x14ac:dyDescent="0.25">
      <c r="A510" s="1" t="s">
        <v>1192</v>
      </c>
      <c r="B510" s="1" t="s">
        <v>89</v>
      </c>
      <c r="C510" s="1" t="s">
        <v>955</v>
      </c>
      <c r="D510" s="1" t="s">
        <v>1506</v>
      </c>
      <c r="E510" s="1" t="s">
        <v>1504</v>
      </c>
      <c r="F510" s="1" t="s">
        <v>811</v>
      </c>
      <c r="G510" s="2">
        <v>45229</v>
      </c>
      <c r="H510" s="3">
        <v>0.72291666666666665</v>
      </c>
      <c r="I510" s="1">
        <v>-1.342476</v>
      </c>
      <c r="J510" s="1">
        <v>15.986086</v>
      </c>
      <c r="K510">
        <v>76</v>
      </c>
    </row>
    <row r="511" spans="1:11" hidden="1" x14ac:dyDescent="0.25">
      <c r="A511" s="1" t="s">
        <v>1192</v>
      </c>
      <c r="B511" s="1" t="s">
        <v>1695</v>
      </c>
      <c r="C511" s="1" t="s">
        <v>1209</v>
      </c>
      <c r="D511" s="1" t="s">
        <v>1695</v>
      </c>
      <c r="E511" s="1" t="s">
        <v>1695</v>
      </c>
      <c r="F511" s="1" t="s">
        <v>808</v>
      </c>
      <c r="G511" s="2">
        <v>45217</v>
      </c>
      <c r="H511" s="3">
        <v>0.48819444444444438</v>
      </c>
      <c r="I511" s="1" t="s">
        <v>1695</v>
      </c>
      <c r="J511" s="1" t="s">
        <v>1695</v>
      </c>
      <c r="K511">
        <v>94</v>
      </c>
    </row>
    <row r="512" spans="1:11" hidden="1" x14ac:dyDescent="0.25">
      <c r="A512" s="1" t="s">
        <v>1192</v>
      </c>
      <c r="B512" s="1" t="s">
        <v>1695</v>
      </c>
      <c r="C512" s="1" t="s">
        <v>862</v>
      </c>
      <c r="D512" s="1" t="s">
        <v>1695</v>
      </c>
      <c r="E512" s="1" t="s">
        <v>1695</v>
      </c>
      <c r="F512" s="1" t="s">
        <v>808</v>
      </c>
      <c r="G512" s="2">
        <v>45224</v>
      </c>
      <c r="H512" s="3">
        <v>0.98819444444444438</v>
      </c>
      <c r="I512" s="1" t="s">
        <v>1695</v>
      </c>
      <c r="J512" s="1" t="s">
        <v>1695</v>
      </c>
      <c r="K512">
        <v>39</v>
      </c>
    </row>
    <row r="513" spans="1:11" x14ac:dyDescent="0.25">
      <c r="A513" s="1" t="s">
        <v>1192</v>
      </c>
      <c r="B513" s="1" t="s">
        <v>29</v>
      </c>
      <c r="C513" s="1" t="s">
        <v>1111</v>
      </c>
      <c r="D513" s="1" t="s">
        <v>1506</v>
      </c>
      <c r="E513" s="1" t="s">
        <v>1509</v>
      </c>
      <c r="F513" s="1" t="s">
        <v>811</v>
      </c>
      <c r="G513" s="2">
        <v>45220</v>
      </c>
      <c r="H513" s="3">
        <v>0.92777777777777781</v>
      </c>
      <c r="I513" s="1">
        <v>1.5802860000000001</v>
      </c>
      <c r="J513" s="1">
        <v>20.99053</v>
      </c>
      <c r="K513">
        <v>22</v>
      </c>
    </row>
    <row r="514" spans="1:11" hidden="1" x14ac:dyDescent="0.25">
      <c r="A514" s="1" t="s">
        <v>1192</v>
      </c>
      <c r="B514" s="1" t="s">
        <v>1695</v>
      </c>
      <c r="C514" s="1" t="s">
        <v>1210</v>
      </c>
      <c r="D514" s="1" t="s">
        <v>1695</v>
      </c>
      <c r="E514" s="1" t="s">
        <v>1695</v>
      </c>
      <c r="F514" s="1" t="s">
        <v>813</v>
      </c>
      <c r="G514" s="2">
        <v>45219</v>
      </c>
      <c r="H514" s="3">
        <v>0.6333333333333333</v>
      </c>
      <c r="I514" s="1" t="s">
        <v>1695</v>
      </c>
      <c r="J514" s="1" t="s">
        <v>1695</v>
      </c>
      <c r="K514">
        <v>18</v>
      </c>
    </row>
    <row r="515" spans="1:11" x14ac:dyDescent="0.25">
      <c r="A515" s="1" t="s">
        <v>1192</v>
      </c>
      <c r="B515" s="1" t="s">
        <v>62</v>
      </c>
      <c r="C515" s="1" t="s">
        <v>1211</v>
      </c>
      <c r="D515" s="1" t="s">
        <v>1503</v>
      </c>
      <c r="E515" s="1" t="s">
        <v>1516</v>
      </c>
      <c r="F515" s="1" t="s">
        <v>813</v>
      </c>
      <c r="G515" s="2">
        <v>45230</v>
      </c>
      <c r="H515" s="3">
        <v>0.30347222222222214</v>
      </c>
      <c r="I515" s="1">
        <v>-9.8208710000000004</v>
      </c>
      <c r="J515" s="1">
        <v>23.229807000000001</v>
      </c>
      <c r="K515">
        <v>83</v>
      </c>
    </row>
    <row r="516" spans="1:11" x14ac:dyDescent="0.25">
      <c r="A516" s="1" t="s">
        <v>1192</v>
      </c>
      <c r="B516" s="1" t="s">
        <v>18</v>
      </c>
      <c r="C516" s="1" t="s">
        <v>1212</v>
      </c>
      <c r="D516" s="1" t="s">
        <v>1508</v>
      </c>
      <c r="E516" s="1" t="s">
        <v>1504</v>
      </c>
      <c r="F516" s="1" t="s">
        <v>811</v>
      </c>
      <c r="G516" s="2">
        <v>45217</v>
      </c>
      <c r="H516" s="3">
        <v>0.38472222222222219</v>
      </c>
      <c r="I516" s="1">
        <v>-4.8157019999999999</v>
      </c>
      <c r="J516" s="1">
        <v>27.679798000000002</v>
      </c>
      <c r="K516">
        <v>99</v>
      </c>
    </row>
    <row r="517" spans="1:11" x14ac:dyDescent="0.25">
      <c r="A517" s="1" t="s">
        <v>1192</v>
      </c>
      <c r="B517" s="1" t="s">
        <v>51</v>
      </c>
      <c r="C517" s="1" t="s">
        <v>1213</v>
      </c>
      <c r="D517" s="1" t="s">
        <v>1503</v>
      </c>
      <c r="E517" s="1" t="s">
        <v>1516</v>
      </c>
      <c r="F517" s="1" t="s">
        <v>811</v>
      </c>
      <c r="G517" s="2">
        <v>45230</v>
      </c>
      <c r="H517" s="3">
        <v>0.40902777777777777</v>
      </c>
      <c r="I517" s="1">
        <v>0.62055499999999997</v>
      </c>
      <c r="J517" s="1">
        <v>21.222035000000002</v>
      </c>
      <c r="K517">
        <v>80</v>
      </c>
    </row>
    <row r="518" spans="1:11" hidden="1" x14ac:dyDescent="0.25">
      <c r="A518" s="1" t="s">
        <v>1192</v>
      </c>
      <c r="B518" s="1" t="s">
        <v>1695</v>
      </c>
      <c r="C518" s="1" t="s">
        <v>1214</v>
      </c>
      <c r="D518" s="1" t="s">
        <v>1695</v>
      </c>
      <c r="E518" s="1" t="s">
        <v>1695</v>
      </c>
      <c r="F518" s="1" t="s">
        <v>808</v>
      </c>
      <c r="G518" s="2">
        <v>45209</v>
      </c>
      <c r="H518" s="3">
        <v>0.92569444444444438</v>
      </c>
      <c r="I518" s="1" t="s">
        <v>1695</v>
      </c>
      <c r="J518" s="1" t="s">
        <v>1695</v>
      </c>
      <c r="K518">
        <v>35</v>
      </c>
    </row>
    <row r="519" spans="1:11" hidden="1" x14ac:dyDescent="0.25">
      <c r="A519" s="1" t="s">
        <v>1192</v>
      </c>
      <c r="B519" s="1" t="s">
        <v>1695</v>
      </c>
      <c r="C519" s="1" t="s">
        <v>1215</v>
      </c>
      <c r="D519" s="1" t="s">
        <v>1695</v>
      </c>
      <c r="E519" s="1" t="s">
        <v>1695</v>
      </c>
      <c r="F519" s="1" t="s">
        <v>808</v>
      </c>
      <c r="G519" s="2">
        <v>45222</v>
      </c>
      <c r="H519" s="3">
        <v>0.93819444444444455</v>
      </c>
      <c r="I519" s="1" t="s">
        <v>1695</v>
      </c>
      <c r="J519" s="1" t="s">
        <v>1695</v>
      </c>
      <c r="K519">
        <v>36</v>
      </c>
    </row>
    <row r="520" spans="1:11" x14ac:dyDescent="0.25">
      <c r="A520" s="1" t="s">
        <v>1216</v>
      </c>
      <c r="B520" s="1" t="s">
        <v>127</v>
      </c>
      <c r="C520" s="1" t="s">
        <v>1217</v>
      </c>
      <c r="D520" s="1" t="s">
        <v>1503</v>
      </c>
      <c r="E520" s="1" t="s">
        <v>1507</v>
      </c>
      <c r="F520" s="1" t="s">
        <v>811</v>
      </c>
      <c r="G520" s="2">
        <v>45202</v>
      </c>
      <c r="H520" s="3">
        <v>0.52916666666666656</v>
      </c>
      <c r="I520" s="1">
        <v>-7.1483749999999997</v>
      </c>
      <c r="J520" s="1">
        <v>26.014271000000001</v>
      </c>
      <c r="K520">
        <v>109</v>
      </c>
    </row>
    <row r="521" spans="1:11" x14ac:dyDescent="0.25">
      <c r="A521" s="1" t="s">
        <v>1216</v>
      </c>
      <c r="B521" s="1" t="s">
        <v>131</v>
      </c>
      <c r="C521" s="1" t="s">
        <v>1218</v>
      </c>
      <c r="D521" s="1" t="s">
        <v>1506</v>
      </c>
      <c r="E521" s="1" t="s">
        <v>1507</v>
      </c>
      <c r="F521" s="1" t="s">
        <v>808</v>
      </c>
      <c r="G521" s="2">
        <v>45203</v>
      </c>
      <c r="H521" s="3">
        <v>0.2138888888888888</v>
      </c>
      <c r="I521" s="1">
        <v>-6.5332999999999997</v>
      </c>
      <c r="J521" s="1">
        <v>20.098018</v>
      </c>
      <c r="K521">
        <v>5</v>
      </c>
    </row>
    <row r="522" spans="1:11" x14ac:dyDescent="0.25">
      <c r="A522" s="1" t="s">
        <v>1216</v>
      </c>
      <c r="B522" s="1" t="s">
        <v>37</v>
      </c>
      <c r="C522" s="1" t="s">
        <v>1219</v>
      </c>
      <c r="D522" s="1" t="s">
        <v>1503</v>
      </c>
      <c r="E522" s="1" t="s">
        <v>1516</v>
      </c>
      <c r="F522" s="1" t="s">
        <v>808</v>
      </c>
      <c r="G522" s="2">
        <v>45215</v>
      </c>
      <c r="H522" s="3">
        <v>0.45763888888888893</v>
      </c>
      <c r="I522" s="1">
        <v>-11.793894</v>
      </c>
      <c r="J522" s="1">
        <v>20.433340999999999</v>
      </c>
      <c r="K522">
        <v>100</v>
      </c>
    </row>
    <row r="523" spans="1:11" x14ac:dyDescent="0.25">
      <c r="A523" s="1" t="s">
        <v>1216</v>
      </c>
      <c r="B523" s="1" t="s">
        <v>33</v>
      </c>
      <c r="C523" s="1" t="s">
        <v>1220</v>
      </c>
      <c r="D523" s="1" t="s">
        <v>1508</v>
      </c>
      <c r="E523" s="1" t="s">
        <v>1516</v>
      </c>
      <c r="F523" s="1" t="s">
        <v>808</v>
      </c>
      <c r="G523" s="2">
        <v>45207</v>
      </c>
      <c r="H523" s="3">
        <v>1.1111111111111072E-2</v>
      </c>
      <c r="I523" s="1">
        <v>1.897178</v>
      </c>
      <c r="J523" s="1">
        <v>23.902604</v>
      </c>
      <c r="K523">
        <v>32</v>
      </c>
    </row>
    <row r="524" spans="1:11" x14ac:dyDescent="0.25">
      <c r="A524" s="1" t="s">
        <v>1216</v>
      </c>
      <c r="B524" s="1" t="s">
        <v>40</v>
      </c>
      <c r="C524" s="1" t="s">
        <v>820</v>
      </c>
      <c r="D524" s="1" t="s">
        <v>1503</v>
      </c>
      <c r="E524" s="1" t="s">
        <v>1504</v>
      </c>
      <c r="F524" s="1" t="s">
        <v>808</v>
      </c>
      <c r="G524" s="2">
        <v>45212</v>
      </c>
      <c r="H524" s="3">
        <v>0.31111111111111112</v>
      </c>
      <c r="I524" s="1">
        <v>4.8319039999999998</v>
      </c>
      <c r="J524" s="1">
        <v>20.733468999999999</v>
      </c>
      <c r="K524">
        <v>79</v>
      </c>
    </row>
    <row r="525" spans="1:11" x14ac:dyDescent="0.25">
      <c r="A525" s="1" t="s">
        <v>1216</v>
      </c>
      <c r="B525" s="1" t="s">
        <v>13</v>
      </c>
      <c r="C525" s="1" t="s">
        <v>1221</v>
      </c>
      <c r="D525" s="1" t="s">
        <v>1503</v>
      </c>
      <c r="E525" s="1" t="s">
        <v>1516</v>
      </c>
      <c r="F525" s="1" t="s">
        <v>808</v>
      </c>
      <c r="G525" s="2">
        <v>45224</v>
      </c>
      <c r="H525" s="3">
        <v>0.34791666666666665</v>
      </c>
      <c r="I525" s="1">
        <v>-7.789663</v>
      </c>
      <c r="J525" s="1">
        <v>26.529098000000001</v>
      </c>
      <c r="K525">
        <v>14</v>
      </c>
    </row>
    <row r="526" spans="1:11" hidden="1" x14ac:dyDescent="0.25">
      <c r="A526" s="1" t="s">
        <v>1216</v>
      </c>
      <c r="B526" s="1" t="s">
        <v>1695</v>
      </c>
      <c r="C526" s="1" t="s">
        <v>1187</v>
      </c>
      <c r="D526" s="1" t="s">
        <v>1695</v>
      </c>
      <c r="E526" s="1" t="s">
        <v>1695</v>
      </c>
      <c r="F526" s="1" t="s">
        <v>811</v>
      </c>
      <c r="G526" s="2">
        <v>45209</v>
      </c>
      <c r="H526" s="3">
        <v>0.78194444444444455</v>
      </c>
      <c r="I526" s="1" t="s">
        <v>1695</v>
      </c>
      <c r="J526" s="1" t="s">
        <v>1695</v>
      </c>
      <c r="K526">
        <v>10</v>
      </c>
    </row>
    <row r="527" spans="1:11" hidden="1" x14ac:dyDescent="0.25">
      <c r="A527" s="1" t="s">
        <v>1216</v>
      </c>
      <c r="B527" s="1" t="s">
        <v>1695</v>
      </c>
      <c r="C527" s="1" t="s">
        <v>1222</v>
      </c>
      <c r="D527" s="1" t="s">
        <v>1695</v>
      </c>
      <c r="E527" s="1" t="s">
        <v>1695</v>
      </c>
      <c r="F527" s="1" t="s">
        <v>808</v>
      </c>
      <c r="G527" s="2">
        <v>45218</v>
      </c>
      <c r="H527" s="3">
        <v>1.1111111111111072E-2</v>
      </c>
      <c r="I527" s="1" t="s">
        <v>1695</v>
      </c>
      <c r="J527" s="1" t="s">
        <v>1695</v>
      </c>
      <c r="K527">
        <v>59</v>
      </c>
    </row>
    <row r="528" spans="1:11" x14ac:dyDescent="0.25">
      <c r="A528" s="1" t="s">
        <v>1216</v>
      </c>
      <c r="B528" s="1" t="s">
        <v>31</v>
      </c>
      <c r="C528" s="1" t="s">
        <v>896</v>
      </c>
      <c r="D528" s="1" t="s">
        <v>1503</v>
      </c>
      <c r="E528" s="1" t="s">
        <v>1516</v>
      </c>
      <c r="F528" s="1" t="s">
        <v>813</v>
      </c>
      <c r="G528" s="2">
        <v>45220</v>
      </c>
      <c r="H528" s="3">
        <v>0.48888888888888893</v>
      </c>
      <c r="I528" s="1">
        <v>-9.3652239999999995</v>
      </c>
      <c r="J528" s="1">
        <v>22.593423999999999</v>
      </c>
      <c r="K528">
        <v>49</v>
      </c>
    </row>
    <row r="529" spans="1:11" x14ac:dyDescent="0.25">
      <c r="A529" s="1" t="s">
        <v>1216</v>
      </c>
      <c r="B529" s="1" t="s">
        <v>60</v>
      </c>
      <c r="C529" s="1" t="s">
        <v>1223</v>
      </c>
      <c r="D529" s="1" t="s">
        <v>1503</v>
      </c>
      <c r="E529" s="1" t="s">
        <v>1504</v>
      </c>
      <c r="F529" s="1" t="s">
        <v>811</v>
      </c>
      <c r="G529" s="2">
        <v>45207</v>
      </c>
      <c r="H529" s="3">
        <v>7.0833333333333304E-2</v>
      </c>
      <c r="I529" s="1">
        <v>-1.1284540000000001</v>
      </c>
      <c r="J529" s="1">
        <v>23.000360000000001</v>
      </c>
      <c r="K529">
        <v>94</v>
      </c>
    </row>
    <row r="530" spans="1:11" x14ac:dyDescent="0.25">
      <c r="A530" s="1" t="s">
        <v>1216</v>
      </c>
      <c r="B530" s="1" t="s">
        <v>13</v>
      </c>
      <c r="C530" s="1" t="s">
        <v>1224</v>
      </c>
      <c r="D530" s="1" t="s">
        <v>1506</v>
      </c>
      <c r="E530" s="1" t="s">
        <v>1507</v>
      </c>
      <c r="F530" s="1" t="s">
        <v>811</v>
      </c>
      <c r="G530" s="2">
        <v>45203</v>
      </c>
      <c r="H530" s="3">
        <v>0.59652777777777777</v>
      </c>
      <c r="I530" s="1">
        <v>-1.9540519999999999</v>
      </c>
      <c r="J530" s="1">
        <v>12.667945</v>
      </c>
      <c r="K530">
        <v>13</v>
      </c>
    </row>
    <row r="531" spans="1:11" x14ac:dyDescent="0.25">
      <c r="A531" s="1" t="s">
        <v>1216</v>
      </c>
      <c r="B531" s="1" t="s">
        <v>16</v>
      </c>
      <c r="C531" s="1" t="s">
        <v>890</v>
      </c>
      <c r="D531" s="1" t="s">
        <v>1503</v>
      </c>
      <c r="E531" s="1" t="s">
        <v>1504</v>
      </c>
      <c r="F531" s="1" t="s">
        <v>811</v>
      </c>
      <c r="G531" s="2">
        <v>45205</v>
      </c>
      <c r="H531" s="3">
        <v>0.52986111111111112</v>
      </c>
      <c r="I531" s="1">
        <v>-11.514188000000001</v>
      </c>
      <c r="J531" s="1">
        <v>15.971181</v>
      </c>
      <c r="K531">
        <v>74</v>
      </c>
    </row>
    <row r="532" spans="1:11" hidden="1" x14ac:dyDescent="0.25">
      <c r="A532" s="1" t="s">
        <v>1216</v>
      </c>
      <c r="B532" s="1" t="s">
        <v>1695</v>
      </c>
      <c r="C532" s="1" t="s">
        <v>809</v>
      </c>
      <c r="D532" s="1" t="s">
        <v>1695</v>
      </c>
      <c r="E532" s="1" t="s">
        <v>1695</v>
      </c>
      <c r="F532" s="1" t="s">
        <v>808</v>
      </c>
      <c r="G532" s="2">
        <v>45216</v>
      </c>
      <c r="H532" s="3">
        <v>0.95069444444444451</v>
      </c>
      <c r="I532" s="1" t="s">
        <v>1695</v>
      </c>
      <c r="J532" s="1" t="s">
        <v>1695</v>
      </c>
      <c r="K532">
        <v>12</v>
      </c>
    </row>
    <row r="533" spans="1:11" x14ac:dyDescent="0.25">
      <c r="A533" s="1" t="s">
        <v>1216</v>
      </c>
      <c r="B533" s="1" t="s">
        <v>26</v>
      </c>
      <c r="C533" s="1" t="s">
        <v>998</v>
      </c>
      <c r="D533" s="1" t="s">
        <v>1508</v>
      </c>
      <c r="E533" s="1" t="s">
        <v>1507</v>
      </c>
      <c r="F533" s="1" t="s">
        <v>808</v>
      </c>
      <c r="G533" s="2">
        <v>45209</v>
      </c>
      <c r="H533" s="3">
        <v>0.92152777777777772</v>
      </c>
      <c r="I533" s="1">
        <v>1.5278670000000001</v>
      </c>
      <c r="J533" s="1">
        <v>13.899388999999999</v>
      </c>
      <c r="K533">
        <v>119</v>
      </c>
    </row>
    <row r="534" spans="1:11" hidden="1" x14ac:dyDescent="0.25">
      <c r="A534" s="1" t="s">
        <v>1216</v>
      </c>
      <c r="B534" s="1" t="s">
        <v>1695</v>
      </c>
      <c r="C534" s="1" t="s">
        <v>1186</v>
      </c>
      <c r="D534" s="1" t="s">
        <v>1695</v>
      </c>
      <c r="E534" s="1" t="s">
        <v>1695</v>
      </c>
      <c r="F534" s="1" t="s">
        <v>811</v>
      </c>
      <c r="G534" s="2">
        <v>45220</v>
      </c>
      <c r="H534" s="3">
        <v>0.39097222222222228</v>
      </c>
      <c r="I534" s="1" t="s">
        <v>1695</v>
      </c>
      <c r="J534" s="1" t="s">
        <v>1695</v>
      </c>
      <c r="K534">
        <v>13</v>
      </c>
    </row>
    <row r="535" spans="1:11" hidden="1" x14ac:dyDescent="0.25">
      <c r="A535" s="1" t="s">
        <v>1216</v>
      </c>
      <c r="B535" s="1" t="s">
        <v>1695</v>
      </c>
      <c r="C535" s="1" t="s">
        <v>825</v>
      </c>
      <c r="D535" s="1" t="s">
        <v>1695</v>
      </c>
      <c r="E535" s="1" t="s">
        <v>1695</v>
      </c>
      <c r="F535" s="1" t="s">
        <v>808</v>
      </c>
      <c r="G535" s="2">
        <v>45219</v>
      </c>
      <c r="H535" s="3">
        <v>0.30138888888888893</v>
      </c>
      <c r="I535" s="1" t="s">
        <v>1695</v>
      </c>
      <c r="J535" s="1" t="s">
        <v>1695</v>
      </c>
      <c r="K535">
        <v>65</v>
      </c>
    </row>
    <row r="536" spans="1:11" hidden="1" x14ac:dyDescent="0.25">
      <c r="A536" s="1" t="s">
        <v>1216</v>
      </c>
      <c r="B536" s="1" t="s">
        <v>1695</v>
      </c>
      <c r="C536" s="1" t="s">
        <v>1225</v>
      </c>
      <c r="D536" s="1" t="s">
        <v>1695</v>
      </c>
      <c r="E536" s="1" t="s">
        <v>1695</v>
      </c>
      <c r="F536" s="1" t="s">
        <v>813</v>
      </c>
      <c r="G536" s="2">
        <v>45230</v>
      </c>
      <c r="H536" s="3">
        <v>0.1875</v>
      </c>
      <c r="I536" s="1" t="s">
        <v>1695</v>
      </c>
      <c r="J536" s="1" t="s">
        <v>1695</v>
      </c>
      <c r="K536">
        <v>9</v>
      </c>
    </row>
    <row r="537" spans="1:11" x14ac:dyDescent="0.25">
      <c r="A537" s="1" t="s">
        <v>1216</v>
      </c>
      <c r="B537" s="1" t="s">
        <v>64</v>
      </c>
      <c r="C537" s="1" t="s">
        <v>1226</v>
      </c>
      <c r="D537" s="1" t="s">
        <v>1508</v>
      </c>
      <c r="E537" s="1" t="s">
        <v>1509</v>
      </c>
      <c r="F537" s="1" t="s">
        <v>813</v>
      </c>
      <c r="G537" s="2">
        <v>45204</v>
      </c>
      <c r="H537" s="3">
        <v>0.61597222222222214</v>
      </c>
      <c r="I537" s="1">
        <v>1.3006180000000001</v>
      </c>
      <c r="J537" s="1">
        <v>29.060970999999999</v>
      </c>
      <c r="K537">
        <v>41</v>
      </c>
    </row>
    <row r="538" spans="1:11" x14ac:dyDescent="0.25">
      <c r="A538" s="1" t="s">
        <v>1216</v>
      </c>
      <c r="B538" s="1" t="s">
        <v>62</v>
      </c>
      <c r="C538" s="1" t="s">
        <v>815</v>
      </c>
      <c r="D538" s="1" t="s">
        <v>1503</v>
      </c>
      <c r="E538" s="1" t="s">
        <v>1504</v>
      </c>
      <c r="F538" s="1" t="s">
        <v>808</v>
      </c>
      <c r="G538" s="2">
        <v>45219</v>
      </c>
      <c r="H538" s="3">
        <v>0.47638888888888897</v>
      </c>
      <c r="I538" s="1">
        <v>-2.8211520000000001</v>
      </c>
      <c r="J538" s="1">
        <v>20.651419000000001</v>
      </c>
      <c r="K538">
        <v>57</v>
      </c>
    </row>
    <row r="539" spans="1:11" x14ac:dyDescent="0.25">
      <c r="A539" s="1" t="s">
        <v>1216</v>
      </c>
      <c r="B539" s="1" t="s">
        <v>24</v>
      </c>
      <c r="C539" s="1" t="s">
        <v>1227</v>
      </c>
      <c r="D539" s="1" t="s">
        <v>1506</v>
      </c>
      <c r="E539" s="1" t="s">
        <v>1504</v>
      </c>
      <c r="F539" s="1" t="s">
        <v>811</v>
      </c>
      <c r="G539" s="2">
        <v>45222</v>
      </c>
      <c r="H539" s="3">
        <v>0.74861111111111112</v>
      </c>
      <c r="I539" s="1">
        <v>-11.468578000000001</v>
      </c>
      <c r="J539" s="1">
        <v>16.914501999999999</v>
      </c>
      <c r="K539">
        <v>28</v>
      </c>
    </row>
    <row r="540" spans="1:11" hidden="1" x14ac:dyDescent="0.25">
      <c r="A540" s="1" t="s">
        <v>1216</v>
      </c>
      <c r="B540" s="1" t="s">
        <v>1695</v>
      </c>
      <c r="C540" s="1" t="s">
        <v>1228</v>
      </c>
      <c r="D540" s="1" t="s">
        <v>1695</v>
      </c>
      <c r="E540" s="1" t="s">
        <v>1695</v>
      </c>
      <c r="F540" s="1" t="s">
        <v>808</v>
      </c>
      <c r="G540" s="2">
        <v>45215</v>
      </c>
      <c r="H540" s="3">
        <v>0.74374999999999991</v>
      </c>
      <c r="I540" s="1" t="s">
        <v>1695</v>
      </c>
      <c r="J540" s="1" t="s">
        <v>1695</v>
      </c>
      <c r="K540">
        <v>103</v>
      </c>
    </row>
    <row r="541" spans="1:11" x14ac:dyDescent="0.25">
      <c r="A541" s="1" t="s">
        <v>1216</v>
      </c>
      <c r="B541" s="1" t="s">
        <v>64</v>
      </c>
      <c r="C541" s="1" t="s">
        <v>1229</v>
      </c>
      <c r="D541" s="1" t="s">
        <v>1508</v>
      </c>
      <c r="E541" s="1" t="s">
        <v>1509</v>
      </c>
      <c r="F541" s="1" t="s">
        <v>808</v>
      </c>
      <c r="G541" s="2">
        <v>45221</v>
      </c>
      <c r="H541" s="3">
        <v>0.28333333333333344</v>
      </c>
      <c r="I541" s="1">
        <v>-2.6665070000000002</v>
      </c>
      <c r="J541" s="1">
        <v>18.623692999999999</v>
      </c>
      <c r="K541">
        <v>22</v>
      </c>
    </row>
    <row r="542" spans="1:11" hidden="1" x14ac:dyDescent="0.25">
      <c r="A542" s="1" t="s">
        <v>1216</v>
      </c>
      <c r="B542" s="1" t="s">
        <v>1695</v>
      </c>
      <c r="C542" s="1" t="s">
        <v>1230</v>
      </c>
      <c r="D542" s="1" t="s">
        <v>1695</v>
      </c>
      <c r="E542" s="1" t="s">
        <v>1695</v>
      </c>
      <c r="F542" s="1" t="s">
        <v>808</v>
      </c>
      <c r="G542" s="2">
        <v>45207</v>
      </c>
      <c r="H542" s="3">
        <v>0.90833333333333344</v>
      </c>
      <c r="I542" s="1" t="s">
        <v>1695</v>
      </c>
      <c r="J542" s="1" t="s">
        <v>1695</v>
      </c>
      <c r="K542">
        <v>103</v>
      </c>
    </row>
    <row r="543" spans="1:11" hidden="1" x14ac:dyDescent="0.25">
      <c r="A543" s="1" t="s">
        <v>1216</v>
      </c>
      <c r="B543" s="1" t="s">
        <v>1695</v>
      </c>
      <c r="C543" s="1" t="s">
        <v>1231</v>
      </c>
      <c r="D543" s="1" t="s">
        <v>1695</v>
      </c>
      <c r="E543" s="1" t="s">
        <v>1695</v>
      </c>
      <c r="F543" s="1" t="s">
        <v>811</v>
      </c>
      <c r="G543" s="2">
        <v>45219</v>
      </c>
      <c r="H543" s="3">
        <v>0.10624999999999996</v>
      </c>
      <c r="I543" s="1" t="s">
        <v>1695</v>
      </c>
      <c r="J543" s="1" t="s">
        <v>1695</v>
      </c>
      <c r="K543">
        <v>87</v>
      </c>
    </row>
    <row r="544" spans="1:11" x14ac:dyDescent="0.25">
      <c r="A544" s="1" t="s">
        <v>1216</v>
      </c>
      <c r="B544" s="1" t="s">
        <v>44</v>
      </c>
      <c r="C544" s="1" t="s">
        <v>1232</v>
      </c>
      <c r="D544" s="1" t="s">
        <v>1508</v>
      </c>
      <c r="E544" s="1" t="s">
        <v>1509</v>
      </c>
      <c r="F544" s="1" t="s">
        <v>813</v>
      </c>
      <c r="G544" s="2">
        <v>45214</v>
      </c>
      <c r="H544" s="3">
        <v>0.69791666666666674</v>
      </c>
      <c r="I544" s="1">
        <v>-12.192204</v>
      </c>
      <c r="J544" s="1">
        <v>28.468682000000001</v>
      </c>
      <c r="K544">
        <v>98</v>
      </c>
    </row>
    <row r="545" spans="1:11" hidden="1" x14ac:dyDescent="0.25">
      <c r="A545" s="1" t="s">
        <v>1216</v>
      </c>
      <c r="B545" s="1" t="s">
        <v>1695</v>
      </c>
      <c r="C545" s="1" t="s">
        <v>924</v>
      </c>
      <c r="D545" s="1" t="s">
        <v>1695</v>
      </c>
      <c r="E545" s="1" t="s">
        <v>1695</v>
      </c>
      <c r="F545" s="1" t="s">
        <v>808</v>
      </c>
      <c r="G545" s="2">
        <v>45211</v>
      </c>
      <c r="H545" s="3">
        <v>0.12361111111111112</v>
      </c>
      <c r="I545" s="1" t="s">
        <v>1695</v>
      </c>
      <c r="J545" s="1" t="s">
        <v>1695</v>
      </c>
      <c r="K545">
        <v>87</v>
      </c>
    </row>
    <row r="546" spans="1:11" x14ac:dyDescent="0.25">
      <c r="A546" s="1" t="s">
        <v>1216</v>
      </c>
      <c r="B546" s="1" t="s">
        <v>21</v>
      </c>
      <c r="C546" s="1" t="s">
        <v>1083</v>
      </c>
      <c r="D546" s="1" t="s">
        <v>1506</v>
      </c>
      <c r="E546" s="1" t="s">
        <v>1507</v>
      </c>
      <c r="F546" s="1" t="s">
        <v>811</v>
      </c>
      <c r="G546" s="2">
        <v>45218</v>
      </c>
      <c r="H546" s="3">
        <v>0.12708333333333344</v>
      </c>
      <c r="I546" s="1">
        <v>1.2419519999999999</v>
      </c>
      <c r="J546" s="1">
        <v>25.261382999999999</v>
      </c>
      <c r="K546">
        <v>58</v>
      </c>
    </row>
    <row r="547" spans="1:11" hidden="1" x14ac:dyDescent="0.25">
      <c r="A547" s="1" t="s">
        <v>1216</v>
      </c>
      <c r="B547" s="1" t="s">
        <v>1695</v>
      </c>
      <c r="C547" s="1" t="s">
        <v>1233</v>
      </c>
      <c r="D547" s="1" t="s">
        <v>1695</v>
      </c>
      <c r="E547" s="1" t="s">
        <v>1695</v>
      </c>
      <c r="F547" s="1" t="s">
        <v>811</v>
      </c>
      <c r="G547" s="2">
        <v>45226</v>
      </c>
      <c r="H547" s="3">
        <v>0.74791666666666656</v>
      </c>
      <c r="I547" s="1" t="s">
        <v>1695</v>
      </c>
      <c r="J547" s="1" t="s">
        <v>1695</v>
      </c>
      <c r="K547">
        <v>52</v>
      </c>
    </row>
    <row r="548" spans="1:11" x14ac:dyDescent="0.25">
      <c r="A548" s="1" t="s">
        <v>1216</v>
      </c>
      <c r="B548" s="1" t="s">
        <v>21</v>
      </c>
      <c r="C548" s="1" t="s">
        <v>1234</v>
      </c>
      <c r="D548" s="1" t="s">
        <v>1503</v>
      </c>
      <c r="E548" s="1" t="s">
        <v>1516</v>
      </c>
      <c r="F548" s="1" t="s">
        <v>813</v>
      </c>
      <c r="G548" s="2">
        <v>45216</v>
      </c>
      <c r="H548" s="3">
        <v>0.27499999999999991</v>
      </c>
      <c r="I548" s="1">
        <v>2.4414509999999998</v>
      </c>
      <c r="J548" s="1">
        <v>30.167489</v>
      </c>
      <c r="K548">
        <v>119</v>
      </c>
    </row>
    <row r="549" spans="1:11" x14ac:dyDescent="0.25">
      <c r="A549" s="1" t="s">
        <v>1216</v>
      </c>
      <c r="B549" s="1" t="s">
        <v>64</v>
      </c>
      <c r="C549" s="1" t="s">
        <v>942</v>
      </c>
      <c r="D549" s="1" t="s">
        <v>1506</v>
      </c>
      <c r="E549" s="1" t="s">
        <v>1504</v>
      </c>
      <c r="F549" s="1" t="s">
        <v>811</v>
      </c>
      <c r="G549" s="2">
        <v>45217</v>
      </c>
      <c r="H549" s="3">
        <v>0.17361111111111116</v>
      </c>
      <c r="I549" s="1">
        <v>-1.6097570000000001</v>
      </c>
      <c r="J549" s="1">
        <v>30.661662</v>
      </c>
      <c r="K549">
        <v>53</v>
      </c>
    </row>
    <row r="550" spans="1:11" x14ac:dyDescent="0.25">
      <c r="A550" s="1" t="s">
        <v>1216</v>
      </c>
      <c r="B550" s="1" t="s">
        <v>89</v>
      </c>
      <c r="C550" s="1" t="s">
        <v>1235</v>
      </c>
      <c r="D550" s="1" t="s">
        <v>1508</v>
      </c>
      <c r="E550" s="1" t="s">
        <v>1509</v>
      </c>
      <c r="F550" s="1" t="s">
        <v>811</v>
      </c>
      <c r="G550" s="2">
        <v>45210</v>
      </c>
      <c r="H550" s="3">
        <v>0.68611111111111112</v>
      </c>
      <c r="I550" s="1">
        <v>8.5490999999999998E-2</v>
      </c>
      <c r="J550" s="1">
        <v>26.296129000000001</v>
      </c>
      <c r="K550">
        <v>62</v>
      </c>
    </row>
    <row r="551" spans="1:11" hidden="1" x14ac:dyDescent="0.25">
      <c r="A551" s="1" t="s">
        <v>1216</v>
      </c>
      <c r="B551" s="1" t="s">
        <v>1695</v>
      </c>
      <c r="C551" s="1" t="s">
        <v>1236</v>
      </c>
      <c r="D551" s="1" t="s">
        <v>1695</v>
      </c>
      <c r="E551" s="1" t="s">
        <v>1695</v>
      </c>
      <c r="F551" s="1" t="s">
        <v>811</v>
      </c>
      <c r="G551" s="2">
        <v>45203</v>
      </c>
      <c r="H551" s="3">
        <v>0.88402777777777786</v>
      </c>
      <c r="I551" s="1" t="s">
        <v>1695</v>
      </c>
      <c r="J551" s="1" t="s">
        <v>1695</v>
      </c>
      <c r="K551">
        <v>116</v>
      </c>
    </row>
    <row r="552" spans="1:11" hidden="1" x14ac:dyDescent="0.25">
      <c r="A552" s="1" t="s">
        <v>1216</v>
      </c>
      <c r="B552" s="1" t="s">
        <v>1695</v>
      </c>
      <c r="C552" s="1" t="s">
        <v>814</v>
      </c>
      <c r="D552" s="1" t="s">
        <v>1695</v>
      </c>
      <c r="E552" s="1" t="s">
        <v>1695</v>
      </c>
      <c r="F552" s="1" t="s">
        <v>813</v>
      </c>
      <c r="G552" s="2">
        <v>45222</v>
      </c>
      <c r="H552" s="3">
        <v>0.77152777777777781</v>
      </c>
      <c r="I552" s="1" t="s">
        <v>1695</v>
      </c>
      <c r="J552" s="1" t="s">
        <v>1695</v>
      </c>
      <c r="K552">
        <v>53</v>
      </c>
    </row>
    <row r="553" spans="1:11" hidden="1" x14ac:dyDescent="0.25">
      <c r="A553" s="1" t="s">
        <v>1216</v>
      </c>
      <c r="B553" s="1" t="s">
        <v>1695</v>
      </c>
      <c r="C553" s="1" t="s">
        <v>1237</v>
      </c>
      <c r="D553" s="1" t="s">
        <v>1695</v>
      </c>
      <c r="E553" s="1" t="s">
        <v>1695</v>
      </c>
      <c r="F553" s="1" t="s">
        <v>808</v>
      </c>
      <c r="G553" s="2">
        <v>45202</v>
      </c>
      <c r="H553" s="3">
        <v>0.68611111111111112</v>
      </c>
      <c r="I553" s="1" t="s">
        <v>1695</v>
      </c>
      <c r="J553" s="1" t="s">
        <v>1695</v>
      </c>
      <c r="K553">
        <v>53</v>
      </c>
    </row>
    <row r="554" spans="1:11" hidden="1" x14ac:dyDescent="0.25">
      <c r="A554" s="1" t="s">
        <v>1216</v>
      </c>
      <c r="B554" s="1" t="s">
        <v>1695</v>
      </c>
      <c r="C554" s="1" t="s">
        <v>1238</v>
      </c>
      <c r="D554" s="1" t="s">
        <v>1695</v>
      </c>
      <c r="E554" s="1" t="s">
        <v>1695</v>
      </c>
      <c r="F554" s="1" t="s">
        <v>813</v>
      </c>
      <c r="G554" s="2">
        <v>45225</v>
      </c>
      <c r="H554" s="3">
        <v>6.1805555555555447E-2</v>
      </c>
      <c r="I554" s="1" t="s">
        <v>1695</v>
      </c>
      <c r="J554" s="1" t="s">
        <v>1695</v>
      </c>
      <c r="K554">
        <v>15</v>
      </c>
    </row>
    <row r="555" spans="1:11" hidden="1" x14ac:dyDescent="0.25">
      <c r="A555" s="1" t="s">
        <v>1216</v>
      </c>
      <c r="B555" s="1" t="s">
        <v>1695</v>
      </c>
      <c r="C555" s="1" t="s">
        <v>1239</v>
      </c>
      <c r="D555" s="1" t="s">
        <v>1695</v>
      </c>
      <c r="E555" s="1" t="s">
        <v>1695</v>
      </c>
      <c r="F555" s="1" t="s">
        <v>808</v>
      </c>
      <c r="G555" s="2">
        <v>45204</v>
      </c>
      <c r="H555" s="3">
        <v>0.68472222222222223</v>
      </c>
      <c r="I555" s="1" t="s">
        <v>1695</v>
      </c>
      <c r="J555" s="1" t="s">
        <v>1695</v>
      </c>
      <c r="K555">
        <v>92</v>
      </c>
    </row>
    <row r="556" spans="1:11" hidden="1" x14ac:dyDescent="0.25">
      <c r="A556" s="1" t="s">
        <v>1216</v>
      </c>
      <c r="B556" s="1" t="s">
        <v>1695</v>
      </c>
      <c r="C556" s="1" t="s">
        <v>1240</v>
      </c>
      <c r="D556" s="1" t="s">
        <v>1695</v>
      </c>
      <c r="E556" s="1" t="s">
        <v>1695</v>
      </c>
      <c r="F556" s="1" t="s">
        <v>811</v>
      </c>
      <c r="G556" s="2">
        <v>45214</v>
      </c>
      <c r="H556" s="3">
        <v>0.75208333333333344</v>
      </c>
      <c r="I556" s="1" t="s">
        <v>1695</v>
      </c>
      <c r="J556" s="1" t="s">
        <v>1695</v>
      </c>
      <c r="K556">
        <v>89</v>
      </c>
    </row>
    <row r="557" spans="1:11" x14ac:dyDescent="0.25">
      <c r="A557" s="1" t="s">
        <v>1216</v>
      </c>
      <c r="B557" s="1" t="s">
        <v>40</v>
      </c>
      <c r="C557" s="1" t="s">
        <v>1241</v>
      </c>
      <c r="D557" s="1" t="s">
        <v>1506</v>
      </c>
      <c r="E557" s="1" t="s">
        <v>1516</v>
      </c>
      <c r="F557" s="1" t="s">
        <v>808</v>
      </c>
      <c r="G557" s="2">
        <v>45225</v>
      </c>
      <c r="H557" s="3">
        <v>0.40694444444444455</v>
      </c>
      <c r="I557" s="1">
        <v>-4.6957509999999996</v>
      </c>
      <c r="J557" s="1">
        <v>14.233525999999999</v>
      </c>
      <c r="K557">
        <v>74</v>
      </c>
    </row>
    <row r="558" spans="1:11" x14ac:dyDescent="0.25">
      <c r="A558" s="1" t="s">
        <v>1216</v>
      </c>
      <c r="B558" s="1" t="s">
        <v>51</v>
      </c>
      <c r="C558" s="1" t="s">
        <v>1242</v>
      </c>
      <c r="D558" s="1" t="s">
        <v>1506</v>
      </c>
      <c r="E558" s="1" t="s">
        <v>1509</v>
      </c>
      <c r="F558" s="1" t="s">
        <v>813</v>
      </c>
      <c r="G558" s="2">
        <v>45200</v>
      </c>
      <c r="H558" s="3">
        <v>0.51111111111111107</v>
      </c>
      <c r="I558" s="1">
        <v>-10.939712999999999</v>
      </c>
      <c r="J558" s="1">
        <v>18.276230999999999</v>
      </c>
      <c r="K558">
        <v>22</v>
      </c>
    </row>
    <row r="559" spans="1:11" x14ac:dyDescent="0.25">
      <c r="A559" s="1" t="s">
        <v>1243</v>
      </c>
      <c r="B559" s="1" t="s">
        <v>73</v>
      </c>
      <c r="C559" s="1" t="s">
        <v>1244</v>
      </c>
      <c r="D559" s="1" t="s">
        <v>1503</v>
      </c>
      <c r="E559" s="1" t="s">
        <v>1509</v>
      </c>
      <c r="F559" s="1" t="s">
        <v>811</v>
      </c>
      <c r="G559" s="2">
        <v>45221</v>
      </c>
      <c r="H559" s="3">
        <v>0.56597222222222232</v>
      </c>
      <c r="I559" s="1">
        <v>4.7777349999999998</v>
      </c>
      <c r="J559" s="1">
        <v>16.392204</v>
      </c>
      <c r="K559">
        <v>87</v>
      </c>
    </row>
    <row r="560" spans="1:11" x14ac:dyDescent="0.25">
      <c r="A560" s="1" t="s">
        <v>1243</v>
      </c>
      <c r="B560" s="1" t="s">
        <v>64</v>
      </c>
      <c r="C560" s="1" t="s">
        <v>1229</v>
      </c>
      <c r="D560" s="1" t="s">
        <v>1508</v>
      </c>
      <c r="E560" s="1" t="s">
        <v>1509</v>
      </c>
      <c r="F560" s="1" t="s">
        <v>811</v>
      </c>
      <c r="G560" s="2">
        <v>45215</v>
      </c>
      <c r="H560" s="3">
        <v>5.6944444444444464E-2</v>
      </c>
      <c r="I560" s="1">
        <v>-2.6665070000000002</v>
      </c>
      <c r="J560" s="1">
        <v>18.623692999999999</v>
      </c>
      <c r="K560">
        <v>99</v>
      </c>
    </row>
    <row r="561" spans="1:11" x14ac:dyDescent="0.25">
      <c r="A561" s="1" t="s">
        <v>1243</v>
      </c>
      <c r="B561" s="1" t="s">
        <v>37</v>
      </c>
      <c r="C561" s="1" t="s">
        <v>877</v>
      </c>
      <c r="D561" s="1" t="s">
        <v>1508</v>
      </c>
      <c r="E561" s="1" t="s">
        <v>1516</v>
      </c>
      <c r="F561" s="1" t="s">
        <v>808</v>
      </c>
      <c r="G561" s="2">
        <v>45230</v>
      </c>
      <c r="H561" s="3">
        <v>0.86250000000000004</v>
      </c>
      <c r="I561" s="1">
        <v>-2.099631</v>
      </c>
      <c r="J561" s="1">
        <v>13.974640000000001</v>
      </c>
      <c r="K561">
        <v>67</v>
      </c>
    </row>
    <row r="562" spans="1:11" hidden="1" x14ac:dyDescent="0.25">
      <c r="A562" s="1" t="s">
        <v>1243</v>
      </c>
      <c r="B562" s="1" t="s">
        <v>1695</v>
      </c>
      <c r="C562" s="1" t="s">
        <v>1245</v>
      </c>
      <c r="D562" s="1" t="s">
        <v>1695</v>
      </c>
      <c r="E562" s="1" t="s">
        <v>1695</v>
      </c>
      <c r="F562" s="1" t="s">
        <v>808</v>
      </c>
      <c r="G562" s="2">
        <v>45212</v>
      </c>
      <c r="H562" s="3">
        <v>0.68055555555555558</v>
      </c>
      <c r="I562" s="1" t="s">
        <v>1695</v>
      </c>
      <c r="J562" s="1" t="s">
        <v>1695</v>
      </c>
      <c r="K562">
        <v>63</v>
      </c>
    </row>
    <row r="563" spans="1:11" hidden="1" x14ac:dyDescent="0.25">
      <c r="A563" s="1" t="s">
        <v>1243</v>
      </c>
      <c r="B563" s="1" t="s">
        <v>1695</v>
      </c>
      <c r="C563" s="1" t="s">
        <v>1246</v>
      </c>
      <c r="D563" s="1" t="s">
        <v>1695</v>
      </c>
      <c r="E563" s="1" t="s">
        <v>1695</v>
      </c>
      <c r="F563" s="1" t="s">
        <v>813</v>
      </c>
      <c r="G563" s="2">
        <v>45222</v>
      </c>
      <c r="H563" s="3">
        <v>0.55972222222222223</v>
      </c>
      <c r="I563" s="1" t="s">
        <v>1695</v>
      </c>
      <c r="J563" s="1" t="s">
        <v>1695</v>
      </c>
      <c r="K563">
        <v>26</v>
      </c>
    </row>
    <row r="564" spans="1:11" hidden="1" x14ac:dyDescent="0.25">
      <c r="A564" s="1" t="s">
        <v>1243</v>
      </c>
      <c r="B564" s="1" t="s">
        <v>1695</v>
      </c>
      <c r="C564" s="1" t="s">
        <v>960</v>
      </c>
      <c r="D564" s="1" t="s">
        <v>1695</v>
      </c>
      <c r="E564" s="1" t="s">
        <v>1695</v>
      </c>
      <c r="F564" s="1" t="s">
        <v>813</v>
      </c>
      <c r="G564" s="2">
        <v>45204</v>
      </c>
      <c r="H564" s="3">
        <v>0.39166666666666661</v>
      </c>
      <c r="I564" s="1" t="s">
        <v>1695</v>
      </c>
      <c r="J564" s="1" t="s">
        <v>1695</v>
      </c>
      <c r="K564">
        <v>98</v>
      </c>
    </row>
    <row r="565" spans="1:11" x14ac:dyDescent="0.25">
      <c r="A565" s="1" t="s">
        <v>1243</v>
      </c>
      <c r="B565" s="1" t="s">
        <v>24</v>
      </c>
      <c r="C565" s="1" t="s">
        <v>1247</v>
      </c>
      <c r="D565" s="1" t="s">
        <v>1506</v>
      </c>
      <c r="E565" s="1" t="s">
        <v>1516</v>
      </c>
      <c r="F565" s="1" t="s">
        <v>813</v>
      </c>
      <c r="G565" s="2">
        <v>45205</v>
      </c>
      <c r="H565" s="3">
        <v>0.72916666666666674</v>
      </c>
      <c r="I565" s="1">
        <v>-4.4958720000000003</v>
      </c>
      <c r="J565" s="1">
        <v>18.514112000000001</v>
      </c>
      <c r="K565">
        <v>106</v>
      </c>
    </row>
    <row r="566" spans="1:11" hidden="1" x14ac:dyDescent="0.25">
      <c r="A566" s="1" t="s">
        <v>1243</v>
      </c>
      <c r="B566" s="1" t="s">
        <v>1695</v>
      </c>
      <c r="C566" s="1" t="s">
        <v>812</v>
      </c>
      <c r="D566" s="1" t="s">
        <v>1695</v>
      </c>
      <c r="E566" s="1" t="s">
        <v>1695</v>
      </c>
      <c r="F566" s="1" t="s">
        <v>811</v>
      </c>
      <c r="G566" s="2">
        <v>45207</v>
      </c>
      <c r="H566" s="3">
        <v>0.30486111111111103</v>
      </c>
      <c r="I566" s="1" t="s">
        <v>1695</v>
      </c>
      <c r="J566" s="1" t="s">
        <v>1695</v>
      </c>
      <c r="K566">
        <v>50</v>
      </c>
    </row>
    <row r="567" spans="1:11" x14ac:dyDescent="0.25">
      <c r="A567" s="1" t="s">
        <v>1243</v>
      </c>
      <c r="B567" s="1" t="s">
        <v>131</v>
      </c>
      <c r="C567" s="1" t="s">
        <v>932</v>
      </c>
      <c r="D567" s="1" t="s">
        <v>1506</v>
      </c>
      <c r="E567" s="1" t="s">
        <v>1507</v>
      </c>
      <c r="F567" s="1" t="s">
        <v>813</v>
      </c>
      <c r="G567" s="2">
        <v>45227</v>
      </c>
      <c r="H567" s="3">
        <v>0.92291666666666661</v>
      </c>
      <c r="I567" s="1">
        <v>-10.25074</v>
      </c>
      <c r="J567" s="1">
        <v>26.099086</v>
      </c>
      <c r="K567">
        <v>26</v>
      </c>
    </row>
    <row r="568" spans="1:11" x14ac:dyDescent="0.25">
      <c r="A568" s="1" t="s">
        <v>1243</v>
      </c>
      <c r="B568" s="1" t="s">
        <v>44</v>
      </c>
      <c r="C568" s="1" t="s">
        <v>1248</v>
      </c>
      <c r="D568" s="1" t="s">
        <v>1503</v>
      </c>
      <c r="E568" s="1" t="s">
        <v>1509</v>
      </c>
      <c r="F568" s="1" t="s">
        <v>808</v>
      </c>
      <c r="G568" s="2">
        <v>45225</v>
      </c>
      <c r="H568" s="3">
        <v>0.62361111111111112</v>
      </c>
      <c r="I568" s="1">
        <v>-0.47411900000000001</v>
      </c>
      <c r="J568" s="1">
        <v>27.184329000000002</v>
      </c>
      <c r="K568">
        <v>22</v>
      </c>
    </row>
    <row r="569" spans="1:11" x14ac:dyDescent="0.25">
      <c r="A569" s="1" t="s">
        <v>1243</v>
      </c>
      <c r="B569" s="1" t="s">
        <v>57</v>
      </c>
      <c r="C569" s="1" t="s">
        <v>1249</v>
      </c>
      <c r="D569" s="1" t="s">
        <v>1503</v>
      </c>
      <c r="E569" s="1" t="s">
        <v>1507</v>
      </c>
      <c r="F569" s="1" t="s">
        <v>811</v>
      </c>
      <c r="G569" s="2">
        <v>45201</v>
      </c>
      <c r="H569" s="3">
        <v>0.72638888888888897</v>
      </c>
      <c r="I569" s="1">
        <v>-4.3639070000000002</v>
      </c>
      <c r="J569" s="1">
        <v>16.283307000000001</v>
      </c>
      <c r="K569">
        <v>97</v>
      </c>
    </row>
    <row r="570" spans="1:11" hidden="1" x14ac:dyDescent="0.25">
      <c r="A570" s="1" t="s">
        <v>1243</v>
      </c>
      <c r="B570" s="1" t="s">
        <v>1695</v>
      </c>
      <c r="C570" s="1" t="s">
        <v>960</v>
      </c>
      <c r="D570" s="1" t="s">
        <v>1695</v>
      </c>
      <c r="E570" s="1" t="s">
        <v>1695</v>
      </c>
      <c r="F570" s="1" t="s">
        <v>808</v>
      </c>
      <c r="G570" s="2">
        <v>45230</v>
      </c>
      <c r="H570" s="3">
        <v>0.56597222222222232</v>
      </c>
      <c r="I570" s="1" t="s">
        <v>1695</v>
      </c>
      <c r="J570" s="1" t="s">
        <v>1695</v>
      </c>
      <c r="K570">
        <v>74</v>
      </c>
    </row>
    <row r="571" spans="1:11" x14ac:dyDescent="0.25">
      <c r="A571" s="1" t="s">
        <v>1243</v>
      </c>
      <c r="B571" s="1" t="s">
        <v>137</v>
      </c>
      <c r="C571" s="1" t="s">
        <v>1114</v>
      </c>
      <c r="D571" s="1" t="s">
        <v>1506</v>
      </c>
      <c r="E571" s="1" t="s">
        <v>1504</v>
      </c>
      <c r="F571" s="1" t="s">
        <v>811</v>
      </c>
      <c r="G571" s="2">
        <v>45216</v>
      </c>
      <c r="H571" s="3">
        <v>0.18333333333333335</v>
      </c>
      <c r="I571" s="1">
        <v>-10.967288</v>
      </c>
      <c r="J571" s="1">
        <v>17.617781000000001</v>
      </c>
      <c r="K571">
        <v>67</v>
      </c>
    </row>
    <row r="572" spans="1:11" x14ac:dyDescent="0.25">
      <c r="A572" s="1" t="s">
        <v>1243</v>
      </c>
      <c r="B572" s="1" t="s">
        <v>26</v>
      </c>
      <c r="C572" s="1" t="s">
        <v>1250</v>
      </c>
      <c r="D572" s="1" t="s">
        <v>1508</v>
      </c>
      <c r="E572" s="1" t="s">
        <v>1516</v>
      </c>
      <c r="F572" s="1" t="s">
        <v>808</v>
      </c>
      <c r="G572" s="2">
        <v>45207</v>
      </c>
      <c r="H572" s="3">
        <v>0.34236111111111112</v>
      </c>
      <c r="I572" s="1">
        <v>0.40267799999999998</v>
      </c>
      <c r="J572" s="1">
        <v>16.000858000000001</v>
      </c>
      <c r="K572">
        <v>28</v>
      </c>
    </row>
    <row r="573" spans="1:11" x14ac:dyDescent="0.25">
      <c r="A573" s="1" t="s">
        <v>1243</v>
      </c>
      <c r="B573" s="1" t="s">
        <v>16</v>
      </c>
      <c r="C573" s="1" t="s">
        <v>1251</v>
      </c>
      <c r="D573" s="1" t="s">
        <v>1506</v>
      </c>
      <c r="E573" s="1" t="s">
        <v>1509</v>
      </c>
      <c r="F573" s="1" t="s">
        <v>808</v>
      </c>
      <c r="G573" s="2">
        <v>45210</v>
      </c>
      <c r="H573" s="3">
        <v>0.83680555555555558</v>
      </c>
      <c r="I573" s="1">
        <v>-11.407966</v>
      </c>
      <c r="J573" s="1">
        <v>28.378274000000001</v>
      </c>
      <c r="K573">
        <v>118</v>
      </c>
    </row>
    <row r="574" spans="1:11" x14ac:dyDescent="0.25">
      <c r="A574" s="1" t="s">
        <v>1243</v>
      </c>
      <c r="B574" s="1" t="s">
        <v>127</v>
      </c>
      <c r="C574" s="1" t="s">
        <v>1252</v>
      </c>
      <c r="D574" s="1" t="s">
        <v>1506</v>
      </c>
      <c r="E574" s="1" t="s">
        <v>1507</v>
      </c>
      <c r="F574" s="1" t="s">
        <v>813</v>
      </c>
      <c r="G574" s="2">
        <v>45229</v>
      </c>
      <c r="H574" s="3">
        <v>0.62083333333333335</v>
      </c>
      <c r="I574" s="1">
        <v>-12.488033</v>
      </c>
      <c r="J574" s="1">
        <v>16.139648000000001</v>
      </c>
      <c r="K574">
        <v>74</v>
      </c>
    </row>
    <row r="575" spans="1:11" x14ac:dyDescent="0.25">
      <c r="A575" s="1" t="s">
        <v>1243</v>
      </c>
      <c r="B575" s="1" t="s">
        <v>21</v>
      </c>
      <c r="C575" s="1" t="s">
        <v>895</v>
      </c>
      <c r="D575" s="1" t="s">
        <v>1508</v>
      </c>
      <c r="E575" s="1" t="s">
        <v>1516</v>
      </c>
      <c r="F575" s="1" t="s">
        <v>813</v>
      </c>
      <c r="G575" s="2">
        <v>45211</v>
      </c>
      <c r="H575" s="3">
        <v>0.10694444444444451</v>
      </c>
      <c r="I575" s="1">
        <v>-5.2526849999999996</v>
      </c>
      <c r="J575" s="1">
        <v>12.374528</v>
      </c>
      <c r="K575">
        <v>87</v>
      </c>
    </row>
    <row r="576" spans="1:11" x14ac:dyDescent="0.25">
      <c r="A576" s="1" t="s">
        <v>1243</v>
      </c>
      <c r="B576" s="1" t="s">
        <v>131</v>
      </c>
      <c r="C576" s="1" t="s">
        <v>1053</v>
      </c>
      <c r="D576" s="1" t="s">
        <v>1506</v>
      </c>
      <c r="E576" s="1" t="s">
        <v>1504</v>
      </c>
      <c r="F576" s="1" t="s">
        <v>811</v>
      </c>
      <c r="G576" s="2">
        <v>45223</v>
      </c>
      <c r="H576" s="3">
        <v>0.25208333333333344</v>
      </c>
      <c r="I576" s="1">
        <v>-10.846306999999999</v>
      </c>
      <c r="J576" s="1">
        <v>19.201827999999999</v>
      </c>
      <c r="K576">
        <v>12</v>
      </c>
    </row>
    <row r="577" spans="1:11" hidden="1" x14ac:dyDescent="0.25">
      <c r="A577" s="1" t="s">
        <v>1243</v>
      </c>
      <c r="B577" s="1" t="s">
        <v>1695</v>
      </c>
      <c r="C577" s="1" t="s">
        <v>1253</v>
      </c>
      <c r="D577" s="1" t="s">
        <v>1695</v>
      </c>
      <c r="E577" s="1" t="s">
        <v>1695</v>
      </c>
      <c r="F577" s="1" t="s">
        <v>813</v>
      </c>
      <c r="G577" s="2">
        <v>45208</v>
      </c>
      <c r="H577" s="3">
        <v>0.52986111111111112</v>
      </c>
      <c r="I577" s="1" t="s">
        <v>1695</v>
      </c>
      <c r="J577" s="1" t="s">
        <v>1695</v>
      </c>
      <c r="K577">
        <v>72</v>
      </c>
    </row>
    <row r="578" spans="1:11" hidden="1" x14ac:dyDescent="0.25">
      <c r="A578" s="1" t="s">
        <v>1243</v>
      </c>
      <c r="B578" s="1" t="s">
        <v>1695</v>
      </c>
      <c r="C578" s="1" t="s">
        <v>1033</v>
      </c>
      <c r="D578" s="1" t="s">
        <v>1695</v>
      </c>
      <c r="E578" s="1" t="s">
        <v>1695</v>
      </c>
      <c r="F578" s="1" t="s">
        <v>811</v>
      </c>
      <c r="G578" s="2">
        <v>45219</v>
      </c>
      <c r="H578" s="3">
        <v>0.79305555555555562</v>
      </c>
      <c r="I578" s="1" t="s">
        <v>1695</v>
      </c>
      <c r="J578" s="1" t="s">
        <v>1695</v>
      </c>
      <c r="K578">
        <v>9</v>
      </c>
    </row>
    <row r="579" spans="1:11" x14ac:dyDescent="0.25">
      <c r="A579" s="1" t="s">
        <v>1243</v>
      </c>
      <c r="B579" s="1" t="s">
        <v>51</v>
      </c>
      <c r="C579" s="1" t="s">
        <v>1254</v>
      </c>
      <c r="D579" s="1" t="s">
        <v>1508</v>
      </c>
      <c r="E579" s="1" t="s">
        <v>1516</v>
      </c>
      <c r="F579" s="1" t="s">
        <v>808</v>
      </c>
      <c r="G579" s="2">
        <v>45227</v>
      </c>
      <c r="H579" s="3">
        <v>9.1666666666666563E-2</v>
      </c>
      <c r="I579" s="1">
        <v>-10.161428000000001</v>
      </c>
      <c r="J579" s="1">
        <v>19.362325999999999</v>
      </c>
      <c r="K579">
        <v>112</v>
      </c>
    </row>
    <row r="580" spans="1:11" x14ac:dyDescent="0.25">
      <c r="A580" s="1" t="s">
        <v>1243</v>
      </c>
      <c r="B580" s="1" t="s">
        <v>37</v>
      </c>
      <c r="C580" s="1" t="s">
        <v>1255</v>
      </c>
      <c r="D580" s="1" t="s">
        <v>1508</v>
      </c>
      <c r="E580" s="1" t="s">
        <v>1509</v>
      </c>
      <c r="F580" s="1" t="s">
        <v>811</v>
      </c>
      <c r="G580" s="2">
        <v>45225</v>
      </c>
      <c r="H580" s="3">
        <v>0.78194444444444455</v>
      </c>
      <c r="I580" s="1">
        <v>-7.9425049999999997</v>
      </c>
      <c r="J580" s="1">
        <v>24.111059000000001</v>
      </c>
      <c r="K580">
        <v>113</v>
      </c>
    </row>
    <row r="581" spans="1:11" x14ac:dyDescent="0.25">
      <c r="A581" s="1" t="s">
        <v>1243</v>
      </c>
      <c r="B581" s="1" t="s">
        <v>37</v>
      </c>
      <c r="C581" s="1" t="s">
        <v>837</v>
      </c>
      <c r="D581" s="1" t="s">
        <v>1503</v>
      </c>
      <c r="E581" s="1" t="s">
        <v>1504</v>
      </c>
      <c r="F581" s="1" t="s">
        <v>808</v>
      </c>
      <c r="G581" s="2">
        <v>45221</v>
      </c>
      <c r="H581" s="3">
        <v>0.71736111111111112</v>
      </c>
      <c r="I581" s="1">
        <v>-2.4662510000000002</v>
      </c>
      <c r="J581" s="1">
        <v>18.007998000000001</v>
      </c>
      <c r="K581">
        <v>14</v>
      </c>
    </row>
    <row r="582" spans="1:11" x14ac:dyDescent="0.25">
      <c r="A582" s="1" t="s">
        <v>1243</v>
      </c>
      <c r="B582" s="1" t="s">
        <v>62</v>
      </c>
      <c r="C582" s="1" t="s">
        <v>1256</v>
      </c>
      <c r="D582" s="1" t="s">
        <v>1503</v>
      </c>
      <c r="E582" s="1" t="s">
        <v>1509</v>
      </c>
      <c r="F582" s="1" t="s">
        <v>808</v>
      </c>
      <c r="G582" s="2">
        <v>45215</v>
      </c>
      <c r="H582" s="3">
        <v>0.28819444444444442</v>
      </c>
      <c r="I582" s="1">
        <v>-11.157245</v>
      </c>
      <c r="J582" s="1">
        <v>21.262627999999999</v>
      </c>
      <c r="K582">
        <v>109</v>
      </c>
    </row>
    <row r="583" spans="1:11" hidden="1" x14ac:dyDescent="0.25">
      <c r="A583" s="1" t="s">
        <v>1243</v>
      </c>
      <c r="B583" s="1" t="s">
        <v>1695</v>
      </c>
      <c r="C583" s="1" t="s">
        <v>1092</v>
      </c>
      <c r="D583" s="1" t="s">
        <v>1695</v>
      </c>
      <c r="E583" s="1" t="s">
        <v>1695</v>
      </c>
      <c r="F583" s="1" t="s">
        <v>808</v>
      </c>
      <c r="G583" s="2">
        <v>45229</v>
      </c>
      <c r="H583" s="3">
        <v>0.42986111111111103</v>
      </c>
      <c r="I583" s="1" t="s">
        <v>1695</v>
      </c>
      <c r="J583" s="1" t="s">
        <v>1695</v>
      </c>
      <c r="K583">
        <v>90</v>
      </c>
    </row>
    <row r="584" spans="1:11" x14ac:dyDescent="0.25">
      <c r="A584" s="1" t="s">
        <v>1243</v>
      </c>
      <c r="B584" s="1" t="s">
        <v>89</v>
      </c>
      <c r="C584" s="1" t="s">
        <v>887</v>
      </c>
      <c r="D584" s="1" t="s">
        <v>1503</v>
      </c>
      <c r="E584" s="1" t="s">
        <v>1516</v>
      </c>
      <c r="F584" s="1" t="s">
        <v>811</v>
      </c>
      <c r="G584" s="2">
        <v>45230</v>
      </c>
      <c r="H584" s="3">
        <v>9.0277777777778567E-3</v>
      </c>
      <c r="I584" s="1">
        <v>0.94539899999999999</v>
      </c>
      <c r="J584" s="1">
        <v>14.401821999999999</v>
      </c>
      <c r="K584">
        <v>11</v>
      </c>
    </row>
    <row r="585" spans="1:11" hidden="1" x14ac:dyDescent="0.25">
      <c r="A585" s="1" t="s">
        <v>1243</v>
      </c>
      <c r="B585" s="1" t="s">
        <v>1695</v>
      </c>
      <c r="C585" s="1" t="s">
        <v>851</v>
      </c>
      <c r="D585" s="1" t="s">
        <v>1695</v>
      </c>
      <c r="E585" s="1" t="s">
        <v>1695</v>
      </c>
      <c r="F585" s="1" t="s">
        <v>811</v>
      </c>
      <c r="G585" s="2">
        <v>45229</v>
      </c>
      <c r="H585" s="3">
        <v>0.28263888888888888</v>
      </c>
      <c r="I585" s="1" t="s">
        <v>1695</v>
      </c>
      <c r="J585" s="1" t="s">
        <v>1695</v>
      </c>
      <c r="K585">
        <v>102</v>
      </c>
    </row>
    <row r="586" spans="1:11" hidden="1" x14ac:dyDescent="0.25">
      <c r="A586" s="1" t="s">
        <v>1243</v>
      </c>
      <c r="B586" s="1" t="s">
        <v>1695</v>
      </c>
      <c r="C586" s="1" t="s">
        <v>1257</v>
      </c>
      <c r="D586" s="1" t="s">
        <v>1695</v>
      </c>
      <c r="E586" s="1" t="s">
        <v>1695</v>
      </c>
      <c r="F586" s="1" t="s">
        <v>813</v>
      </c>
      <c r="G586" s="2">
        <v>45203</v>
      </c>
      <c r="H586" s="3">
        <v>0.9916666666666667</v>
      </c>
      <c r="I586" s="1" t="s">
        <v>1695</v>
      </c>
      <c r="J586" s="1" t="s">
        <v>1695</v>
      </c>
      <c r="K586">
        <v>5</v>
      </c>
    </row>
    <row r="587" spans="1:11" hidden="1" x14ac:dyDescent="0.25">
      <c r="A587" s="1" t="s">
        <v>1243</v>
      </c>
      <c r="B587" s="1" t="s">
        <v>1695</v>
      </c>
      <c r="C587" s="1" t="s">
        <v>1258</v>
      </c>
      <c r="D587" s="1" t="s">
        <v>1695</v>
      </c>
      <c r="E587" s="1" t="s">
        <v>1695</v>
      </c>
      <c r="F587" s="1" t="s">
        <v>813</v>
      </c>
      <c r="G587" s="2">
        <v>45215</v>
      </c>
      <c r="H587" s="3">
        <v>0.32222222222222219</v>
      </c>
      <c r="I587" s="1" t="s">
        <v>1695</v>
      </c>
      <c r="J587" s="1" t="s">
        <v>1695</v>
      </c>
      <c r="K587">
        <v>57</v>
      </c>
    </row>
    <row r="588" spans="1:11" hidden="1" x14ac:dyDescent="0.25">
      <c r="A588" s="1" t="s">
        <v>1243</v>
      </c>
      <c r="B588" s="1" t="s">
        <v>1695</v>
      </c>
      <c r="C588" s="1" t="s">
        <v>1259</v>
      </c>
      <c r="D588" s="1" t="s">
        <v>1695</v>
      </c>
      <c r="E588" s="1" t="s">
        <v>1695</v>
      </c>
      <c r="F588" s="1" t="s">
        <v>808</v>
      </c>
      <c r="G588" s="2">
        <v>45219</v>
      </c>
      <c r="H588" s="3">
        <v>0.92569444444444438</v>
      </c>
      <c r="I588" s="1" t="s">
        <v>1695</v>
      </c>
      <c r="J588" s="1" t="s">
        <v>1695</v>
      </c>
      <c r="K588">
        <v>22</v>
      </c>
    </row>
    <row r="589" spans="1:11" hidden="1" x14ac:dyDescent="0.25">
      <c r="A589" s="1" t="s">
        <v>1243</v>
      </c>
      <c r="B589" s="1" t="s">
        <v>1695</v>
      </c>
      <c r="C589" s="1" t="s">
        <v>979</v>
      </c>
      <c r="D589" s="1" t="s">
        <v>1695</v>
      </c>
      <c r="E589" s="1" t="s">
        <v>1695</v>
      </c>
      <c r="F589" s="1" t="s">
        <v>808</v>
      </c>
      <c r="G589" s="2">
        <v>45212</v>
      </c>
      <c r="H589" s="3">
        <v>0.31597222222222232</v>
      </c>
      <c r="I589" s="1" t="s">
        <v>1695</v>
      </c>
      <c r="J589" s="1" t="s">
        <v>1695</v>
      </c>
      <c r="K589">
        <v>112</v>
      </c>
    </row>
    <row r="590" spans="1:11" x14ac:dyDescent="0.25">
      <c r="A590" s="1" t="s">
        <v>1243</v>
      </c>
      <c r="B590" s="1" t="s">
        <v>131</v>
      </c>
      <c r="C590" s="1" t="s">
        <v>908</v>
      </c>
      <c r="D590" s="1" t="s">
        <v>1508</v>
      </c>
      <c r="E590" s="1" t="s">
        <v>1516</v>
      </c>
      <c r="F590" s="1" t="s">
        <v>811</v>
      </c>
      <c r="G590" s="2">
        <v>45210</v>
      </c>
      <c r="H590" s="3">
        <v>0.39166666666666661</v>
      </c>
      <c r="I590" s="1">
        <v>1.017161</v>
      </c>
      <c r="J590" s="1">
        <v>16.519689</v>
      </c>
      <c r="K590">
        <v>85</v>
      </c>
    </row>
    <row r="591" spans="1:11" x14ac:dyDescent="0.25">
      <c r="A591" s="1" t="s">
        <v>1243</v>
      </c>
      <c r="B591" s="1" t="s">
        <v>51</v>
      </c>
      <c r="C591" s="1" t="s">
        <v>1260</v>
      </c>
      <c r="D591" s="1" t="s">
        <v>1508</v>
      </c>
      <c r="E591" s="1" t="s">
        <v>1509</v>
      </c>
      <c r="F591" s="1" t="s">
        <v>813</v>
      </c>
      <c r="G591" s="2">
        <v>45214</v>
      </c>
      <c r="H591" s="3">
        <v>0.73680555555555549</v>
      </c>
      <c r="I591" s="1">
        <v>5.3608999999999997E-2</v>
      </c>
      <c r="J591" s="1">
        <v>28.346852999999999</v>
      </c>
      <c r="K591">
        <v>34</v>
      </c>
    </row>
    <row r="592" spans="1:11" hidden="1" x14ac:dyDescent="0.25">
      <c r="A592" s="1" t="s">
        <v>1243</v>
      </c>
      <c r="B592" s="1" t="s">
        <v>1695</v>
      </c>
      <c r="C592" s="1" t="s">
        <v>1002</v>
      </c>
      <c r="D592" s="1" t="s">
        <v>1695</v>
      </c>
      <c r="E592" s="1" t="s">
        <v>1695</v>
      </c>
      <c r="F592" s="1" t="s">
        <v>811</v>
      </c>
      <c r="G592" s="2">
        <v>45211</v>
      </c>
      <c r="H592" s="3">
        <v>0.38611111111111107</v>
      </c>
      <c r="I592" s="1" t="s">
        <v>1695</v>
      </c>
      <c r="J592" s="1" t="s">
        <v>1695</v>
      </c>
      <c r="K592">
        <v>13</v>
      </c>
    </row>
    <row r="593" spans="1:11" hidden="1" x14ac:dyDescent="0.25">
      <c r="A593" s="1" t="s">
        <v>1243</v>
      </c>
      <c r="B593" s="1" t="s">
        <v>1695</v>
      </c>
      <c r="C593" s="1" t="s">
        <v>1261</v>
      </c>
      <c r="D593" s="1" t="s">
        <v>1695</v>
      </c>
      <c r="E593" s="1" t="s">
        <v>1695</v>
      </c>
      <c r="F593" s="1" t="s">
        <v>811</v>
      </c>
      <c r="G593" s="2">
        <v>45211</v>
      </c>
      <c r="H593" s="3">
        <v>0.70555555555555549</v>
      </c>
      <c r="I593" s="1" t="s">
        <v>1695</v>
      </c>
      <c r="J593" s="1" t="s">
        <v>1695</v>
      </c>
      <c r="K593">
        <v>95</v>
      </c>
    </row>
    <row r="594" spans="1:11" x14ac:dyDescent="0.25">
      <c r="A594" s="1" t="s">
        <v>1243</v>
      </c>
      <c r="B594" s="1" t="s">
        <v>78</v>
      </c>
      <c r="C594" s="1" t="s">
        <v>1262</v>
      </c>
      <c r="D594" s="1" t="s">
        <v>1503</v>
      </c>
      <c r="E594" s="1" t="s">
        <v>1509</v>
      </c>
      <c r="F594" s="1" t="s">
        <v>811</v>
      </c>
      <c r="G594" s="2">
        <v>45215</v>
      </c>
      <c r="H594" s="3">
        <v>0.58749999999999991</v>
      </c>
      <c r="I594" s="1">
        <v>2.5458379999999998</v>
      </c>
      <c r="J594" s="1">
        <v>13.308655</v>
      </c>
      <c r="K594">
        <v>24</v>
      </c>
    </row>
    <row r="595" spans="1:11" x14ac:dyDescent="0.25">
      <c r="A595" s="1" t="s">
        <v>1243</v>
      </c>
      <c r="B595" s="1" t="s">
        <v>13</v>
      </c>
      <c r="C595" s="1" t="s">
        <v>1093</v>
      </c>
      <c r="D595" s="1" t="s">
        <v>1506</v>
      </c>
      <c r="E595" s="1" t="s">
        <v>1509</v>
      </c>
      <c r="F595" s="1" t="s">
        <v>808</v>
      </c>
      <c r="G595" s="2">
        <v>45225</v>
      </c>
      <c r="H595" s="3">
        <v>0.97916666666666674</v>
      </c>
      <c r="I595" s="1">
        <v>-10.577049000000001</v>
      </c>
      <c r="J595" s="1">
        <v>23.721854</v>
      </c>
      <c r="K595">
        <v>6</v>
      </c>
    </row>
    <row r="596" spans="1:11" hidden="1" x14ac:dyDescent="0.25">
      <c r="A596" s="1" t="s">
        <v>1243</v>
      </c>
      <c r="B596" s="1" t="s">
        <v>1695</v>
      </c>
      <c r="C596" s="1" t="s">
        <v>831</v>
      </c>
      <c r="D596" s="1" t="s">
        <v>1695</v>
      </c>
      <c r="E596" s="1" t="s">
        <v>1695</v>
      </c>
      <c r="F596" s="1" t="s">
        <v>808</v>
      </c>
      <c r="G596" s="2">
        <v>45224</v>
      </c>
      <c r="H596" s="3">
        <v>0.45694444444444438</v>
      </c>
      <c r="I596" s="1" t="s">
        <v>1695</v>
      </c>
      <c r="J596" s="1" t="s">
        <v>1695</v>
      </c>
      <c r="K596">
        <v>32</v>
      </c>
    </row>
    <row r="597" spans="1:11" hidden="1" x14ac:dyDescent="0.25">
      <c r="A597" s="1" t="s">
        <v>1243</v>
      </c>
      <c r="B597" s="1" t="s">
        <v>1695</v>
      </c>
      <c r="C597" s="1" t="s">
        <v>1263</v>
      </c>
      <c r="D597" s="1" t="s">
        <v>1695</v>
      </c>
      <c r="E597" s="1" t="s">
        <v>1695</v>
      </c>
      <c r="F597" s="1" t="s">
        <v>813</v>
      </c>
      <c r="G597" s="2">
        <v>45206</v>
      </c>
      <c r="H597" s="3">
        <v>0.47222222222222232</v>
      </c>
      <c r="I597" s="1" t="s">
        <v>1695</v>
      </c>
      <c r="J597" s="1" t="s">
        <v>1695</v>
      </c>
      <c r="K597">
        <v>69</v>
      </c>
    </row>
    <row r="598" spans="1:11" x14ac:dyDescent="0.25">
      <c r="A598" s="1" t="s">
        <v>1243</v>
      </c>
      <c r="B598" s="1" t="s">
        <v>31</v>
      </c>
      <c r="C598" s="1" t="s">
        <v>1148</v>
      </c>
      <c r="D598" s="1" t="s">
        <v>1508</v>
      </c>
      <c r="E598" s="1" t="s">
        <v>1507</v>
      </c>
      <c r="F598" s="1" t="s">
        <v>808</v>
      </c>
      <c r="G598" s="2">
        <v>45213</v>
      </c>
      <c r="H598" s="3">
        <v>6.6666666666666652E-2</v>
      </c>
      <c r="I598" s="1">
        <v>-11.387295999999999</v>
      </c>
      <c r="J598" s="1">
        <v>19.384257999999999</v>
      </c>
      <c r="K598">
        <v>63</v>
      </c>
    </row>
    <row r="599" spans="1:11" hidden="1" x14ac:dyDescent="0.25">
      <c r="A599" s="1" t="s">
        <v>1243</v>
      </c>
      <c r="B599" s="1" t="s">
        <v>1695</v>
      </c>
      <c r="C599" s="1" t="s">
        <v>1264</v>
      </c>
      <c r="D599" s="1" t="s">
        <v>1695</v>
      </c>
      <c r="E599" s="1" t="s">
        <v>1695</v>
      </c>
      <c r="F599" s="1" t="s">
        <v>808</v>
      </c>
      <c r="G599" s="2">
        <v>45227</v>
      </c>
      <c r="H599" s="3">
        <v>0.32430555555555562</v>
      </c>
      <c r="I599" s="1" t="s">
        <v>1695</v>
      </c>
      <c r="J599" s="1" t="s">
        <v>1695</v>
      </c>
      <c r="K599">
        <v>52</v>
      </c>
    </row>
    <row r="600" spans="1:11" x14ac:dyDescent="0.25">
      <c r="A600" s="1" t="s">
        <v>1243</v>
      </c>
      <c r="B600" s="1" t="s">
        <v>78</v>
      </c>
      <c r="C600" s="1" t="s">
        <v>1265</v>
      </c>
      <c r="D600" s="1" t="s">
        <v>1503</v>
      </c>
      <c r="E600" s="1" t="s">
        <v>1516</v>
      </c>
      <c r="F600" s="1" t="s">
        <v>811</v>
      </c>
      <c r="G600" s="2">
        <v>45204</v>
      </c>
      <c r="H600" s="3">
        <v>1.1111111111111072E-2</v>
      </c>
      <c r="I600" s="1">
        <v>-1.6488929999999999</v>
      </c>
      <c r="J600" s="1">
        <v>27.284617000000001</v>
      </c>
      <c r="K600">
        <v>12</v>
      </c>
    </row>
    <row r="601" spans="1:11" x14ac:dyDescent="0.25">
      <c r="A601" s="1" t="s">
        <v>1243</v>
      </c>
      <c r="B601" s="1" t="s">
        <v>78</v>
      </c>
      <c r="C601" s="1" t="s">
        <v>966</v>
      </c>
      <c r="D601" s="1" t="s">
        <v>1503</v>
      </c>
      <c r="E601" s="1" t="s">
        <v>1504</v>
      </c>
      <c r="F601" s="1" t="s">
        <v>808</v>
      </c>
      <c r="G601" s="2">
        <v>45217</v>
      </c>
      <c r="H601" s="3">
        <v>0.77569444444444446</v>
      </c>
      <c r="I601" s="1">
        <v>-2.3743210000000001</v>
      </c>
      <c r="J601" s="1">
        <v>22.399491000000001</v>
      </c>
      <c r="K601">
        <v>84</v>
      </c>
    </row>
    <row r="602" spans="1:11" x14ac:dyDescent="0.25">
      <c r="A602" s="1" t="s">
        <v>1243</v>
      </c>
      <c r="B602" s="1" t="s">
        <v>31</v>
      </c>
      <c r="C602" s="1" t="s">
        <v>1266</v>
      </c>
      <c r="D602" s="1" t="s">
        <v>1508</v>
      </c>
      <c r="E602" s="1" t="s">
        <v>1516</v>
      </c>
      <c r="F602" s="1" t="s">
        <v>811</v>
      </c>
      <c r="G602" s="2">
        <v>45223</v>
      </c>
      <c r="H602" s="3">
        <v>0.5541666666666667</v>
      </c>
      <c r="I602" s="1">
        <v>-12.050063</v>
      </c>
      <c r="J602" s="1">
        <v>26.636987999999999</v>
      </c>
      <c r="K602">
        <v>86</v>
      </c>
    </row>
    <row r="603" spans="1:11" x14ac:dyDescent="0.25">
      <c r="A603" s="1" t="s">
        <v>1243</v>
      </c>
      <c r="B603" s="1" t="s">
        <v>137</v>
      </c>
      <c r="C603" s="1" t="s">
        <v>1195</v>
      </c>
      <c r="D603" s="1" t="s">
        <v>1506</v>
      </c>
      <c r="E603" s="1" t="s">
        <v>1516</v>
      </c>
      <c r="F603" s="1" t="s">
        <v>813</v>
      </c>
      <c r="G603" s="2">
        <v>45204</v>
      </c>
      <c r="H603" s="3">
        <v>0.26458333333333339</v>
      </c>
      <c r="I603" s="1">
        <v>2.0392079999999999</v>
      </c>
      <c r="J603" s="1">
        <v>19.090841999999999</v>
      </c>
      <c r="K603">
        <v>90</v>
      </c>
    </row>
    <row r="604" spans="1:11" hidden="1" x14ac:dyDescent="0.25">
      <c r="A604" s="1" t="s">
        <v>1243</v>
      </c>
      <c r="B604" s="1" t="s">
        <v>1695</v>
      </c>
      <c r="C604" s="1" t="s">
        <v>1267</v>
      </c>
      <c r="D604" s="1" t="s">
        <v>1695</v>
      </c>
      <c r="E604" s="1" t="s">
        <v>1695</v>
      </c>
      <c r="F604" s="1" t="s">
        <v>808</v>
      </c>
      <c r="G604" s="2">
        <v>45207</v>
      </c>
      <c r="H604" s="3">
        <v>0.52499999999999991</v>
      </c>
      <c r="I604" s="1" t="s">
        <v>1695</v>
      </c>
      <c r="J604" s="1" t="s">
        <v>1695</v>
      </c>
      <c r="K604">
        <v>83</v>
      </c>
    </row>
    <row r="605" spans="1:11" x14ac:dyDescent="0.25">
      <c r="A605" s="1" t="s">
        <v>1243</v>
      </c>
      <c r="B605" s="1" t="s">
        <v>60</v>
      </c>
      <c r="C605" s="1" t="s">
        <v>1268</v>
      </c>
      <c r="D605" s="1" t="s">
        <v>1508</v>
      </c>
      <c r="E605" s="1" t="s">
        <v>1507</v>
      </c>
      <c r="F605" s="1" t="s">
        <v>813</v>
      </c>
      <c r="G605" s="2">
        <v>45226</v>
      </c>
      <c r="H605" s="3">
        <v>0.31319444444444455</v>
      </c>
      <c r="I605" s="1">
        <v>-12.839263000000001</v>
      </c>
      <c r="J605" s="1">
        <v>12.355677</v>
      </c>
      <c r="K605">
        <v>66</v>
      </c>
    </row>
    <row r="606" spans="1:11" hidden="1" x14ac:dyDescent="0.25">
      <c r="A606" s="1" t="s">
        <v>1243</v>
      </c>
      <c r="B606" s="1" t="s">
        <v>1695</v>
      </c>
      <c r="C606" s="1" t="s">
        <v>1269</v>
      </c>
      <c r="D606" s="1" t="s">
        <v>1695</v>
      </c>
      <c r="E606" s="1" t="s">
        <v>1695</v>
      </c>
      <c r="F606" s="1" t="s">
        <v>808</v>
      </c>
      <c r="G606" s="2">
        <v>45217</v>
      </c>
      <c r="H606" s="3">
        <v>0.86319444444444438</v>
      </c>
      <c r="I606" s="1" t="s">
        <v>1695</v>
      </c>
      <c r="J606" s="1" t="s">
        <v>1695</v>
      </c>
      <c r="K606">
        <v>89</v>
      </c>
    </row>
    <row r="607" spans="1:11" x14ac:dyDescent="0.25">
      <c r="A607" s="1" t="s">
        <v>1243</v>
      </c>
      <c r="B607" s="1" t="s">
        <v>137</v>
      </c>
      <c r="C607" s="1" t="s">
        <v>1270</v>
      </c>
      <c r="D607" s="1" t="s">
        <v>1503</v>
      </c>
      <c r="E607" s="1" t="s">
        <v>1509</v>
      </c>
      <c r="F607" s="1" t="s">
        <v>811</v>
      </c>
      <c r="G607" s="2">
        <v>45210</v>
      </c>
      <c r="H607" s="3">
        <v>0.3666666666666667</v>
      </c>
      <c r="I607" s="1">
        <v>-8.0301989999999996</v>
      </c>
      <c r="J607" s="1">
        <v>24.122495000000001</v>
      </c>
      <c r="K607">
        <v>67</v>
      </c>
    </row>
    <row r="608" spans="1:11" hidden="1" x14ac:dyDescent="0.25">
      <c r="A608" s="1" t="s">
        <v>1243</v>
      </c>
      <c r="B608" s="1" t="s">
        <v>1695</v>
      </c>
      <c r="C608" s="1" t="s">
        <v>1060</v>
      </c>
      <c r="D608" s="1" t="s">
        <v>1695</v>
      </c>
      <c r="E608" s="1" t="s">
        <v>1695</v>
      </c>
      <c r="F608" s="1" t="s">
        <v>808</v>
      </c>
      <c r="G608" s="2">
        <v>45226</v>
      </c>
      <c r="H608" s="3">
        <v>0.65694444444444455</v>
      </c>
      <c r="I608" s="1" t="s">
        <v>1695</v>
      </c>
      <c r="J608" s="1" t="s">
        <v>1695</v>
      </c>
      <c r="K608">
        <v>7</v>
      </c>
    </row>
    <row r="609" spans="1:11" hidden="1" x14ac:dyDescent="0.25">
      <c r="A609" s="1" t="s">
        <v>1271</v>
      </c>
      <c r="B609" s="1" t="s">
        <v>1695</v>
      </c>
      <c r="C609" s="1" t="s">
        <v>1272</v>
      </c>
      <c r="D609" s="1" t="s">
        <v>1695</v>
      </c>
      <c r="E609" s="1" t="s">
        <v>1695</v>
      </c>
      <c r="F609" s="1" t="s">
        <v>811</v>
      </c>
      <c r="G609" s="2">
        <v>45224</v>
      </c>
      <c r="H609" s="3">
        <v>0.9638888888888888</v>
      </c>
      <c r="I609" s="1" t="s">
        <v>1695</v>
      </c>
      <c r="J609" s="1" t="s">
        <v>1695</v>
      </c>
      <c r="K609">
        <v>83</v>
      </c>
    </row>
    <row r="610" spans="1:11" x14ac:dyDescent="0.25">
      <c r="A610" s="1" t="s">
        <v>1271</v>
      </c>
      <c r="B610" s="1" t="s">
        <v>40</v>
      </c>
      <c r="C610" s="1" t="s">
        <v>1273</v>
      </c>
      <c r="D610" s="1" t="s">
        <v>1506</v>
      </c>
      <c r="E610" s="1" t="s">
        <v>1504</v>
      </c>
      <c r="F610" s="1" t="s">
        <v>808</v>
      </c>
      <c r="G610" s="2">
        <v>45225</v>
      </c>
      <c r="H610" s="3">
        <v>0.94861111111111107</v>
      </c>
      <c r="I610" s="1">
        <v>-10.653247</v>
      </c>
      <c r="J610" s="1">
        <v>14.685601</v>
      </c>
      <c r="K610">
        <v>30</v>
      </c>
    </row>
    <row r="611" spans="1:11" x14ac:dyDescent="0.25">
      <c r="A611" s="1" t="s">
        <v>1271</v>
      </c>
      <c r="B611" s="1" t="s">
        <v>16</v>
      </c>
      <c r="C611" s="1" t="s">
        <v>1117</v>
      </c>
      <c r="D611" s="1" t="s">
        <v>1503</v>
      </c>
      <c r="E611" s="1" t="s">
        <v>1507</v>
      </c>
      <c r="F611" s="1" t="s">
        <v>813</v>
      </c>
      <c r="G611" s="2">
        <v>45211</v>
      </c>
      <c r="H611" s="3">
        <v>4.5833333333333393E-2</v>
      </c>
      <c r="I611" s="1">
        <v>-5.3762689999999997</v>
      </c>
      <c r="J611" s="1">
        <v>28.189575999999999</v>
      </c>
      <c r="K611">
        <v>18</v>
      </c>
    </row>
    <row r="612" spans="1:11" hidden="1" x14ac:dyDescent="0.25">
      <c r="A612" s="1" t="s">
        <v>1271</v>
      </c>
      <c r="B612" s="1" t="s">
        <v>1695</v>
      </c>
      <c r="C612" s="1" t="s">
        <v>1274</v>
      </c>
      <c r="D612" s="1" t="s">
        <v>1695</v>
      </c>
      <c r="E612" s="1" t="s">
        <v>1695</v>
      </c>
      <c r="F612" s="1" t="s">
        <v>813</v>
      </c>
      <c r="G612" s="2">
        <v>45213</v>
      </c>
      <c r="H612" s="3">
        <v>0.32847222222222228</v>
      </c>
      <c r="I612" s="1" t="s">
        <v>1695</v>
      </c>
      <c r="J612" s="1" t="s">
        <v>1695</v>
      </c>
      <c r="K612">
        <v>22</v>
      </c>
    </row>
    <row r="613" spans="1:11" hidden="1" x14ac:dyDescent="0.25">
      <c r="A613" s="1" t="s">
        <v>1271</v>
      </c>
      <c r="B613" s="1" t="s">
        <v>1695</v>
      </c>
      <c r="C613" s="1" t="s">
        <v>1187</v>
      </c>
      <c r="D613" s="1" t="s">
        <v>1695</v>
      </c>
      <c r="E613" s="1" t="s">
        <v>1695</v>
      </c>
      <c r="F613" s="1" t="s">
        <v>808</v>
      </c>
      <c r="G613" s="2">
        <v>45202</v>
      </c>
      <c r="H613" s="3">
        <v>0.44305555555555554</v>
      </c>
      <c r="I613" s="1" t="s">
        <v>1695</v>
      </c>
      <c r="J613" s="1" t="s">
        <v>1695</v>
      </c>
      <c r="K613">
        <v>43</v>
      </c>
    </row>
    <row r="614" spans="1:11" hidden="1" x14ac:dyDescent="0.25">
      <c r="A614" s="1" t="s">
        <v>1271</v>
      </c>
      <c r="B614" s="1" t="s">
        <v>1695</v>
      </c>
      <c r="C614" s="1" t="s">
        <v>1030</v>
      </c>
      <c r="D614" s="1" t="s">
        <v>1695</v>
      </c>
      <c r="E614" s="1" t="s">
        <v>1695</v>
      </c>
      <c r="F614" s="1" t="s">
        <v>813</v>
      </c>
      <c r="G614" s="2">
        <v>45224</v>
      </c>
      <c r="H614" s="3">
        <v>0.81805555555555554</v>
      </c>
      <c r="I614" s="1" t="s">
        <v>1695</v>
      </c>
      <c r="J614" s="1" t="s">
        <v>1695</v>
      </c>
      <c r="K614">
        <v>5</v>
      </c>
    </row>
    <row r="615" spans="1:11" x14ac:dyDescent="0.25">
      <c r="A615" s="1" t="s">
        <v>1271</v>
      </c>
      <c r="B615" s="1" t="s">
        <v>78</v>
      </c>
      <c r="C615" s="1" t="s">
        <v>1275</v>
      </c>
      <c r="D615" s="1" t="s">
        <v>1506</v>
      </c>
      <c r="E615" s="1" t="s">
        <v>1516</v>
      </c>
      <c r="F615" s="1" t="s">
        <v>811</v>
      </c>
      <c r="G615" s="2">
        <v>45212</v>
      </c>
      <c r="H615" s="3">
        <v>0.41736111111111107</v>
      </c>
      <c r="I615" s="1">
        <v>1.938083</v>
      </c>
      <c r="J615" s="1">
        <v>28.25281</v>
      </c>
      <c r="K615">
        <v>55</v>
      </c>
    </row>
    <row r="616" spans="1:11" hidden="1" x14ac:dyDescent="0.25">
      <c r="A616" s="1" t="s">
        <v>1271</v>
      </c>
      <c r="B616" s="1" t="s">
        <v>1695</v>
      </c>
      <c r="C616" s="1" t="s">
        <v>1276</v>
      </c>
      <c r="D616" s="1" t="s">
        <v>1695</v>
      </c>
      <c r="E616" s="1" t="s">
        <v>1695</v>
      </c>
      <c r="F616" s="1" t="s">
        <v>813</v>
      </c>
      <c r="G616" s="2">
        <v>45220</v>
      </c>
      <c r="H616" s="3">
        <v>0.36805555555555558</v>
      </c>
      <c r="I616" s="1" t="s">
        <v>1695</v>
      </c>
      <c r="J616" s="1" t="s">
        <v>1695</v>
      </c>
      <c r="K616">
        <v>47</v>
      </c>
    </row>
    <row r="617" spans="1:11" x14ac:dyDescent="0.25">
      <c r="A617" s="1" t="s">
        <v>1271</v>
      </c>
      <c r="B617" s="1" t="s">
        <v>60</v>
      </c>
      <c r="C617" s="1" t="s">
        <v>1277</v>
      </c>
      <c r="D617" s="1" t="s">
        <v>1503</v>
      </c>
      <c r="E617" s="1" t="s">
        <v>1509</v>
      </c>
      <c r="F617" s="1" t="s">
        <v>811</v>
      </c>
      <c r="G617" s="2">
        <v>45214</v>
      </c>
      <c r="H617" s="3">
        <v>0.63472222222222219</v>
      </c>
      <c r="I617" s="1">
        <v>-6.1490739999999997</v>
      </c>
      <c r="J617" s="1">
        <v>23.304411000000002</v>
      </c>
      <c r="K617">
        <v>112</v>
      </c>
    </row>
    <row r="618" spans="1:11" x14ac:dyDescent="0.25">
      <c r="A618" s="1" t="s">
        <v>1271</v>
      </c>
      <c r="B618" s="1" t="s">
        <v>35</v>
      </c>
      <c r="C618" s="1" t="s">
        <v>1118</v>
      </c>
      <c r="D618" s="1" t="s">
        <v>1506</v>
      </c>
      <c r="E618" s="1" t="s">
        <v>1509</v>
      </c>
      <c r="F618" s="1" t="s">
        <v>813</v>
      </c>
      <c r="G618" s="2">
        <v>45211</v>
      </c>
      <c r="H618" s="3">
        <v>0.72500000000000009</v>
      </c>
      <c r="I618" s="1">
        <v>-1.4110389999999999</v>
      </c>
      <c r="J618" s="1">
        <v>21.261644</v>
      </c>
      <c r="K618">
        <v>84</v>
      </c>
    </row>
    <row r="619" spans="1:11" x14ac:dyDescent="0.25">
      <c r="A619" s="1" t="s">
        <v>1271</v>
      </c>
      <c r="B619" s="1" t="s">
        <v>89</v>
      </c>
      <c r="C619" s="1" t="s">
        <v>1278</v>
      </c>
      <c r="D619" s="1" t="s">
        <v>1506</v>
      </c>
      <c r="E619" s="1" t="s">
        <v>1504</v>
      </c>
      <c r="F619" s="1" t="s">
        <v>811</v>
      </c>
      <c r="G619" s="2">
        <v>45213</v>
      </c>
      <c r="H619" s="3">
        <v>0.23819444444444438</v>
      </c>
      <c r="I619" s="1">
        <v>-8.4985189999999999</v>
      </c>
      <c r="J619" s="1">
        <v>12.929456999999999</v>
      </c>
      <c r="K619">
        <v>53</v>
      </c>
    </row>
    <row r="620" spans="1:11" hidden="1" x14ac:dyDescent="0.25">
      <c r="A620" s="1" t="s">
        <v>1271</v>
      </c>
      <c r="B620" s="1" t="s">
        <v>1695</v>
      </c>
      <c r="C620" s="1" t="s">
        <v>888</v>
      </c>
      <c r="D620" s="1" t="s">
        <v>1695</v>
      </c>
      <c r="E620" s="1" t="s">
        <v>1695</v>
      </c>
      <c r="F620" s="1" t="s">
        <v>811</v>
      </c>
      <c r="G620" s="2">
        <v>45218</v>
      </c>
      <c r="H620" s="3">
        <v>0.89166666666666661</v>
      </c>
      <c r="I620" s="1" t="s">
        <v>1695</v>
      </c>
      <c r="J620" s="1" t="s">
        <v>1695</v>
      </c>
      <c r="K620">
        <v>107</v>
      </c>
    </row>
    <row r="621" spans="1:11" x14ac:dyDescent="0.25">
      <c r="A621" s="1" t="s">
        <v>1271</v>
      </c>
      <c r="B621" s="1" t="s">
        <v>127</v>
      </c>
      <c r="C621" s="1" t="s">
        <v>1279</v>
      </c>
      <c r="D621" s="1" t="s">
        <v>1503</v>
      </c>
      <c r="E621" s="1" t="s">
        <v>1509</v>
      </c>
      <c r="F621" s="1" t="s">
        <v>811</v>
      </c>
      <c r="G621" s="2">
        <v>45202</v>
      </c>
      <c r="H621" s="3">
        <v>0.8041666666666667</v>
      </c>
      <c r="I621" s="1">
        <v>1.2391989999999999</v>
      </c>
      <c r="J621" s="1">
        <v>15.386718999999999</v>
      </c>
      <c r="K621">
        <v>115</v>
      </c>
    </row>
    <row r="622" spans="1:11" hidden="1" x14ac:dyDescent="0.25">
      <c r="A622" s="1" t="s">
        <v>1271</v>
      </c>
      <c r="B622" s="1" t="s">
        <v>1695</v>
      </c>
      <c r="C622" s="1" t="s">
        <v>1280</v>
      </c>
      <c r="D622" s="1" t="s">
        <v>1695</v>
      </c>
      <c r="E622" s="1" t="s">
        <v>1695</v>
      </c>
      <c r="F622" s="1" t="s">
        <v>813</v>
      </c>
      <c r="G622" s="2">
        <v>45225</v>
      </c>
      <c r="H622" s="3">
        <v>0.32291666666666674</v>
      </c>
      <c r="I622" s="1" t="s">
        <v>1695</v>
      </c>
      <c r="J622" s="1" t="s">
        <v>1695</v>
      </c>
      <c r="K622">
        <v>47</v>
      </c>
    </row>
    <row r="623" spans="1:11" hidden="1" x14ac:dyDescent="0.25">
      <c r="A623" s="1" t="s">
        <v>1271</v>
      </c>
      <c r="B623" s="1" t="s">
        <v>1695</v>
      </c>
      <c r="C623" s="1" t="s">
        <v>1281</v>
      </c>
      <c r="D623" s="1" t="s">
        <v>1695</v>
      </c>
      <c r="E623" s="1" t="s">
        <v>1695</v>
      </c>
      <c r="F623" s="1" t="s">
        <v>811</v>
      </c>
      <c r="G623" s="2">
        <v>45202</v>
      </c>
      <c r="H623" s="3">
        <v>9.5138888888888884E-2</v>
      </c>
      <c r="I623" s="1" t="s">
        <v>1695</v>
      </c>
      <c r="J623" s="1" t="s">
        <v>1695</v>
      </c>
      <c r="K623">
        <v>61</v>
      </c>
    </row>
    <row r="624" spans="1:11" x14ac:dyDescent="0.25">
      <c r="A624" s="1" t="s">
        <v>1271</v>
      </c>
      <c r="B624" s="1" t="s">
        <v>131</v>
      </c>
      <c r="C624" s="1" t="s">
        <v>976</v>
      </c>
      <c r="D624" s="1" t="s">
        <v>1503</v>
      </c>
      <c r="E624" s="1" t="s">
        <v>1507</v>
      </c>
      <c r="F624" s="1" t="s">
        <v>808</v>
      </c>
      <c r="G624" s="2">
        <v>45204</v>
      </c>
      <c r="H624" s="3">
        <v>0.53125</v>
      </c>
      <c r="I624" s="1">
        <v>-12.336202</v>
      </c>
      <c r="J624" s="1">
        <v>13.693683999999999</v>
      </c>
      <c r="K624">
        <v>47</v>
      </c>
    </row>
    <row r="625" spans="1:11" hidden="1" x14ac:dyDescent="0.25">
      <c r="A625" s="1" t="s">
        <v>1271</v>
      </c>
      <c r="B625" s="1" t="s">
        <v>1695</v>
      </c>
      <c r="C625" s="1" t="s">
        <v>1282</v>
      </c>
      <c r="D625" s="1" t="s">
        <v>1695</v>
      </c>
      <c r="E625" s="1" t="s">
        <v>1695</v>
      </c>
      <c r="F625" s="1" t="s">
        <v>813</v>
      </c>
      <c r="G625" s="2">
        <v>45225</v>
      </c>
      <c r="H625" s="3">
        <v>0.83958333333333335</v>
      </c>
      <c r="I625" s="1" t="s">
        <v>1695</v>
      </c>
      <c r="J625" s="1" t="s">
        <v>1695</v>
      </c>
      <c r="K625">
        <v>60</v>
      </c>
    </row>
    <row r="626" spans="1:11" hidden="1" x14ac:dyDescent="0.25">
      <c r="A626" s="1" t="s">
        <v>1271</v>
      </c>
      <c r="B626" s="1" t="s">
        <v>1695</v>
      </c>
      <c r="C626" s="1" t="s">
        <v>1154</v>
      </c>
      <c r="D626" s="1" t="s">
        <v>1695</v>
      </c>
      <c r="E626" s="1" t="s">
        <v>1695</v>
      </c>
      <c r="F626" s="1" t="s">
        <v>811</v>
      </c>
      <c r="G626" s="2">
        <v>45223</v>
      </c>
      <c r="H626" s="3">
        <v>0.51388888888888884</v>
      </c>
      <c r="I626" s="1" t="s">
        <v>1695</v>
      </c>
      <c r="J626" s="1" t="s">
        <v>1695</v>
      </c>
      <c r="K626">
        <v>109</v>
      </c>
    </row>
    <row r="627" spans="1:11" x14ac:dyDescent="0.25">
      <c r="A627" s="1" t="s">
        <v>1271</v>
      </c>
      <c r="B627" s="1" t="s">
        <v>21</v>
      </c>
      <c r="C627" s="1" t="s">
        <v>1283</v>
      </c>
      <c r="D627" s="1" t="s">
        <v>1503</v>
      </c>
      <c r="E627" s="1" t="s">
        <v>1504</v>
      </c>
      <c r="F627" s="1" t="s">
        <v>811</v>
      </c>
      <c r="G627" s="2">
        <v>45211</v>
      </c>
      <c r="H627" s="3">
        <v>0.12847222222222232</v>
      </c>
      <c r="I627" s="1">
        <v>2.453036</v>
      </c>
      <c r="J627" s="1">
        <v>20.555484</v>
      </c>
      <c r="K627">
        <v>110</v>
      </c>
    </row>
    <row r="628" spans="1:11" hidden="1" x14ac:dyDescent="0.25">
      <c r="A628" s="1" t="s">
        <v>1271</v>
      </c>
      <c r="B628" s="1" t="s">
        <v>1695</v>
      </c>
      <c r="C628" s="1" t="s">
        <v>1110</v>
      </c>
      <c r="D628" s="1" t="s">
        <v>1695</v>
      </c>
      <c r="E628" s="1" t="s">
        <v>1695</v>
      </c>
      <c r="F628" s="1" t="s">
        <v>811</v>
      </c>
      <c r="G628" s="2">
        <v>45200</v>
      </c>
      <c r="H628" s="3">
        <v>0.39444444444444438</v>
      </c>
      <c r="I628" s="1" t="s">
        <v>1695</v>
      </c>
      <c r="J628" s="1" t="s">
        <v>1695</v>
      </c>
      <c r="K628">
        <v>115</v>
      </c>
    </row>
    <row r="629" spans="1:11" x14ac:dyDescent="0.25">
      <c r="A629" s="1" t="s">
        <v>1271</v>
      </c>
      <c r="B629" s="1" t="s">
        <v>10</v>
      </c>
      <c r="C629" s="1" t="s">
        <v>1284</v>
      </c>
      <c r="D629" s="1" t="s">
        <v>1508</v>
      </c>
      <c r="E629" s="1" t="s">
        <v>1516</v>
      </c>
      <c r="F629" s="1" t="s">
        <v>811</v>
      </c>
      <c r="G629" s="2">
        <v>45211</v>
      </c>
      <c r="H629" s="3">
        <v>0.33749999999999991</v>
      </c>
      <c r="I629" s="1">
        <v>-12.364127999999999</v>
      </c>
      <c r="J629" s="1">
        <v>19.576150999999999</v>
      </c>
      <c r="K629">
        <v>88</v>
      </c>
    </row>
    <row r="630" spans="1:11" hidden="1" x14ac:dyDescent="0.25">
      <c r="A630" s="1" t="s">
        <v>1271</v>
      </c>
      <c r="B630" s="1" t="s">
        <v>1695</v>
      </c>
      <c r="C630" s="1" t="s">
        <v>1285</v>
      </c>
      <c r="D630" s="1" t="s">
        <v>1695</v>
      </c>
      <c r="E630" s="1" t="s">
        <v>1695</v>
      </c>
      <c r="F630" s="1" t="s">
        <v>808</v>
      </c>
      <c r="G630" s="2">
        <v>45204</v>
      </c>
      <c r="H630" s="3">
        <v>9.0972222222222232E-2</v>
      </c>
      <c r="I630" s="1" t="s">
        <v>1695</v>
      </c>
      <c r="J630" s="1" t="s">
        <v>1695</v>
      </c>
      <c r="K630">
        <v>81</v>
      </c>
    </row>
    <row r="631" spans="1:11" hidden="1" x14ac:dyDescent="0.25">
      <c r="A631" s="1" t="s">
        <v>1271</v>
      </c>
      <c r="B631" s="1" t="s">
        <v>1695</v>
      </c>
      <c r="C631" s="1" t="s">
        <v>1286</v>
      </c>
      <c r="D631" s="1" t="s">
        <v>1695</v>
      </c>
      <c r="E631" s="1" t="s">
        <v>1695</v>
      </c>
      <c r="F631" s="1" t="s">
        <v>808</v>
      </c>
      <c r="G631" s="2">
        <v>45213</v>
      </c>
      <c r="H631" s="3">
        <v>0.60763888888888884</v>
      </c>
      <c r="I631" s="1" t="s">
        <v>1695</v>
      </c>
      <c r="J631" s="1" t="s">
        <v>1695</v>
      </c>
      <c r="K631">
        <v>22</v>
      </c>
    </row>
    <row r="632" spans="1:11" hidden="1" x14ac:dyDescent="0.25">
      <c r="A632" s="1" t="s">
        <v>1271</v>
      </c>
      <c r="B632" s="1" t="s">
        <v>1695</v>
      </c>
      <c r="C632" s="1" t="s">
        <v>1007</v>
      </c>
      <c r="D632" s="1" t="s">
        <v>1695</v>
      </c>
      <c r="E632" s="1" t="s">
        <v>1695</v>
      </c>
      <c r="F632" s="1" t="s">
        <v>808</v>
      </c>
      <c r="G632" s="2">
        <v>45217</v>
      </c>
      <c r="H632" s="3">
        <v>0.68472222222222223</v>
      </c>
      <c r="I632" s="1" t="s">
        <v>1695</v>
      </c>
      <c r="J632" s="1" t="s">
        <v>1695</v>
      </c>
      <c r="K632">
        <v>43</v>
      </c>
    </row>
    <row r="633" spans="1:11" hidden="1" x14ac:dyDescent="0.25">
      <c r="A633" s="1" t="s">
        <v>1271</v>
      </c>
      <c r="B633" s="1" t="s">
        <v>1695</v>
      </c>
      <c r="C633" s="1" t="s">
        <v>1287</v>
      </c>
      <c r="D633" s="1" t="s">
        <v>1695</v>
      </c>
      <c r="E633" s="1" t="s">
        <v>1695</v>
      </c>
      <c r="F633" s="1" t="s">
        <v>811</v>
      </c>
      <c r="G633" s="2">
        <v>45203</v>
      </c>
      <c r="H633" s="3">
        <v>3.4722222222223209E-3</v>
      </c>
      <c r="I633" s="1" t="s">
        <v>1695</v>
      </c>
      <c r="J633" s="1" t="s">
        <v>1695</v>
      </c>
      <c r="K633">
        <v>46</v>
      </c>
    </row>
    <row r="634" spans="1:11" hidden="1" x14ac:dyDescent="0.25">
      <c r="A634" s="1" t="s">
        <v>1271</v>
      </c>
      <c r="B634" s="1" t="s">
        <v>1695</v>
      </c>
      <c r="C634" s="1" t="s">
        <v>1288</v>
      </c>
      <c r="D634" s="1" t="s">
        <v>1695</v>
      </c>
      <c r="E634" s="1" t="s">
        <v>1695</v>
      </c>
      <c r="F634" s="1" t="s">
        <v>811</v>
      </c>
      <c r="G634" s="2">
        <v>45211</v>
      </c>
      <c r="H634" s="3">
        <v>0.71180555555555558</v>
      </c>
      <c r="I634" s="1" t="s">
        <v>1695</v>
      </c>
      <c r="J634" s="1" t="s">
        <v>1695</v>
      </c>
      <c r="K634">
        <v>82</v>
      </c>
    </row>
    <row r="635" spans="1:11" x14ac:dyDescent="0.25">
      <c r="A635" s="1" t="s">
        <v>1271</v>
      </c>
      <c r="B635" s="1" t="s">
        <v>21</v>
      </c>
      <c r="C635" s="1" t="s">
        <v>847</v>
      </c>
      <c r="D635" s="1" t="s">
        <v>1508</v>
      </c>
      <c r="E635" s="1" t="s">
        <v>1509</v>
      </c>
      <c r="F635" s="1" t="s">
        <v>813</v>
      </c>
      <c r="G635" s="2">
        <v>45219</v>
      </c>
      <c r="H635" s="3">
        <v>0.82638888888888884</v>
      </c>
      <c r="I635" s="1">
        <v>4.2493650000000001</v>
      </c>
      <c r="J635" s="1">
        <v>28.355039999999999</v>
      </c>
      <c r="K635">
        <v>93</v>
      </c>
    </row>
    <row r="636" spans="1:11" hidden="1" x14ac:dyDescent="0.25">
      <c r="A636" s="1" t="s">
        <v>1271</v>
      </c>
      <c r="B636" s="1" t="s">
        <v>1695</v>
      </c>
      <c r="C636" s="1" t="s">
        <v>1289</v>
      </c>
      <c r="D636" s="1" t="s">
        <v>1695</v>
      </c>
      <c r="E636" s="1" t="s">
        <v>1695</v>
      </c>
      <c r="F636" s="1" t="s">
        <v>808</v>
      </c>
      <c r="G636" s="2">
        <v>45210</v>
      </c>
      <c r="H636" s="3">
        <v>0.5</v>
      </c>
      <c r="I636" s="1" t="s">
        <v>1695</v>
      </c>
      <c r="J636" s="1" t="s">
        <v>1695</v>
      </c>
      <c r="K636">
        <v>30</v>
      </c>
    </row>
    <row r="637" spans="1:11" x14ac:dyDescent="0.25">
      <c r="A637" s="1" t="s">
        <v>1271</v>
      </c>
      <c r="B637" s="1" t="s">
        <v>10</v>
      </c>
      <c r="C637" s="1" t="s">
        <v>1290</v>
      </c>
      <c r="D637" s="1" t="s">
        <v>1506</v>
      </c>
      <c r="E637" s="1" t="s">
        <v>1507</v>
      </c>
      <c r="F637" s="1" t="s">
        <v>811</v>
      </c>
      <c r="G637" s="2">
        <v>45209</v>
      </c>
      <c r="H637" s="3">
        <v>0.55833333333333335</v>
      </c>
      <c r="I637" s="1">
        <v>-12.595355</v>
      </c>
      <c r="J637" s="1">
        <v>17.897442000000002</v>
      </c>
      <c r="K637">
        <v>66</v>
      </c>
    </row>
    <row r="638" spans="1:11" x14ac:dyDescent="0.25">
      <c r="A638" s="1" t="s">
        <v>1271</v>
      </c>
      <c r="B638" s="1" t="s">
        <v>73</v>
      </c>
      <c r="C638" s="1" t="s">
        <v>1291</v>
      </c>
      <c r="D638" s="1" t="s">
        <v>1506</v>
      </c>
      <c r="E638" s="1" t="s">
        <v>1504</v>
      </c>
      <c r="F638" s="1" t="s">
        <v>811</v>
      </c>
      <c r="G638" s="2">
        <v>45224</v>
      </c>
      <c r="H638" s="3">
        <v>0.11527777777777781</v>
      </c>
      <c r="I638" s="1">
        <v>-11.265995</v>
      </c>
      <c r="J638" s="1">
        <v>28.935514999999999</v>
      </c>
      <c r="K638">
        <v>45</v>
      </c>
    </row>
    <row r="639" spans="1:11" x14ac:dyDescent="0.25">
      <c r="A639" s="1" t="s">
        <v>1271</v>
      </c>
      <c r="B639" s="1" t="s">
        <v>137</v>
      </c>
      <c r="C639" s="1" t="s">
        <v>1270</v>
      </c>
      <c r="D639" s="1" t="s">
        <v>1503</v>
      </c>
      <c r="E639" s="1" t="s">
        <v>1509</v>
      </c>
      <c r="F639" s="1" t="s">
        <v>808</v>
      </c>
      <c r="G639" s="2">
        <v>45228</v>
      </c>
      <c r="H639" s="3">
        <v>0.74791666666666656</v>
      </c>
      <c r="I639" s="1">
        <v>-8.0301989999999996</v>
      </c>
      <c r="J639" s="1">
        <v>24.122495000000001</v>
      </c>
      <c r="K639">
        <v>27</v>
      </c>
    </row>
    <row r="640" spans="1:11" hidden="1" x14ac:dyDescent="0.25">
      <c r="A640" s="1" t="s">
        <v>1271</v>
      </c>
      <c r="B640" s="1" t="s">
        <v>1695</v>
      </c>
      <c r="C640" s="1" t="s">
        <v>1261</v>
      </c>
      <c r="D640" s="1" t="s">
        <v>1695</v>
      </c>
      <c r="E640" s="1" t="s">
        <v>1695</v>
      </c>
      <c r="F640" s="1" t="s">
        <v>811</v>
      </c>
      <c r="G640" s="2">
        <v>45207</v>
      </c>
      <c r="H640" s="3">
        <v>0.7729166666666667</v>
      </c>
      <c r="I640" s="1" t="s">
        <v>1695</v>
      </c>
      <c r="J640" s="1" t="s">
        <v>1695</v>
      </c>
      <c r="K640">
        <v>55</v>
      </c>
    </row>
    <row r="641" spans="1:11" hidden="1" x14ac:dyDescent="0.25">
      <c r="A641" s="1" t="s">
        <v>1271</v>
      </c>
      <c r="B641" s="1" t="s">
        <v>1695</v>
      </c>
      <c r="C641" s="1" t="s">
        <v>1261</v>
      </c>
      <c r="D641" s="1" t="s">
        <v>1695</v>
      </c>
      <c r="E641" s="1" t="s">
        <v>1695</v>
      </c>
      <c r="F641" s="1" t="s">
        <v>811</v>
      </c>
      <c r="G641" s="2">
        <v>45205</v>
      </c>
      <c r="H641" s="3">
        <v>0.89166666666666661</v>
      </c>
      <c r="I641" s="1" t="s">
        <v>1695</v>
      </c>
      <c r="J641" s="1" t="s">
        <v>1695</v>
      </c>
      <c r="K641">
        <v>45</v>
      </c>
    </row>
    <row r="642" spans="1:11" x14ac:dyDescent="0.25">
      <c r="A642" s="1" t="s">
        <v>1271</v>
      </c>
      <c r="B642" s="1" t="s">
        <v>31</v>
      </c>
      <c r="C642" s="1" t="s">
        <v>1292</v>
      </c>
      <c r="D642" s="1" t="s">
        <v>1508</v>
      </c>
      <c r="E642" s="1" t="s">
        <v>1509</v>
      </c>
      <c r="F642" s="1" t="s">
        <v>811</v>
      </c>
      <c r="G642" s="2">
        <v>45205</v>
      </c>
      <c r="H642" s="3">
        <v>0.17847222222222214</v>
      </c>
      <c r="I642" s="1">
        <v>3.611561</v>
      </c>
      <c r="J642" s="1">
        <v>17.725974999999998</v>
      </c>
      <c r="K642">
        <v>42</v>
      </c>
    </row>
    <row r="643" spans="1:11" x14ac:dyDescent="0.25">
      <c r="A643" s="1" t="s">
        <v>1271</v>
      </c>
      <c r="B643" s="1" t="s">
        <v>64</v>
      </c>
      <c r="C643" s="1" t="s">
        <v>1226</v>
      </c>
      <c r="D643" s="1" t="s">
        <v>1508</v>
      </c>
      <c r="E643" s="1" t="s">
        <v>1509</v>
      </c>
      <c r="F643" s="1" t="s">
        <v>811</v>
      </c>
      <c r="G643" s="2">
        <v>45209</v>
      </c>
      <c r="H643" s="3">
        <v>0.35486111111111107</v>
      </c>
      <c r="I643" s="1">
        <v>1.3006180000000001</v>
      </c>
      <c r="J643" s="1">
        <v>29.060970999999999</v>
      </c>
      <c r="K643">
        <v>99</v>
      </c>
    </row>
    <row r="644" spans="1:11" hidden="1" x14ac:dyDescent="0.25">
      <c r="A644" s="1" t="s">
        <v>1271</v>
      </c>
      <c r="B644" s="1" t="s">
        <v>1695</v>
      </c>
      <c r="C644" s="1" t="s">
        <v>1293</v>
      </c>
      <c r="D644" s="1" t="s">
        <v>1695</v>
      </c>
      <c r="E644" s="1" t="s">
        <v>1695</v>
      </c>
      <c r="F644" s="1" t="s">
        <v>813</v>
      </c>
      <c r="G644" s="2">
        <v>45204</v>
      </c>
      <c r="H644" s="3">
        <v>9.0277777777777679E-2</v>
      </c>
      <c r="I644" s="1" t="s">
        <v>1695</v>
      </c>
      <c r="J644" s="1" t="s">
        <v>1695</v>
      </c>
      <c r="K644">
        <v>93</v>
      </c>
    </row>
    <row r="645" spans="1:11" x14ac:dyDescent="0.25">
      <c r="A645" s="1" t="s">
        <v>1271</v>
      </c>
      <c r="B645" s="1" t="s">
        <v>78</v>
      </c>
      <c r="C645" s="1" t="s">
        <v>1294</v>
      </c>
      <c r="D645" s="1" t="s">
        <v>1506</v>
      </c>
      <c r="E645" s="1" t="s">
        <v>1507</v>
      </c>
      <c r="F645" s="1" t="s">
        <v>813</v>
      </c>
      <c r="G645" s="2">
        <v>45213</v>
      </c>
      <c r="H645" s="3">
        <v>0.35138888888888897</v>
      </c>
      <c r="I645" s="1">
        <v>4.8228650000000002</v>
      </c>
      <c r="J645" s="1">
        <v>30.555627000000001</v>
      </c>
      <c r="K645">
        <v>86</v>
      </c>
    </row>
    <row r="646" spans="1:11" x14ac:dyDescent="0.25">
      <c r="A646" s="1" t="s">
        <v>1271</v>
      </c>
      <c r="B646" s="1" t="s">
        <v>89</v>
      </c>
      <c r="C646" s="1" t="s">
        <v>1066</v>
      </c>
      <c r="D646" s="1" t="s">
        <v>1508</v>
      </c>
      <c r="E646" s="1" t="s">
        <v>1509</v>
      </c>
      <c r="F646" s="1" t="s">
        <v>813</v>
      </c>
      <c r="G646" s="2">
        <v>45209</v>
      </c>
      <c r="H646" s="3">
        <v>0.65972222222222232</v>
      </c>
      <c r="I646" s="1">
        <v>-7.7839049999999999</v>
      </c>
      <c r="J646" s="1">
        <v>14.114281999999999</v>
      </c>
      <c r="K646">
        <v>67</v>
      </c>
    </row>
    <row r="647" spans="1:11" hidden="1" x14ac:dyDescent="0.25">
      <c r="A647" s="1" t="s">
        <v>1271</v>
      </c>
      <c r="B647" s="1" t="s">
        <v>1695</v>
      </c>
      <c r="C647" s="1" t="s">
        <v>1295</v>
      </c>
      <c r="D647" s="1" t="s">
        <v>1695</v>
      </c>
      <c r="E647" s="1" t="s">
        <v>1695</v>
      </c>
      <c r="F647" s="1" t="s">
        <v>808</v>
      </c>
      <c r="G647" s="2">
        <v>45202</v>
      </c>
      <c r="H647" s="3">
        <v>0.46944444444444455</v>
      </c>
      <c r="I647" s="1" t="s">
        <v>1695</v>
      </c>
      <c r="J647" s="1" t="s">
        <v>1695</v>
      </c>
      <c r="K647">
        <v>78</v>
      </c>
    </row>
    <row r="648" spans="1:11" x14ac:dyDescent="0.25">
      <c r="A648" s="1" t="s">
        <v>1271</v>
      </c>
      <c r="B648" s="1" t="s">
        <v>127</v>
      </c>
      <c r="C648" s="1" t="s">
        <v>949</v>
      </c>
      <c r="D648" s="1" t="s">
        <v>1506</v>
      </c>
      <c r="E648" s="1" t="s">
        <v>1507</v>
      </c>
      <c r="F648" s="1" t="s">
        <v>808</v>
      </c>
      <c r="G648" s="2">
        <v>45230</v>
      </c>
      <c r="H648" s="3">
        <v>0.32361111111111107</v>
      </c>
      <c r="I648" s="1">
        <v>-4.4351269999999996</v>
      </c>
      <c r="J648" s="1">
        <v>24.825467</v>
      </c>
      <c r="K648">
        <v>105</v>
      </c>
    </row>
    <row r="649" spans="1:11" hidden="1" x14ac:dyDescent="0.25">
      <c r="A649" s="1" t="s">
        <v>1271</v>
      </c>
      <c r="B649" s="1" t="s">
        <v>1695</v>
      </c>
      <c r="C649" s="1" t="s">
        <v>979</v>
      </c>
      <c r="D649" s="1" t="s">
        <v>1695</v>
      </c>
      <c r="E649" s="1" t="s">
        <v>1695</v>
      </c>
      <c r="F649" s="1" t="s">
        <v>808</v>
      </c>
      <c r="G649" s="2">
        <v>45220</v>
      </c>
      <c r="H649" s="3">
        <v>0.6513888888888888</v>
      </c>
      <c r="I649" s="1" t="s">
        <v>1695</v>
      </c>
      <c r="J649" s="1" t="s">
        <v>1695</v>
      </c>
      <c r="K649">
        <v>36</v>
      </c>
    </row>
    <row r="650" spans="1:11" x14ac:dyDescent="0.25">
      <c r="A650" s="1" t="s">
        <v>1271</v>
      </c>
      <c r="B650" s="1" t="s">
        <v>73</v>
      </c>
      <c r="C650" s="1" t="s">
        <v>1296</v>
      </c>
      <c r="D650" s="1" t="s">
        <v>1503</v>
      </c>
      <c r="E650" s="1" t="s">
        <v>1509</v>
      </c>
      <c r="F650" s="1" t="s">
        <v>811</v>
      </c>
      <c r="G650" s="2">
        <v>45202</v>
      </c>
      <c r="H650" s="3">
        <v>0.69930555555555562</v>
      </c>
      <c r="I650" s="1">
        <v>1.400674</v>
      </c>
      <c r="J650" s="1">
        <v>13.503126999999999</v>
      </c>
      <c r="K650">
        <v>63</v>
      </c>
    </row>
    <row r="651" spans="1:11" x14ac:dyDescent="0.25">
      <c r="A651" s="1" t="s">
        <v>1297</v>
      </c>
      <c r="B651" s="1" t="s">
        <v>131</v>
      </c>
      <c r="C651" s="1" t="s">
        <v>932</v>
      </c>
      <c r="D651" s="1" t="s">
        <v>1506</v>
      </c>
      <c r="E651" s="1" t="s">
        <v>1507</v>
      </c>
      <c r="F651" s="1" t="s">
        <v>808</v>
      </c>
      <c r="G651" s="2">
        <v>45207</v>
      </c>
      <c r="H651" s="3">
        <v>0.59930555555555554</v>
      </c>
      <c r="I651" s="1">
        <v>-10.25074</v>
      </c>
      <c r="J651" s="1">
        <v>26.099086</v>
      </c>
      <c r="K651">
        <v>59</v>
      </c>
    </row>
    <row r="652" spans="1:11" hidden="1" x14ac:dyDescent="0.25">
      <c r="A652" s="1" t="s">
        <v>1297</v>
      </c>
      <c r="B652" s="1" t="s">
        <v>1695</v>
      </c>
      <c r="C652" s="1" t="s">
        <v>1298</v>
      </c>
      <c r="D652" s="1" t="s">
        <v>1695</v>
      </c>
      <c r="E652" s="1" t="s">
        <v>1695</v>
      </c>
      <c r="F652" s="1" t="s">
        <v>808</v>
      </c>
      <c r="G652" s="2">
        <v>45212</v>
      </c>
      <c r="H652" s="3">
        <v>0.61736111111111103</v>
      </c>
      <c r="I652" s="1" t="s">
        <v>1695</v>
      </c>
      <c r="J652" s="1" t="s">
        <v>1695</v>
      </c>
      <c r="K652">
        <v>28</v>
      </c>
    </row>
    <row r="653" spans="1:11" x14ac:dyDescent="0.25">
      <c r="A653" s="1" t="s">
        <v>1297</v>
      </c>
      <c r="B653" s="1" t="s">
        <v>13</v>
      </c>
      <c r="C653" s="1" t="s">
        <v>1221</v>
      </c>
      <c r="D653" s="1" t="s">
        <v>1503</v>
      </c>
      <c r="E653" s="1" t="s">
        <v>1516</v>
      </c>
      <c r="F653" s="1" t="s">
        <v>808</v>
      </c>
      <c r="G653" s="2">
        <v>45221</v>
      </c>
      <c r="H653" s="3">
        <v>0.78055555555555545</v>
      </c>
      <c r="I653" s="1">
        <v>-7.789663</v>
      </c>
      <c r="J653" s="1">
        <v>26.529098000000001</v>
      </c>
      <c r="K653">
        <v>67</v>
      </c>
    </row>
    <row r="654" spans="1:11" hidden="1" x14ac:dyDescent="0.25">
      <c r="A654" s="1" t="s">
        <v>1297</v>
      </c>
      <c r="B654" s="1" t="s">
        <v>1695</v>
      </c>
      <c r="C654" s="1" t="s">
        <v>1299</v>
      </c>
      <c r="D654" s="1" t="s">
        <v>1695</v>
      </c>
      <c r="E654" s="1" t="s">
        <v>1695</v>
      </c>
      <c r="F654" s="1" t="s">
        <v>811</v>
      </c>
      <c r="G654" s="2">
        <v>45216</v>
      </c>
      <c r="H654" s="3">
        <v>0.18194444444444446</v>
      </c>
      <c r="I654" s="1" t="s">
        <v>1695</v>
      </c>
      <c r="J654" s="1" t="s">
        <v>1695</v>
      </c>
      <c r="K654">
        <v>86</v>
      </c>
    </row>
    <row r="655" spans="1:11" hidden="1" x14ac:dyDescent="0.25">
      <c r="A655" s="1" t="s">
        <v>1297</v>
      </c>
      <c r="B655" s="1" t="s">
        <v>1695</v>
      </c>
      <c r="C655" s="1" t="s">
        <v>1097</v>
      </c>
      <c r="D655" s="1" t="s">
        <v>1695</v>
      </c>
      <c r="E655" s="1" t="s">
        <v>1695</v>
      </c>
      <c r="F655" s="1" t="s">
        <v>811</v>
      </c>
      <c r="G655" s="2">
        <v>45200</v>
      </c>
      <c r="H655" s="3">
        <v>0.62916666666666665</v>
      </c>
      <c r="I655" s="1" t="s">
        <v>1695</v>
      </c>
      <c r="J655" s="1" t="s">
        <v>1695</v>
      </c>
      <c r="K655">
        <v>73</v>
      </c>
    </row>
    <row r="656" spans="1:11" hidden="1" x14ac:dyDescent="0.25">
      <c r="A656" s="1" t="s">
        <v>1297</v>
      </c>
      <c r="B656" s="1" t="s">
        <v>1695</v>
      </c>
      <c r="C656" s="1" t="s">
        <v>1300</v>
      </c>
      <c r="D656" s="1" t="s">
        <v>1695</v>
      </c>
      <c r="E656" s="1" t="s">
        <v>1695</v>
      </c>
      <c r="F656" s="1" t="s">
        <v>811</v>
      </c>
      <c r="G656" s="2">
        <v>45209</v>
      </c>
      <c r="H656" s="3">
        <v>0.58194444444444438</v>
      </c>
      <c r="I656" s="1" t="s">
        <v>1695</v>
      </c>
      <c r="J656" s="1" t="s">
        <v>1695</v>
      </c>
      <c r="K656">
        <v>93</v>
      </c>
    </row>
    <row r="657" spans="1:11" hidden="1" x14ac:dyDescent="0.25">
      <c r="A657" s="1" t="s">
        <v>1297</v>
      </c>
      <c r="B657" s="1" t="s">
        <v>1695</v>
      </c>
      <c r="C657" s="1" t="s">
        <v>1189</v>
      </c>
      <c r="D657" s="1" t="s">
        <v>1695</v>
      </c>
      <c r="E657" s="1" t="s">
        <v>1695</v>
      </c>
      <c r="F657" s="1" t="s">
        <v>813</v>
      </c>
      <c r="G657" s="2">
        <v>45230</v>
      </c>
      <c r="H657" s="3">
        <v>8.8194444444444464E-2</v>
      </c>
      <c r="I657" s="1" t="s">
        <v>1695</v>
      </c>
      <c r="J657" s="1" t="s">
        <v>1695</v>
      </c>
      <c r="K657">
        <v>87</v>
      </c>
    </row>
    <row r="658" spans="1:11" x14ac:dyDescent="0.25">
      <c r="A658" s="1" t="s">
        <v>1297</v>
      </c>
      <c r="B658" s="1" t="s">
        <v>137</v>
      </c>
      <c r="C658" s="1" t="s">
        <v>1301</v>
      </c>
      <c r="D658" s="1" t="s">
        <v>1508</v>
      </c>
      <c r="E658" s="1" t="s">
        <v>1516</v>
      </c>
      <c r="F658" s="1" t="s">
        <v>811</v>
      </c>
      <c r="G658" s="2">
        <v>45226</v>
      </c>
      <c r="H658" s="3">
        <v>0.96458333333333335</v>
      </c>
      <c r="I658" s="1">
        <v>-11.354772000000001</v>
      </c>
      <c r="J658" s="1">
        <v>21.957325999999998</v>
      </c>
      <c r="K658">
        <v>27</v>
      </c>
    </row>
    <row r="659" spans="1:11" hidden="1" x14ac:dyDescent="0.25">
      <c r="A659" s="1" t="s">
        <v>1297</v>
      </c>
      <c r="B659" s="1" t="s">
        <v>1695</v>
      </c>
      <c r="C659" s="1" t="s">
        <v>1302</v>
      </c>
      <c r="D659" s="1" t="s">
        <v>1695</v>
      </c>
      <c r="E659" s="1" t="s">
        <v>1695</v>
      </c>
      <c r="F659" s="1" t="s">
        <v>811</v>
      </c>
      <c r="G659" s="2">
        <v>45211</v>
      </c>
      <c r="H659" s="3">
        <v>0.38958333333333339</v>
      </c>
      <c r="I659" s="1" t="s">
        <v>1695</v>
      </c>
      <c r="J659" s="1" t="s">
        <v>1695</v>
      </c>
      <c r="K659">
        <v>76</v>
      </c>
    </row>
    <row r="660" spans="1:11" hidden="1" x14ac:dyDescent="0.25">
      <c r="A660" s="1" t="s">
        <v>1297</v>
      </c>
      <c r="B660" s="1" t="s">
        <v>1695</v>
      </c>
      <c r="C660" s="1" t="s">
        <v>982</v>
      </c>
      <c r="D660" s="1" t="s">
        <v>1695</v>
      </c>
      <c r="E660" s="1" t="s">
        <v>1695</v>
      </c>
      <c r="F660" s="1" t="s">
        <v>811</v>
      </c>
      <c r="G660" s="2">
        <v>45214</v>
      </c>
      <c r="H660" s="3">
        <v>0.2729166666666667</v>
      </c>
      <c r="I660" s="1" t="s">
        <v>1695</v>
      </c>
      <c r="J660" s="1" t="s">
        <v>1695</v>
      </c>
      <c r="K660">
        <v>26</v>
      </c>
    </row>
    <row r="661" spans="1:11" hidden="1" x14ac:dyDescent="0.25">
      <c r="A661" s="1" t="s">
        <v>1297</v>
      </c>
      <c r="B661" s="1" t="s">
        <v>1695</v>
      </c>
      <c r="C661" s="1" t="s">
        <v>926</v>
      </c>
      <c r="D661" s="1" t="s">
        <v>1695</v>
      </c>
      <c r="E661" s="1" t="s">
        <v>1695</v>
      </c>
      <c r="F661" s="1" t="s">
        <v>813</v>
      </c>
      <c r="G661" s="2">
        <v>45215</v>
      </c>
      <c r="H661" s="3">
        <v>0.47916666666666674</v>
      </c>
      <c r="I661" s="1" t="s">
        <v>1695</v>
      </c>
      <c r="J661" s="1" t="s">
        <v>1695</v>
      </c>
      <c r="K661">
        <v>67</v>
      </c>
    </row>
    <row r="662" spans="1:11" hidden="1" x14ac:dyDescent="0.25">
      <c r="A662" s="1" t="s">
        <v>1297</v>
      </c>
      <c r="B662" s="1" t="s">
        <v>1695</v>
      </c>
      <c r="C662" s="1" t="s">
        <v>1303</v>
      </c>
      <c r="D662" s="1" t="s">
        <v>1695</v>
      </c>
      <c r="E662" s="1" t="s">
        <v>1695</v>
      </c>
      <c r="F662" s="1" t="s">
        <v>808</v>
      </c>
      <c r="G662" s="2">
        <v>45203</v>
      </c>
      <c r="H662" s="3">
        <v>0.61527777777777781</v>
      </c>
      <c r="I662" s="1" t="s">
        <v>1695</v>
      </c>
      <c r="J662" s="1" t="s">
        <v>1695</v>
      </c>
      <c r="K662">
        <v>41</v>
      </c>
    </row>
    <row r="663" spans="1:11" x14ac:dyDescent="0.25">
      <c r="A663" s="1" t="s">
        <v>1297</v>
      </c>
      <c r="B663" s="1" t="s">
        <v>131</v>
      </c>
      <c r="C663" s="1" t="s">
        <v>1003</v>
      </c>
      <c r="D663" s="1" t="s">
        <v>1508</v>
      </c>
      <c r="E663" s="1" t="s">
        <v>1509</v>
      </c>
      <c r="F663" s="1" t="s">
        <v>811</v>
      </c>
      <c r="G663" s="2">
        <v>45222</v>
      </c>
      <c r="H663" s="3">
        <v>0.59722222222222232</v>
      </c>
      <c r="I663" s="1">
        <v>-1.8555980000000001</v>
      </c>
      <c r="J663" s="1">
        <v>30.421918000000002</v>
      </c>
      <c r="K663">
        <v>22</v>
      </c>
    </row>
    <row r="664" spans="1:11" x14ac:dyDescent="0.25">
      <c r="A664" s="1" t="s">
        <v>1297</v>
      </c>
      <c r="B664" s="1" t="s">
        <v>51</v>
      </c>
      <c r="C664" s="1" t="s">
        <v>1304</v>
      </c>
      <c r="D664" s="1" t="s">
        <v>1506</v>
      </c>
      <c r="E664" s="1" t="s">
        <v>1507</v>
      </c>
      <c r="F664" s="1" t="s">
        <v>808</v>
      </c>
      <c r="G664" s="2">
        <v>45202</v>
      </c>
      <c r="H664" s="3">
        <v>0.37638888888888888</v>
      </c>
      <c r="I664" s="1">
        <v>-7.402336</v>
      </c>
      <c r="J664" s="1">
        <v>27.376697</v>
      </c>
      <c r="K664">
        <v>28</v>
      </c>
    </row>
    <row r="665" spans="1:11" hidden="1" x14ac:dyDescent="0.25">
      <c r="A665" s="1" t="s">
        <v>1297</v>
      </c>
      <c r="B665" s="1" t="s">
        <v>1695</v>
      </c>
      <c r="C665" s="1" t="s">
        <v>1239</v>
      </c>
      <c r="D665" s="1" t="s">
        <v>1695</v>
      </c>
      <c r="E665" s="1" t="s">
        <v>1695</v>
      </c>
      <c r="F665" s="1" t="s">
        <v>808</v>
      </c>
      <c r="G665" s="2">
        <v>45225</v>
      </c>
      <c r="H665" s="3">
        <v>0.92152777777777772</v>
      </c>
      <c r="I665" s="1" t="s">
        <v>1695</v>
      </c>
      <c r="J665" s="1" t="s">
        <v>1695</v>
      </c>
      <c r="K665">
        <v>45</v>
      </c>
    </row>
    <row r="666" spans="1:11" x14ac:dyDescent="0.25">
      <c r="A666" s="1" t="s">
        <v>1297</v>
      </c>
      <c r="B666" s="1" t="s">
        <v>24</v>
      </c>
      <c r="C666" s="1" t="s">
        <v>1305</v>
      </c>
      <c r="D666" s="1" t="s">
        <v>1506</v>
      </c>
      <c r="E666" s="1" t="s">
        <v>1504</v>
      </c>
      <c r="F666" s="1" t="s">
        <v>808</v>
      </c>
      <c r="G666" s="2">
        <v>45200</v>
      </c>
      <c r="H666" s="3">
        <v>0.44513888888888897</v>
      </c>
      <c r="I666" s="1">
        <v>-10.945031</v>
      </c>
      <c r="J666" s="1">
        <v>27.922274000000002</v>
      </c>
      <c r="K666">
        <v>112</v>
      </c>
    </row>
    <row r="667" spans="1:11" x14ac:dyDescent="0.25">
      <c r="A667" s="1" t="s">
        <v>1297</v>
      </c>
      <c r="B667" s="1" t="s">
        <v>78</v>
      </c>
      <c r="C667" s="1" t="s">
        <v>1275</v>
      </c>
      <c r="D667" s="1" t="s">
        <v>1506</v>
      </c>
      <c r="E667" s="1" t="s">
        <v>1516</v>
      </c>
      <c r="F667" s="1" t="s">
        <v>808</v>
      </c>
      <c r="G667" s="2">
        <v>45203</v>
      </c>
      <c r="H667" s="3">
        <v>0.91041666666666665</v>
      </c>
      <c r="I667" s="1">
        <v>1.938083</v>
      </c>
      <c r="J667" s="1">
        <v>28.25281</v>
      </c>
      <c r="K667">
        <v>62</v>
      </c>
    </row>
    <row r="668" spans="1:11" hidden="1" x14ac:dyDescent="0.25">
      <c r="A668" s="1" t="s">
        <v>1297</v>
      </c>
      <c r="B668" s="1" t="s">
        <v>1695</v>
      </c>
      <c r="C668" s="1" t="s">
        <v>1306</v>
      </c>
      <c r="D668" s="1" t="s">
        <v>1695</v>
      </c>
      <c r="E668" s="1" t="s">
        <v>1695</v>
      </c>
      <c r="F668" s="1" t="s">
        <v>811</v>
      </c>
      <c r="G668" s="2">
        <v>45205</v>
      </c>
      <c r="H668" s="3">
        <v>0.96875</v>
      </c>
      <c r="I668" s="1" t="s">
        <v>1695</v>
      </c>
      <c r="J668" s="1" t="s">
        <v>1695</v>
      </c>
      <c r="K668">
        <v>84</v>
      </c>
    </row>
    <row r="669" spans="1:11" x14ac:dyDescent="0.25">
      <c r="A669" s="1" t="s">
        <v>1297</v>
      </c>
      <c r="B669" s="1" t="s">
        <v>29</v>
      </c>
      <c r="C669" s="1" t="s">
        <v>1307</v>
      </c>
      <c r="D669" s="1" t="s">
        <v>1508</v>
      </c>
      <c r="E669" s="1" t="s">
        <v>1509</v>
      </c>
      <c r="F669" s="1" t="s">
        <v>813</v>
      </c>
      <c r="G669" s="2">
        <v>45216</v>
      </c>
      <c r="H669" s="3">
        <v>0.23263888888888884</v>
      </c>
      <c r="I669" s="1">
        <v>-3.8119990000000001</v>
      </c>
      <c r="J669" s="1">
        <v>20.420048000000001</v>
      </c>
      <c r="K669">
        <v>11</v>
      </c>
    </row>
    <row r="670" spans="1:11" x14ac:dyDescent="0.25">
      <c r="A670" s="1" t="s">
        <v>1297</v>
      </c>
      <c r="B670" s="1" t="s">
        <v>21</v>
      </c>
      <c r="C670" s="1" t="s">
        <v>1308</v>
      </c>
      <c r="D670" s="1" t="s">
        <v>1508</v>
      </c>
      <c r="E670" s="1" t="s">
        <v>1507</v>
      </c>
      <c r="F670" s="1" t="s">
        <v>811</v>
      </c>
      <c r="G670" s="2">
        <v>45205</v>
      </c>
      <c r="H670" s="3">
        <v>0.44097222222222232</v>
      </c>
      <c r="I670" s="1">
        <v>-1.3024210000000001</v>
      </c>
      <c r="J670" s="1">
        <v>13.601914000000001</v>
      </c>
      <c r="K670">
        <v>115</v>
      </c>
    </row>
    <row r="671" spans="1:11" hidden="1" x14ac:dyDescent="0.25">
      <c r="A671" s="1" t="s">
        <v>1297</v>
      </c>
      <c r="B671" s="1" t="s">
        <v>1695</v>
      </c>
      <c r="C671" s="1" t="s">
        <v>1231</v>
      </c>
      <c r="D671" s="1" t="s">
        <v>1695</v>
      </c>
      <c r="E671" s="1" t="s">
        <v>1695</v>
      </c>
      <c r="F671" s="1" t="s">
        <v>813</v>
      </c>
      <c r="G671" s="2">
        <v>45213</v>
      </c>
      <c r="H671" s="3">
        <v>0.59305555555555545</v>
      </c>
      <c r="I671" s="1" t="s">
        <v>1695</v>
      </c>
      <c r="J671" s="1" t="s">
        <v>1695</v>
      </c>
      <c r="K671">
        <v>50</v>
      </c>
    </row>
    <row r="672" spans="1:11" hidden="1" x14ac:dyDescent="0.25">
      <c r="A672" s="1" t="s">
        <v>1297</v>
      </c>
      <c r="B672" s="1" t="s">
        <v>1695</v>
      </c>
      <c r="C672" s="1" t="s">
        <v>1309</v>
      </c>
      <c r="D672" s="1" t="s">
        <v>1695</v>
      </c>
      <c r="E672" s="1" t="s">
        <v>1695</v>
      </c>
      <c r="F672" s="1" t="s">
        <v>811</v>
      </c>
      <c r="G672" s="2">
        <v>45225</v>
      </c>
      <c r="H672" s="3">
        <v>0.52777777777777768</v>
      </c>
      <c r="I672" s="1" t="s">
        <v>1695</v>
      </c>
      <c r="J672" s="1" t="s">
        <v>1695</v>
      </c>
      <c r="K672">
        <v>6</v>
      </c>
    </row>
    <row r="673" spans="1:11" hidden="1" x14ac:dyDescent="0.25">
      <c r="A673" s="1" t="s">
        <v>1297</v>
      </c>
      <c r="B673" s="1" t="s">
        <v>1695</v>
      </c>
      <c r="C673" s="1" t="s">
        <v>990</v>
      </c>
      <c r="D673" s="1" t="s">
        <v>1695</v>
      </c>
      <c r="E673" s="1" t="s">
        <v>1695</v>
      </c>
      <c r="F673" s="1" t="s">
        <v>811</v>
      </c>
      <c r="G673" s="2">
        <v>45205</v>
      </c>
      <c r="H673" s="3">
        <v>0.23611111111111116</v>
      </c>
      <c r="I673" s="1" t="s">
        <v>1695</v>
      </c>
      <c r="J673" s="1" t="s">
        <v>1695</v>
      </c>
      <c r="K673">
        <v>67</v>
      </c>
    </row>
    <row r="674" spans="1:11" x14ac:dyDescent="0.25">
      <c r="A674" s="1" t="s">
        <v>1297</v>
      </c>
      <c r="B674" s="1" t="s">
        <v>40</v>
      </c>
      <c r="C674" s="1" t="s">
        <v>1310</v>
      </c>
      <c r="D674" s="1" t="s">
        <v>1503</v>
      </c>
      <c r="E674" s="1" t="s">
        <v>1504</v>
      </c>
      <c r="F674" s="1" t="s">
        <v>808</v>
      </c>
      <c r="G674" s="2">
        <v>45221</v>
      </c>
      <c r="H674" s="3">
        <v>0.55902777777777768</v>
      </c>
      <c r="I674" s="1">
        <v>0.65288900000000005</v>
      </c>
      <c r="J674" s="1">
        <v>24.243953999999999</v>
      </c>
      <c r="K674">
        <v>22</v>
      </c>
    </row>
    <row r="675" spans="1:11" x14ac:dyDescent="0.25">
      <c r="A675" s="1" t="s">
        <v>1297</v>
      </c>
      <c r="B675" s="1" t="s">
        <v>26</v>
      </c>
      <c r="C675" s="1" t="s">
        <v>998</v>
      </c>
      <c r="D675" s="1" t="s">
        <v>1508</v>
      </c>
      <c r="E675" s="1" t="s">
        <v>1507</v>
      </c>
      <c r="F675" s="1" t="s">
        <v>813</v>
      </c>
      <c r="G675" s="2">
        <v>45200</v>
      </c>
      <c r="H675" s="3">
        <v>0.98541666666666661</v>
      </c>
      <c r="I675" s="1">
        <v>1.5278670000000001</v>
      </c>
      <c r="J675" s="1">
        <v>13.899388999999999</v>
      </c>
      <c r="K675">
        <v>29</v>
      </c>
    </row>
    <row r="676" spans="1:11" hidden="1" x14ac:dyDescent="0.25">
      <c r="A676" s="1" t="s">
        <v>1297</v>
      </c>
      <c r="B676" s="1" t="s">
        <v>1695</v>
      </c>
      <c r="C676" s="1" t="s">
        <v>897</v>
      </c>
      <c r="D676" s="1" t="s">
        <v>1695</v>
      </c>
      <c r="E676" s="1" t="s">
        <v>1695</v>
      </c>
      <c r="F676" s="1" t="s">
        <v>811</v>
      </c>
      <c r="G676" s="2">
        <v>45228</v>
      </c>
      <c r="H676" s="3">
        <v>0.26944444444444438</v>
      </c>
      <c r="I676" s="1" t="s">
        <v>1695</v>
      </c>
      <c r="J676" s="1" t="s">
        <v>1695</v>
      </c>
      <c r="K676">
        <v>109</v>
      </c>
    </row>
    <row r="677" spans="1:11" hidden="1" x14ac:dyDescent="0.25">
      <c r="A677" s="1" t="s">
        <v>1297</v>
      </c>
      <c r="B677" s="1" t="s">
        <v>1695</v>
      </c>
      <c r="C677" s="1" t="s">
        <v>1000</v>
      </c>
      <c r="D677" s="1" t="s">
        <v>1695</v>
      </c>
      <c r="E677" s="1" t="s">
        <v>1695</v>
      </c>
      <c r="F677" s="1" t="s">
        <v>813</v>
      </c>
      <c r="G677" s="2">
        <v>45218</v>
      </c>
      <c r="H677" s="3">
        <v>0.55833333333333335</v>
      </c>
      <c r="I677" s="1" t="s">
        <v>1695</v>
      </c>
      <c r="J677" s="1" t="s">
        <v>1695</v>
      </c>
      <c r="K677">
        <v>54</v>
      </c>
    </row>
    <row r="678" spans="1:11" x14ac:dyDescent="0.25">
      <c r="A678" s="1" t="s">
        <v>1297</v>
      </c>
      <c r="B678" s="1" t="s">
        <v>62</v>
      </c>
      <c r="C678" s="1" t="s">
        <v>815</v>
      </c>
      <c r="D678" s="1" t="s">
        <v>1503</v>
      </c>
      <c r="E678" s="1" t="s">
        <v>1504</v>
      </c>
      <c r="F678" s="1" t="s">
        <v>813</v>
      </c>
      <c r="G678" s="2">
        <v>45200</v>
      </c>
      <c r="H678" s="3">
        <v>0.92569444444444438</v>
      </c>
      <c r="I678" s="1">
        <v>-2.8211520000000001</v>
      </c>
      <c r="J678" s="1">
        <v>20.651419000000001</v>
      </c>
      <c r="K678">
        <v>76</v>
      </c>
    </row>
    <row r="679" spans="1:11" hidden="1" x14ac:dyDescent="0.25">
      <c r="A679" s="1" t="s">
        <v>1297</v>
      </c>
      <c r="B679" s="1" t="s">
        <v>1695</v>
      </c>
      <c r="C679" s="1" t="s">
        <v>1027</v>
      </c>
      <c r="D679" s="1" t="s">
        <v>1695</v>
      </c>
      <c r="E679" s="1" t="s">
        <v>1695</v>
      </c>
      <c r="F679" s="1" t="s">
        <v>811</v>
      </c>
      <c r="G679" s="2">
        <v>45206</v>
      </c>
      <c r="H679" s="3">
        <v>0.3666666666666667</v>
      </c>
      <c r="I679" s="1" t="s">
        <v>1695</v>
      </c>
      <c r="J679" s="1" t="s">
        <v>1695</v>
      </c>
      <c r="K679">
        <v>69</v>
      </c>
    </row>
    <row r="680" spans="1:11" hidden="1" x14ac:dyDescent="0.25">
      <c r="A680" s="1" t="s">
        <v>1297</v>
      </c>
      <c r="B680" s="1" t="s">
        <v>1695</v>
      </c>
      <c r="C680" s="1" t="s">
        <v>1311</v>
      </c>
      <c r="D680" s="1" t="s">
        <v>1695</v>
      </c>
      <c r="E680" s="1" t="s">
        <v>1695</v>
      </c>
      <c r="F680" s="1" t="s">
        <v>813</v>
      </c>
      <c r="G680" s="2">
        <v>45222</v>
      </c>
      <c r="H680" s="3">
        <v>0.10833333333333339</v>
      </c>
      <c r="I680" s="1" t="s">
        <v>1695</v>
      </c>
      <c r="J680" s="1" t="s">
        <v>1695</v>
      </c>
      <c r="K680">
        <v>88</v>
      </c>
    </row>
    <row r="681" spans="1:11" x14ac:dyDescent="0.25">
      <c r="A681" s="1" t="s">
        <v>1297</v>
      </c>
      <c r="B681" s="1" t="s">
        <v>131</v>
      </c>
      <c r="C681" s="1" t="s">
        <v>1312</v>
      </c>
      <c r="D681" s="1" t="s">
        <v>1503</v>
      </c>
      <c r="E681" s="1" t="s">
        <v>1507</v>
      </c>
      <c r="F681" s="1" t="s">
        <v>811</v>
      </c>
      <c r="G681" s="2">
        <v>45203</v>
      </c>
      <c r="H681" s="3">
        <v>0.71597222222222223</v>
      </c>
      <c r="I681" s="1">
        <v>-7.9866700000000002</v>
      </c>
      <c r="J681" s="1">
        <v>17.757847000000002</v>
      </c>
      <c r="K681">
        <v>68</v>
      </c>
    </row>
    <row r="682" spans="1:11" x14ac:dyDescent="0.25">
      <c r="A682" s="1" t="s">
        <v>1297</v>
      </c>
      <c r="B682" s="1" t="s">
        <v>73</v>
      </c>
      <c r="C682" s="1" t="s">
        <v>974</v>
      </c>
      <c r="D682" s="1" t="s">
        <v>1503</v>
      </c>
      <c r="E682" s="1" t="s">
        <v>1509</v>
      </c>
      <c r="F682" s="1" t="s">
        <v>811</v>
      </c>
      <c r="G682" s="2">
        <v>45211</v>
      </c>
      <c r="H682" s="3">
        <v>0.42500000000000004</v>
      </c>
      <c r="I682" s="1">
        <v>-4.5603610000000003</v>
      </c>
      <c r="J682" s="1">
        <v>24.113918999999999</v>
      </c>
      <c r="K682">
        <v>57</v>
      </c>
    </row>
    <row r="683" spans="1:11" hidden="1" x14ac:dyDescent="0.25">
      <c r="A683" s="1" t="s">
        <v>1297</v>
      </c>
      <c r="B683" s="1" t="s">
        <v>1695</v>
      </c>
      <c r="C683" s="1" t="s">
        <v>1313</v>
      </c>
      <c r="D683" s="1" t="s">
        <v>1695</v>
      </c>
      <c r="E683" s="1" t="s">
        <v>1695</v>
      </c>
      <c r="F683" s="1" t="s">
        <v>808</v>
      </c>
      <c r="G683" s="2">
        <v>45214</v>
      </c>
      <c r="H683" s="3">
        <v>0.13611111111111107</v>
      </c>
      <c r="I683" s="1" t="s">
        <v>1695</v>
      </c>
      <c r="J683" s="1" t="s">
        <v>1695</v>
      </c>
      <c r="K683">
        <v>92</v>
      </c>
    </row>
    <row r="684" spans="1:11" x14ac:dyDescent="0.25">
      <c r="A684" s="1" t="s">
        <v>1297</v>
      </c>
      <c r="B684" s="1" t="s">
        <v>127</v>
      </c>
      <c r="C684" s="1" t="s">
        <v>1314</v>
      </c>
      <c r="D684" s="1" t="s">
        <v>1508</v>
      </c>
      <c r="E684" s="1" t="s">
        <v>1516</v>
      </c>
      <c r="F684" s="1" t="s">
        <v>808</v>
      </c>
      <c r="G684" s="2">
        <v>45221</v>
      </c>
      <c r="H684" s="3">
        <v>0.6479166666666667</v>
      </c>
      <c r="I684" s="1">
        <v>-11.924048000000001</v>
      </c>
      <c r="J684" s="1">
        <v>24.177174999999998</v>
      </c>
      <c r="K684">
        <v>67</v>
      </c>
    </row>
    <row r="685" spans="1:11" x14ac:dyDescent="0.25">
      <c r="A685" s="1" t="s">
        <v>1297</v>
      </c>
      <c r="B685" s="1" t="s">
        <v>51</v>
      </c>
      <c r="C685" s="1" t="s">
        <v>867</v>
      </c>
      <c r="D685" s="1" t="s">
        <v>1508</v>
      </c>
      <c r="E685" s="1" t="s">
        <v>1507</v>
      </c>
      <c r="F685" s="1" t="s">
        <v>813</v>
      </c>
      <c r="G685" s="2">
        <v>45230</v>
      </c>
      <c r="H685" s="3">
        <v>0.84722222222222232</v>
      </c>
      <c r="I685" s="1">
        <v>-5.9021970000000001</v>
      </c>
      <c r="J685" s="1">
        <v>20.551169999999999</v>
      </c>
      <c r="K685">
        <v>58</v>
      </c>
    </row>
    <row r="686" spans="1:11" x14ac:dyDescent="0.25">
      <c r="A686" s="1" t="s">
        <v>1297</v>
      </c>
      <c r="B686" s="1" t="s">
        <v>127</v>
      </c>
      <c r="C686" s="1" t="s">
        <v>1217</v>
      </c>
      <c r="D686" s="1" t="s">
        <v>1503</v>
      </c>
      <c r="E686" s="1" t="s">
        <v>1507</v>
      </c>
      <c r="F686" s="1" t="s">
        <v>808</v>
      </c>
      <c r="G686" s="2">
        <v>45219</v>
      </c>
      <c r="H686" s="3">
        <v>0.52708333333333335</v>
      </c>
      <c r="I686" s="1">
        <v>-7.1483749999999997</v>
      </c>
      <c r="J686" s="1">
        <v>26.014271000000001</v>
      </c>
      <c r="K686">
        <v>95</v>
      </c>
    </row>
    <row r="687" spans="1:11" x14ac:dyDescent="0.25">
      <c r="A687" s="1" t="s">
        <v>1297</v>
      </c>
      <c r="B687" s="1" t="s">
        <v>51</v>
      </c>
      <c r="C687" s="1" t="s">
        <v>923</v>
      </c>
      <c r="D687" s="1" t="s">
        <v>1506</v>
      </c>
      <c r="E687" s="1" t="s">
        <v>1504</v>
      </c>
      <c r="F687" s="1" t="s">
        <v>813</v>
      </c>
      <c r="G687" s="2">
        <v>45212</v>
      </c>
      <c r="H687" s="3">
        <v>0.7548611111111112</v>
      </c>
      <c r="I687" s="1">
        <v>2.4741019999999998</v>
      </c>
      <c r="J687" s="1">
        <v>29.297391000000001</v>
      </c>
      <c r="K687">
        <v>112</v>
      </c>
    </row>
    <row r="688" spans="1:11" hidden="1" x14ac:dyDescent="0.25">
      <c r="A688" s="1" t="s">
        <v>1297</v>
      </c>
      <c r="B688" s="1" t="s">
        <v>1695</v>
      </c>
      <c r="C688" s="1" t="s">
        <v>924</v>
      </c>
      <c r="D688" s="1" t="s">
        <v>1695</v>
      </c>
      <c r="E688" s="1" t="s">
        <v>1695</v>
      </c>
      <c r="F688" s="1" t="s">
        <v>811</v>
      </c>
      <c r="G688" s="2">
        <v>45211</v>
      </c>
      <c r="H688" s="3">
        <v>0.49583333333333335</v>
      </c>
      <c r="I688" s="1" t="s">
        <v>1695</v>
      </c>
      <c r="J688" s="1" t="s">
        <v>1695</v>
      </c>
      <c r="K688">
        <v>61</v>
      </c>
    </row>
    <row r="689" spans="1:11" hidden="1" x14ac:dyDescent="0.25">
      <c r="A689" s="1" t="s">
        <v>1297</v>
      </c>
      <c r="B689" s="1" t="s">
        <v>1695</v>
      </c>
      <c r="C689" s="1" t="s">
        <v>1315</v>
      </c>
      <c r="D689" s="1" t="s">
        <v>1695</v>
      </c>
      <c r="E689" s="1" t="s">
        <v>1695</v>
      </c>
      <c r="F689" s="1" t="s">
        <v>808</v>
      </c>
      <c r="G689" s="2">
        <v>45214</v>
      </c>
      <c r="H689" s="3">
        <v>0.79930555555555549</v>
      </c>
      <c r="I689" s="1" t="s">
        <v>1695</v>
      </c>
      <c r="J689" s="1" t="s">
        <v>1695</v>
      </c>
      <c r="K689">
        <v>67</v>
      </c>
    </row>
    <row r="690" spans="1:11" hidden="1" x14ac:dyDescent="0.25">
      <c r="A690" s="1" t="s">
        <v>1297</v>
      </c>
      <c r="B690" s="1" t="s">
        <v>1695</v>
      </c>
      <c r="C690" s="1" t="s">
        <v>1125</v>
      </c>
      <c r="D690" s="1" t="s">
        <v>1695</v>
      </c>
      <c r="E690" s="1" t="s">
        <v>1695</v>
      </c>
      <c r="F690" s="1" t="s">
        <v>811</v>
      </c>
      <c r="G690" s="2">
        <v>45226</v>
      </c>
      <c r="H690" s="3">
        <v>0.90625</v>
      </c>
      <c r="I690" s="1" t="s">
        <v>1695</v>
      </c>
      <c r="J690" s="1" t="s">
        <v>1695</v>
      </c>
      <c r="K690">
        <v>26</v>
      </c>
    </row>
    <row r="691" spans="1:11" hidden="1" x14ac:dyDescent="0.25">
      <c r="A691" s="1" t="s">
        <v>1297</v>
      </c>
      <c r="B691" s="1" t="s">
        <v>1695</v>
      </c>
      <c r="C691" s="1" t="s">
        <v>1316</v>
      </c>
      <c r="D691" s="1" t="s">
        <v>1695</v>
      </c>
      <c r="E691" s="1" t="s">
        <v>1695</v>
      </c>
      <c r="F691" s="1" t="s">
        <v>808</v>
      </c>
      <c r="G691" s="2">
        <v>45225</v>
      </c>
      <c r="H691" s="3">
        <v>0.41527777777777786</v>
      </c>
      <c r="I691" s="1" t="s">
        <v>1695</v>
      </c>
      <c r="J691" s="1" t="s">
        <v>1695</v>
      </c>
      <c r="K691">
        <v>15</v>
      </c>
    </row>
    <row r="692" spans="1:11" hidden="1" x14ac:dyDescent="0.25">
      <c r="A692" s="1" t="s">
        <v>1297</v>
      </c>
      <c r="B692" s="1" t="s">
        <v>1695</v>
      </c>
      <c r="C692" s="1" t="s">
        <v>921</v>
      </c>
      <c r="D692" s="1" t="s">
        <v>1695</v>
      </c>
      <c r="E692" s="1" t="s">
        <v>1695</v>
      </c>
      <c r="F692" s="1" t="s">
        <v>808</v>
      </c>
      <c r="G692" s="2">
        <v>45219</v>
      </c>
      <c r="H692" s="3">
        <v>0.75347222222222232</v>
      </c>
      <c r="I692" s="1" t="s">
        <v>1695</v>
      </c>
      <c r="J692" s="1" t="s">
        <v>1695</v>
      </c>
      <c r="K692">
        <v>77</v>
      </c>
    </row>
    <row r="693" spans="1:11" x14ac:dyDescent="0.25">
      <c r="A693" s="1" t="s">
        <v>1297</v>
      </c>
      <c r="B693" s="1" t="s">
        <v>33</v>
      </c>
      <c r="C693" s="1" t="s">
        <v>816</v>
      </c>
      <c r="D693" s="1" t="s">
        <v>1503</v>
      </c>
      <c r="E693" s="1" t="s">
        <v>1504</v>
      </c>
      <c r="F693" s="1" t="s">
        <v>808</v>
      </c>
      <c r="G693" s="2">
        <v>45221</v>
      </c>
      <c r="H693" s="3">
        <v>0.18055555555555558</v>
      </c>
      <c r="I693" s="1">
        <v>-1.648264</v>
      </c>
      <c r="J693" s="1">
        <v>28.866143999999998</v>
      </c>
      <c r="K693">
        <v>8</v>
      </c>
    </row>
    <row r="694" spans="1:11" x14ac:dyDescent="0.25">
      <c r="A694" s="1" t="s">
        <v>1297</v>
      </c>
      <c r="B694" s="1" t="s">
        <v>37</v>
      </c>
      <c r="C694" s="1" t="s">
        <v>1219</v>
      </c>
      <c r="D694" s="1" t="s">
        <v>1503</v>
      </c>
      <c r="E694" s="1" t="s">
        <v>1516</v>
      </c>
      <c r="F694" s="1" t="s">
        <v>811</v>
      </c>
      <c r="G694" s="2">
        <v>45203</v>
      </c>
      <c r="H694" s="3">
        <v>0.30486111111111103</v>
      </c>
      <c r="I694" s="1">
        <v>-11.793894</v>
      </c>
      <c r="J694" s="1">
        <v>20.433340999999999</v>
      </c>
      <c r="K694">
        <v>106</v>
      </c>
    </row>
    <row r="695" spans="1:11" x14ac:dyDescent="0.25">
      <c r="A695" s="1" t="s">
        <v>1297</v>
      </c>
      <c r="B695" s="1" t="s">
        <v>21</v>
      </c>
      <c r="C695" s="1" t="s">
        <v>919</v>
      </c>
      <c r="D695" s="1" t="s">
        <v>1508</v>
      </c>
      <c r="E695" s="1" t="s">
        <v>1504</v>
      </c>
      <c r="F695" s="1" t="s">
        <v>813</v>
      </c>
      <c r="G695" s="2">
        <v>45203</v>
      </c>
      <c r="H695" s="3">
        <v>0.22430555555555554</v>
      </c>
      <c r="I695" s="1">
        <v>-9.4702129999999993</v>
      </c>
      <c r="J695" s="1">
        <v>12.826158</v>
      </c>
      <c r="K695">
        <v>102</v>
      </c>
    </row>
    <row r="696" spans="1:11" x14ac:dyDescent="0.25">
      <c r="A696" s="1" t="s">
        <v>1297</v>
      </c>
      <c r="B696" s="1" t="s">
        <v>16</v>
      </c>
      <c r="C696" s="1" t="s">
        <v>1117</v>
      </c>
      <c r="D696" s="1" t="s">
        <v>1503</v>
      </c>
      <c r="E696" s="1" t="s">
        <v>1507</v>
      </c>
      <c r="F696" s="1" t="s">
        <v>808</v>
      </c>
      <c r="G696" s="2">
        <v>45222</v>
      </c>
      <c r="H696" s="3">
        <v>0.18888888888888888</v>
      </c>
      <c r="I696" s="1">
        <v>-5.3762689999999997</v>
      </c>
      <c r="J696" s="1">
        <v>28.189575999999999</v>
      </c>
      <c r="K696">
        <v>33</v>
      </c>
    </row>
    <row r="697" spans="1:11" x14ac:dyDescent="0.25">
      <c r="A697" s="1" t="s">
        <v>1297</v>
      </c>
      <c r="B697" s="1" t="s">
        <v>33</v>
      </c>
      <c r="C697" s="1" t="s">
        <v>1317</v>
      </c>
      <c r="D697" s="1" t="s">
        <v>1508</v>
      </c>
      <c r="E697" s="1" t="s">
        <v>1516</v>
      </c>
      <c r="F697" s="1" t="s">
        <v>811</v>
      </c>
      <c r="G697" s="2">
        <v>45212</v>
      </c>
      <c r="H697" s="3">
        <v>0.56805555555555554</v>
      </c>
      <c r="I697" s="1">
        <v>-7.3379339999999997</v>
      </c>
      <c r="J697" s="1">
        <v>28.404001999999998</v>
      </c>
      <c r="K697">
        <v>42</v>
      </c>
    </row>
    <row r="698" spans="1:11" x14ac:dyDescent="0.25">
      <c r="A698" s="1" t="s">
        <v>1297</v>
      </c>
      <c r="B698" s="1" t="s">
        <v>33</v>
      </c>
      <c r="C698" s="1" t="s">
        <v>1318</v>
      </c>
      <c r="D698" s="1" t="s">
        <v>1506</v>
      </c>
      <c r="E698" s="1" t="s">
        <v>1504</v>
      </c>
      <c r="F698" s="1" t="s">
        <v>813</v>
      </c>
      <c r="G698" s="2">
        <v>45204</v>
      </c>
      <c r="H698" s="3">
        <v>0.76666666666666661</v>
      </c>
      <c r="I698" s="1">
        <v>-12.560556999999999</v>
      </c>
      <c r="J698" s="1">
        <v>13.204014000000001</v>
      </c>
      <c r="K698">
        <v>9</v>
      </c>
    </row>
    <row r="699" spans="1:11" hidden="1" x14ac:dyDescent="0.25">
      <c r="A699" s="1" t="s">
        <v>1319</v>
      </c>
      <c r="B699" s="1" t="s">
        <v>1695</v>
      </c>
      <c r="C699" s="1" t="s">
        <v>1016</v>
      </c>
      <c r="D699" s="1" t="s">
        <v>1695</v>
      </c>
      <c r="E699" s="1" t="s">
        <v>1695</v>
      </c>
      <c r="F699" s="1" t="s">
        <v>811</v>
      </c>
      <c r="G699" s="2">
        <v>45202</v>
      </c>
      <c r="H699" s="3">
        <v>0.86805555555555558</v>
      </c>
      <c r="I699" s="1" t="s">
        <v>1695</v>
      </c>
      <c r="J699" s="1" t="s">
        <v>1695</v>
      </c>
      <c r="K699">
        <v>91</v>
      </c>
    </row>
    <row r="700" spans="1:11" hidden="1" x14ac:dyDescent="0.25">
      <c r="A700" s="1" t="s">
        <v>1319</v>
      </c>
      <c r="B700" s="1" t="s">
        <v>1695</v>
      </c>
      <c r="C700" s="1" t="s">
        <v>1062</v>
      </c>
      <c r="D700" s="1" t="s">
        <v>1695</v>
      </c>
      <c r="E700" s="1" t="s">
        <v>1695</v>
      </c>
      <c r="F700" s="1" t="s">
        <v>813</v>
      </c>
      <c r="G700" s="2">
        <v>45228</v>
      </c>
      <c r="H700" s="3">
        <v>0.10069444444444442</v>
      </c>
      <c r="I700" s="1" t="s">
        <v>1695</v>
      </c>
      <c r="J700" s="1" t="s">
        <v>1695</v>
      </c>
      <c r="K700">
        <v>23</v>
      </c>
    </row>
    <row r="701" spans="1:11" x14ac:dyDescent="0.25">
      <c r="A701" s="1" t="s">
        <v>1319</v>
      </c>
      <c r="B701" s="1" t="s">
        <v>26</v>
      </c>
      <c r="C701" s="1" t="s">
        <v>1133</v>
      </c>
      <c r="D701" s="1" t="s">
        <v>1508</v>
      </c>
      <c r="E701" s="1" t="s">
        <v>1504</v>
      </c>
      <c r="F701" s="1" t="s">
        <v>813</v>
      </c>
      <c r="G701" s="2">
        <v>45216</v>
      </c>
      <c r="H701" s="3">
        <v>0.97013888888888888</v>
      </c>
      <c r="I701" s="1">
        <v>-6.4197189999999997</v>
      </c>
      <c r="J701" s="1">
        <v>22.287264</v>
      </c>
      <c r="K701">
        <v>13</v>
      </c>
    </row>
    <row r="702" spans="1:11" hidden="1" x14ac:dyDescent="0.25">
      <c r="A702" s="1" t="s">
        <v>1319</v>
      </c>
      <c r="B702" s="1" t="s">
        <v>1695</v>
      </c>
      <c r="C702" s="1" t="s">
        <v>834</v>
      </c>
      <c r="D702" s="1" t="s">
        <v>1695</v>
      </c>
      <c r="E702" s="1" t="s">
        <v>1695</v>
      </c>
      <c r="F702" s="1" t="s">
        <v>811</v>
      </c>
      <c r="G702" s="2">
        <v>45222</v>
      </c>
      <c r="H702" s="3">
        <v>0.47847222222222219</v>
      </c>
      <c r="I702" s="1" t="s">
        <v>1695</v>
      </c>
      <c r="J702" s="1" t="s">
        <v>1695</v>
      </c>
      <c r="K702">
        <v>72</v>
      </c>
    </row>
    <row r="703" spans="1:11" x14ac:dyDescent="0.25">
      <c r="A703" s="1" t="s">
        <v>1319</v>
      </c>
      <c r="B703" s="1" t="s">
        <v>64</v>
      </c>
      <c r="C703" s="1" t="s">
        <v>1320</v>
      </c>
      <c r="D703" s="1" t="s">
        <v>1503</v>
      </c>
      <c r="E703" s="1" t="s">
        <v>1516</v>
      </c>
      <c r="F703" s="1" t="s">
        <v>811</v>
      </c>
      <c r="G703" s="2">
        <v>45230</v>
      </c>
      <c r="H703" s="3">
        <v>0.63888888888888884</v>
      </c>
      <c r="I703" s="1">
        <v>-0.57104900000000003</v>
      </c>
      <c r="J703" s="1">
        <v>15.317663</v>
      </c>
      <c r="K703">
        <v>77</v>
      </c>
    </row>
    <row r="704" spans="1:11" x14ac:dyDescent="0.25">
      <c r="A704" s="1" t="s">
        <v>1319</v>
      </c>
      <c r="B704" s="1" t="s">
        <v>40</v>
      </c>
      <c r="C704" s="1" t="s">
        <v>885</v>
      </c>
      <c r="D704" s="1" t="s">
        <v>1508</v>
      </c>
      <c r="E704" s="1" t="s">
        <v>1509</v>
      </c>
      <c r="F704" s="1" t="s">
        <v>808</v>
      </c>
      <c r="G704" s="2">
        <v>45218</v>
      </c>
      <c r="H704" s="3">
        <v>3.819444444444442E-2</v>
      </c>
      <c r="I704" s="1">
        <v>-9.7712979999999998</v>
      </c>
      <c r="J704" s="1">
        <v>19.827895999999999</v>
      </c>
      <c r="K704">
        <v>6</v>
      </c>
    </row>
    <row r="705" spans="1:11" hidden="1" x14ac:dyDescent="0.25">
      <c r="A705" s="1" t="s">
        <v>1319</v>
      </c>
      <c r="B705" s="1" t="s">
        <v>1695</v>
      </c>
      <c r="C705" s="1" t="s">
        <v>1282</v>
      </c>
      <c r="D705" s="1" t="s">
        <v>1695</v>
      </c>
      <c r="E705" s="1" t="s">
        <v>1695</v>
      </c>
      <c r="F705" s="1" t="s">
        <v>813</v>
      </c>
      <c r="G705" s="2">
        <v>45224</v>
      </c>
      <c r="H705" s="3">
        <v>0.96180555555555558</v>
      </c>
      <c r="I705" s="1" t="s">
        <v>1695</v>
      </c>
      <c r="J705" s="1" t="s">
        <v>1695</v>
      </c>
      <c r="K705">
        <v>83</v>
      </c>
    </row>
    <row r="706" spans="1:11" x14ac:dyDescent="0.25">
      <c r="A706" s="1" t="s">
        <v>1319</v>
      </c>
      <c r="B706" s="1" t="s">
        <v>137</v>
      </c>
      <c r="C706" s="1" t="s">
        <v>1270</v>
      </c>
      <c r="D706" s="1" t="s">
        <v>1503</v>
      </c>
      <c r="E706" s="1" t="s">
        <v>1509</v>
      </c>
      <c r="F706" s="1" t="s">
        <v>808</v>
      </c>
      <c r="G706" s="2">
        <v>45223</v>
      </c>
      <c r="H706" s="3">
        <v>0.61111111111111116</v>
      </c>
      <c r="I706" s="1">
        <v>-8.0301989999999996</v>
      </c>
      <c r="J706" s="1">
        <v>24.122495000000001</v>
      </c>
      <c r="K706">
        <v>88</v>
      </c>
    </row>
    <row r="707" spans="1:11" hidden="1" x14ac:dyDescent="0.25">
      <c r="A707" s="1" t="s">
        <v>1319</v>
      </c>
      <c r="B707" s="1" t="s">
        <v>1695</v>
      </c>
      <c r="C707" s="1" t="s">
        <v>1321</v>
      </c>
      <c r="D707" s="1" t="s">
        <v>1695</v>
      </c>
      <c r="E707" s="1" t="s">
        <v>1695</v>
      </c>
      <c r="F707" s="1" t="s">
        <v>808</v>
      </c>
      <c r="G707" s="2">
        <v>45221</v>
      </c>
      <c r="H707" s="3">
        <v>0.93194444444444446</v>
      </c>
      <c r="I707" s="1" t="s">
        <v>1695</v>
      </c>
      <c r="J707" s="1" t="s">
        <v>1695</v>
      </c>
      <c r="K707">
        <v>26</v>
      </c>
    </row>
    <row r="708" spans="1:11" hidden="1" x14ac:dyDescent="0.25">
      <c r="A708" s="1" t="s">
        <v>1319</v>
      </c>
      <c r="B708" s="1" t="s">
        <v>1695</v>
      </c>
      <c r="C708" s="1" t="s">
        <v>1322</v>
      </c>
      <c r="D708" s="1" t="s">
        <v>1695</v>
      </c>
      <c r="E708" s="1" t="s">
        <v>1695</v>
      </c>
      <c r="F708" s="1" t="s">
        <v>811</v>
      </c>
      <c r="G708" s="2">
        <v>45227</v>
      </c>
      <c r="H708" s="3">
        <v>0.11805555555555558</v>
      </c>
      <c r="I708" s="1" t="s">
        <v>1695</v>
      </c>
      <c r="J708" s="1" t="s">
        <v>1695</v>
      </c>
      <c r="K708">
        <v>61</v>
      </c>
    </row>
    <row r="709" spans="1:11" hidden="1" x14ac:dyDescent="0.25">
      <c r="A709" s="1" t="s">
        <v>1319</v>
      </c>
      <c r="B709" s="1" t="s">
        <v>1695</v>
      </c>
      <c r="C709" s="1" t="s">
        <v>814</v>
      </c>
      <c r="D709" s="1" t="s">
        <v>1695</v>
      </c>
      <c r="E709" s="1" t="s">
        <v>1695</v>
      </c>
      <c r="F709" s="1" t="s">
        <v>808</v>
      </c>
      <c r="G709" s="2">
        <v>45217</v>
      </c>
      <c r="H709" s="3">
        <v>0.50902777777777786</v>
      </c>
      <c r="I709" s="1" t="s">
        <v>1695</v>
      </c>
      <c r="J709" s="1" t="s">
        <v>1695</v>
      </c>
      <c r="K709">
        <v>49</v>
      </c>
    </row>
    <row r="710" spans="1:11" hidden="1" x14ac:dyDescent="0.25">
      <c r="A710" s="1" t="s">
        <v>1319</v>
      </c>
      <c r="B710" s="1" t="s">
        <v>1695</v>
      </c>
      <c r="C710" s="1" t="s">
        <v>1323</v>
      </c>
      <c r="D710" s="1" t="s">
        <v>1695</v>
      </c>
      <c r="E710" s="1" t="s">
        <v>1695</v>
      </c>
      <c r="F710" s="1" t="s">
        <v>808</v>
      </c>
      <c r="G710" s="2">
        <v>45230</v>
      </c>
      <c r="H710" s="3">
        <v>0.57777777777777772</v>
      </c>
      <c r="I710" s="1" t="s">
        <v>1695</v>
      </c>
      <c r="J710" s="1" t="s">
        <v>1695</v>
      </c>
      <c r="K710">
        <v>97</v>
      </c>
    </row>
    <row r="711" spans="1:11" x14ac:dyDescent="0.25">
      <c r="A711" s="1" t="s">
        <v>1319</v>
      </c>
      <c r="B711" s="1" t="s">
        <v>21</v>
      </c>
      <c r="C711" s="1" t="s">
        <v>1324</v>
      </c>
      <c r="D711" s="1" t="s">
        <v>1508</v>
      </c>
      <c r="E711" s="1" t="s">
        <v>1516</v>
      </c>
      <c r="F711" s="1" t="s">
        <v>813</v>
      </c>
      <c r="G711" s="2">
        <v>45206</v>
      </c>
      <c r="H711" s="3">
        <v>0.63680555555555562</v>
      </c>
      <c r="I711" s="1">
        <v>-11.514817000000001</v>
      </c>
      <c r="J711" s="1">
        <v>24.891375</v>
      </c>
      <c r="K711">
        <v>32</v>
      </c>
    </row>
    <row r="712" spans="1:11" x14ac:dyDescent="0.25">
      <c r="A712" s="1" t="s">
        <v>1319</v>
      </c>
      <c r="B712" s="1" t="s">
        <v>78</v>
      </c>
      <c r="C712" s="1" t="s">
        <v>995</v>
      </c>
      <c r="D712" s="1" t="s">
        <v>1506</v>
      </c>
      <c r="E712" s="1" t="s">
        <v>1507</v>
      </c>
      <c r="F712" s="1" t="s">
        <v>808</v>
      </c>
      <c r="G712" s="2">
        <v>45210</v>
      </c>
      <c r="H712" s="3">
        <v>0.38958333333333339</v>
      </c>
      <c r="I712" s="1">
        <v>-4.2645619999999997</v>
      </c>
      <c r="J712" s="1">
        <v>18.960726000000001</v>
      </c>
      <c r="K712">
        <v>85</v>
      </c>
    </row>
    <row r="713" spans="1:11" x14ac:dyDescent="0.25">
      <c r="A713" s="1" t="s">
        <v>1319</v>
      </c>
      <c r="B713" s="1" t="s">
        <v>127</v>
      </c>
      <c r="C713" s="1" t="s">
        <v>1325</v>
      </c>
      <c r="D713" s="1" t="s">
        <v>1503</v>
      </c>
      <c r="E713" s="1" t="s">
        <v>1504</v>
      </c>
      <c r="F713" s="1" t="s">
        <v>808</v>
      </c>
      <c r="G713" s="2">
        <v>45217</v>
      </c>
      <c r="H713" s="3">
        <v>0.75555555555555554</v>
      </c>
      <c r="I713" s="1">
        <v>-3.003879</v>
      </c>
      <c r="J713" s="1">
        <v>23.633893</v>
      </c>
      <c r="K713">
        <v>100</v>
      </c>
    </row>
    <row r="714" spans="1:11" hidden="1" x14ac:dyDescent="0.25">
      <c r="A714" s="1" t="s">
        <v>1319</v>
      </c>
      <c r="B714" s="1" t="s">
        <v>1695</v>
      </c>
      <c r="C714" s="1" t="s">
        <v>1326</v>
      </c>
      <c r="D714" s="1" t="s">
        <v>1695</v>
      </c>
      <c r="E714" s="1" t="s">
        <v>1695</v>
      </c>
      <c r="F714" s="1" t="s">
        <v>808</v>
      </c>
      <c r="G714" s="2">
        <v>45218</v>
      </c>
      <c r="H714" s="3">
        <v>0.65972222222222232</v>
      </c>
      <c r="I714" s="1" t="s">
        <v>1695</v>
      </c>
      <c r="J714" s="1" t="s">
        <v>1695</v>
      </c>
      <c r="K714">
        <v>24</v>
      </c>
    </row>
    <row r="715" spans="1:11" x14ac:dyDescent="0.25">
      <c r="A715" s="1" t="s">
        <v>1319</v>
      </c>
      <c r="B715" s="1" t="s">
        <v>89</v>
      </c>
      <c r="C715" s="1" t="s">
        <v>1235</v>
      </c>
      <c r="D715" s="1" t="s">
        <v>1508</v>
      </c>
      <c r="E715" s="1" t="s">
        <v>1509</v>
      </c>
      <c r="F715" s="1" t="s">
        <v>813</v>
      </c>
      <c r="G715" s="2">
        <v>45210</v>
      </c>
      <c r="H715" s="3">
        <v>0.90833333333333344</v>
      </c>
      <c r="I715" s="1">
        <v>8.5490999999999998E-2</v>
      </c>
      <c r="J715" s="1">
        <v>26.296129000000001</v>
      </c>
      <c r="K715">
        <v>57</v>
      </c>
    </row>
    <row r="716" spans="1:11" hidden="1" x14ac:dyDescent="0.25">
      <c r="A716" s="1" t="s">
        <v>1319</v>
      </c>
      <c r="B716" s="1" t="s">
        <v>1695</v>
      </c>
      <c r="C716" s="1" t="s">
        <v>1036</v>
      </c>
      <c r="D716" s="1" t="s">
        <v>1695</v>
      </c>
      <c r="E716" s="1" t="s">
        <v>1695</v>
      </c>
      <c r="F716" s="1" t="s">
        <v>811</v>
      </c>
      <c r="G716" s="2">
        <v>45201</v>
      </c>
      <c r="H716" s="3">
        <v>4.5833333333333393E-2</v>
      </c>
      <c r="I716" s="1" t="s">
        <v>1695</v>
      </c>
      <c r="J716" s="1" t="s">
        <v>1695</v>
      </c>
      <c r="K716">
        <v>83</v>
      </c>
    </row>
    <row r="717" spans="1:11" x14ac:dyDescent="0.25">
      <c r="A717" s="1" t="s">
        <v>1319</v>
      </c>
      <c r="B717" s="1" t="s">
        <v>89</v>
      </c>
      <c r="C717" s="1" t="s">
        <v>1327</v>
      </c>
      <c r="D717" s="1" t="s">
        <v>1506</v>
      </c>
      <c r="E717" s="1" t="s">
        <v>1516</v>
      </c>
      <c r="F717" s="1" t="s">
        <v>813</v>
      </c>
      <c r="G717" s="2">
        <v>45220</v>
      </c>
      <c r="H717" s="3">
        <v>0.58402777777777781</v>
      </c>
      <c r="I717" s="1">
        <v>-11.588665000000001</v>
      </c>
      <c r="J717" s="1">
        <v>15.241552</v>
      </c>
      <c r="K717">
        <v>92</v>
      </c>
    </row>
    <row r="718" spans="1:11" hidden="1" x14ac:dyDescent="0.25">
      <c r="A718" s="1" t="s">
        <v>1319</v>
      </c>
      <c r="B718" s="1" t="s">
        <v>1695</v>
      </c>
      <c r="C718" s="1" t="s">
        <v>1034</v>
      </c>
      <c r="D718" s="1" t="s">
        <v>1695</v>
      </c>
      <c r="E718" s="1" t="s">
        <v>1695</v>
      </c>
      <c r="F718" s="1" t="s">
        <v>811</v>
      </c>
      <c r="G718" s="2">
        <v>45203</v>
      </c>
      <c r="H718" s="3">
        <v>0.22777777777777786</v>
      </c>
      <c r="I718" s="1" t="s">
        <v>1695</v>
      </c>
      <c r="J718" s="1" t="s">
        <v>1695</v>
      </c>
      <c r="K718">
        <v>61</v>
      </c>
    </row>
    <row r="719" spans="1:11" x14ac:dyDescent="0.25">
      <c r="A719" s="1" t="s">
        <v>1319</v>
      </c>
      <c r="B719" s="1" t="s">
        <v>89</v>
      </c>
      <c r="C719" s="1" t="s">
        <v>955</v>
      </c>
      <c r="D719" s="1" t="s">
        <v>1506</v>
      </c>
      <c r="E719" s="1" t="s">
        <v>1504</v>
      </c>
      <c r="F719" s="1" t="s">
        <v>811</v>
      </c>
      <c r="G719" s="2">
        <v>45214</v>
      </c>
      <c r="H719" s="3">
        <v>1.8750000000000044E-2</v>
      </c>
      <c r="I719" s="1">
        <v>-1.342476</v>
      </c>
      <c r="J719" s="1">
        <v>15.986086</v>
      </c>
      <c r="K719">
        <v>115</v>
      </c>
    </row>
    <row r="720" spans="1:11" x14ac:dyDescent="0.25">
      <c r="A720" s="1" t="s">
        <v>1319</v>
      </c>
      <c r="B720" s="1" t="s">
        <v>44</v>
      </c>
      <c r="C720" s="1" t="s">
        <v>993</v>
      </c>
      <c r="D720" s="1" t="s">
        <v>1506</v>
      </c>
      <c r="E720" s="1" t="s">
        <v>1507</v>
      </c>
      <c r="F720" s="1" t="s">
        <v>811</v>
      </c>
      <c r="G720" s="2">
        <v>45206</v>
      </c>
      <c r="H720" s="3">
        <v>0.95694444444444438</v>
      </c>
      <c r="I720" s="1">
        <v>-9.3652280000000001</v>
      </c>
      <c r="J720" s="1">
        <v>18.674116000000001</v>
      </c>
      <c r="K720">
        <v>32</v>
      </c>
    </row>
    <row r="721" spans="1:11" hidden="1" x14ac:dyDescent="0.25">
      <c r="A721" s="1" t="s">
        <v>1319</v>
      </c>
      <c r="B721" s="1" t="s">
        <v>1695</v>
      </c>
      <c r="C721" s="1" t="s">
        <v>1328</v>
      </c>
      <c r="D721" s="1" t="s">
        <v>1695</v>
      </c>
      <c r="E721" s="1" t="s">
        <v>1695</v>
      </c>
      <c r="F721" s="1" t="s">
        <v>813</v>
      </c>
      <c r="G721" s="2">
        <v>45204</v>
      </c>
      <c r="H721" s="3">
        <v>0.84652777777777777</v>
      </c>
      <c r="I721" s="1" t="s">
        <v>1695</v>
      </c>
      <c r="J721" s="1" t="s">
        <v>1695</v>
      </c>
      <c r="K721">
        <v>16</v>
      </c>
    </row>
    <row r="722" spans="1:11" hidden="1" x14ac:dyDescent="0.25">
      <c r="A722" s="1" t="s">
        <v>1319</v>
      </c>
      <c r="B722" s="1" t="s">
        <v>1695</v>
      </c>
      <c r="C722" s="1" t="s">
        <v>1329</v>
      </c>
      <c r="D722" s="1" t="s">
        <v>1695</v>
      </c>
      <c r="E722" s="1" t="s">
        <v>1695</v>
      </c>
      <c r="F722" s="1" t="s">
        <v>813</v>
      </c>
      <c r="G722" s="2">
        <v>45205</v>
      </c>
      <c r="H722" s="3">
        <v>0.33680555555555558</v>
      </c>
      <c r="I722" s="1" t="s">
        <v>1695</v>
      </c>
      <c r="J722" s="1" t="s">
        <v>1695</v>
      </c>
      <c r="K722">
        <v>119</v>
      </c>
    </row>
    <row r="723" spans="1:11" x14ac:dyDescent="0.25">
      <c r="A723" s="1" t="s">
        <v>1319</v>
      </c>
      <c r="B723" s="1" t="s">
        <v>21</v>
      </c>
      <c r="C723" s="1" t="s">
        <v>1073</v>
      </c>
      <c r="D723" s="1" t="s">
        <v>1508</v>
      </c>
      <c r="E723" s="1" t="s">
        <v>1509</v>
      </c>
      <c r="F723" s="1" t="s">
        <v>811</v>
      </c>
      <c r="G723" s="2">
        <v>45220</v>
      </c>
      <c r="H723" s="3">
        <v>0.46944444444444455</v>
      </c>
      <c r="I723" s="1">
        <v>-1.5419050000000001</v>
      </c>
      <c r="J723" s="1">
        <v>14.730632999999999</v>
      </c>
      <c r="K723">
        <v>17</v>
      </c>
    </row>
    <row r="724" spans="1:11" hidden="1" x14ac:dyDescent="0.25">
      <c r="A724" s="1" t="s">
        <v>1319</v>
      </c>
      <c r="B724" s="1" t="s">
        <v>1695</v>
      </c>
      <c r="C724" s="1" t="s">
        <v>1330</v>
      </c>
      <c r="D724" s="1" t="s">
        <v>1695</v>
      </c>
      <c r="E724" s="1" t="s">
        <v>1695</v>
      </c>
      <c r="F724" s="1" t="s">
        <v>813</v>
      </c>
      <c r="G724" s="2">
        <v>45202</v>
      </c>
      <c r="H724" s="3">
        <v>0.48750000000000004</v>
      </c>
      <c r="I724" s="1" t="s">
        <v>1695</v>
      </c>
      <c r="J724" s="1" t="s">
        <v>1695</v>
      </c>
      <c r="K724">
        <v>22</v>
      </c>
    </row>
    <row r="725" spans="1:11" hidden="1" x14ac:dyDescent="0.25">
      <c r="A725" s="1" t="s">
        <v>1319</v>
      </c>
      <c r="B725" s="1" t="s">
        <v>1695</v>
      </c>
      <c r="C725" s="1" t="s">
        <v>849</v>
      </c>
      <c r="D725" s="1" t="s">
        <v>1695</v>
      </c>
      <c r="E725" s="1" t="s">
        <v>1695</v>
      </c>
      <c r="F725" s="1" t="s">
        <v>808</v>
      </c>
      <c r="G725" s="2">
        <v>45228</v>
      </c>
      <c r="H725" s="3">
        <v>0.84027777777777768</v>
      </c>
      <c r="I725" s="1" t="s">
        <v>1695</v>
      </c>
      <c r="J725" s="1" t="s">
        <v>1695</v>
      </c>
      <c r="K725">
        <v>101</v>
      </c>
    </row>
    <row r="726" spans="1:11" x14ac:dyDescent="0.25">
      <c r="A726" s="1" t="s">
        <v>1319</v>
      </c>
      <c r="B726" s="1" t="s">
        <v>26</v>
      </c>
      <c r="C726" s="1" t="s">
        <v>1331</v>
      </c>
      <c r="D726" s="1" t="s">
        <v>1506</v>
      </c>
      <c r="E726" s="1" t="s">
        <v>1507</v>
      </c>
      <c r="F726" s="1" t="s">
        <v>811</v>
      </c>
      <c r="G726" s="2">
        <v>45201</v>
      </c>
      <c r="H726" s="3">
        <v>0.52777777777777768</v>
      </c>
      <c r="I726" s="1">
        <v>0.45116099999999998</v>
      </c>
      <c r="J726" s="1">
        <v>17.265761000000001</v>
      </c>
      <c r="K726">
        <v>20</v>
      </c>
    </row>
    <row r="727" spans="1:11" hidden="1" x14ac:dyDescent="0.25">
      <c r="A727" s="1" t="s">
        <v>1319</v>
      </c>
      <c r="B727" s="1" t="s">
        <v>1695</v>
      </c>
      <c r="C727" s="1" t="s">
        <v>1332</v>
      </c>
      <c r="D727" s="1" t="s">
        <v>1695</v>
      </c>
      <c r="E727" s="1" t="s">
        <v>1695</v>
      </c>
      <c r="F727" s="1" t="s">
        <v>811</v>
      </c>
      <c r="G727" s="2">
        <v>45209</v>
      </c>
      <c r="H727" s="3">
        <v>0.98888888888888893</v>
      </c>
      <c r="I727" s="1" t="s">
        <v>1695</v>
      </c>
      <c r="J727" s="1" t="s">
        <v>1695</v>
      </c>
      <c r="K727">
        <v>80</v>
      </c>
    </row>
    <row r="728" spans="1:11" hidden="1" x14ac:dyDescent="0.25">
      <c r="A728" s="1" t="s">
        <v>1319</v>
      </c>
      <c r="B728" s="1" t="s">
        <v>1695</v>
      </c>
      <c r="C728" s="1" t="s">
        <v>1239</v>
      </c>
      <c r="D728" s="1" t="s">
        <v>1695</v>
      </c>
      <c r="E728" s="1" t="s">
        <v>1695</v>
      </c>
      <c r="F728" s="1" t="s">
        <v>811</v>
      </c>
      <c r="G728" s="2">
        <v>45224</v>
      </c>
      <c r="H728" s="3">
        <v>0.31041666666666656</v>
      </c>
      <c r="I728" s="1" t="s">
        <v>1695</v>
      </c>
      <c r="J728" s="1" t="s">
        <v>1695</v>
      </c>
      <c r="K728">
        <v>98</v>
      </c>
    </row>
    <row r="729" spans="1:11" hidden="1" x14ac:dyDescent="0.25">
      <c r="A729" s="1" t="s">
        <v>1319</v>
      </c>
      <c r="B729" s="1" t="s">
        <v>1695</v>
      </c>
      <c r="C729" s="1" t="s">
        <v>851</v>
      </c>
      <c r="D729" s="1" t="s">
        <v>1695</v>
      </c>
      <c r="E729" s="1" t="s">
        <v>1695</v>
      </c>
      <c r="F729" s="1" t="s">
        <v>811</v>
      </c>
      <c r="G729" s="2">
        <v>45220</v>
      </c>
      <c r="H729" s="3">
        <v>0.11458333333333326</v>
      </c>
      <c r="I729" s="1" t="s">
        <v>1695</v>
      </c>
      <c r="J729" s="1" t="s">
        <v>1695</v>
      </c>
      <c r="K729">
        <v>54</v>
      </c>
    </row>
    <row r="730" spans="1:11" hidden="1" x14ac:dyDescent="0.25">
      <c r="A730" s="1" t="s">
        <v>1319</v>
      </c>
      <c r="B730" s="1" t="s">
        <v>1695</v>
      </c>
      <c r="C730" s="1" t="s">
        <v>1293</v>
      </c>
      <c r="D730" s="1" t="s">
        <v>1695</v>
      </c>
      <c r="E730" s="1" t="s">
        <v>1695</v>
      </c>
      <c r="F730" s="1" t="s">
        <v>808</v>
      </c>
      <c r="G730" s="2">
        <v>45203</v>
      </c>
      <c r="H730" s="3">
        <v>9.0277777777778567E-3</v>
      </c>
      <c r="I730" s="1" t="s">
        <v>1695</v>
      </c>
      <c r="J730" s="1" t="s">
        <v>1695</v>
      </c>
      <c r="K730">
        <v>49</v>
      </c>
    </row>
    <row r="731" spans="1:11" hidden="1" x14ac:dyDescent="0.25">
      <c r="A731" s="1" t="s">
        <v>1319</v>
      </c>
      <c r="B731" s="1" t="s">
        <v>1695</v>
      </c>
      <c r="C731" s="1" t="s">
        <v>1196</v>
      </c>
      <c r="D731" s="1" t="s">
        <v>1695</v>
      </c>
      <c r="E731" s="1" t="s">
        <v>1695</v>
      </c>
      <c r="F731" s="1" t="s">
        <v>813</v>
      </c>
      <c r="G731" s="2">
        <v>45215</v>
      </c>
      <c r="H731" s="3">
        <v>8.8888888888888795E-2</v>
      </c>
      <c r="I731" s="1" t="s">
        <v>1695</v>
      </c>
      <c r="J731" s="1" t="s">
        <v>1695</v>
      </c>
      <c r="K731">
        <v>59</v>
      </c>
    </row>
    <row r="732" spans="1:11" hidden="1" x14ac:dyDescent="0.25">
      <c r="A732" s="1" t="s">
        <v>1319</v>
      </c>
      <c r="B732" s="1" t="s">
        <v>1695</v>
      </c>
      <c r="C732" s="1" t="s">
        <v>1333</v>
      </c>
      <c r="D732" s="1" t="s">
        <v>1695</v>
      </c>
      <c r="E732" s="1" t="s">
        <v>1695</v>
      </c>
      <c r="F732" s="1" t="s">
        <v>808</v>
      </c>
      <c r="G732" s="2">
        <v>45218</v>
      </c>
      <c r="H732" s="3">
        <v>0.31458333333333344</v>
      </c>
      <c r="I732" s="1" t="s">
        <v>1695</v>
      </c>
      <c r="J732" s="1" t="s">
        <v>1695</v>
      </c>
      <c r="K732">
        <v>45</v>
      </c>
    </row>
    <row r="733" spans="1:11" hidden="1" x14ac:dyDescent="0.25">
      <c r="A733" s="1" t="s">
        <v>1319</v>
      </c>
      <c r="B733" s="1" t="s">
        <v>1695</v>
      </c>
      <c r="C733" s="1" t="s">
        <v>1334</v>
      </c>
      <c r="D733" s="1" t="s">
        <v>1695</v>
      </c>
      <c r="E733" s="1" t="s">
        <v>1695</v>
      </c>
      <c r="F733" s="1" t="s">
        <v>813</v>
      </c>
      <c r="G733" s="2">
        <v>45221</v>
      </c>
      <c r="H733" s="3">
        <v>0.58333333333333326</v>
      </c>
      <c r="I733" s="1" t="s">
        <v>1695</v>
      </c>
      <c r="J733" s="1" t="s">
        <v>1695</v>
      </c>
      <c r="K733">
        <v>106</v>
      </c>
    </row>
    <row r="734" spans="1:11" hidden="1" x14ac:dyDescent="0.25">
      <c r="A734" s="1" t="s">
        <v>1319</v>
      </c>
      <c r="B734" s="1" t="s">
        <v>1695</v>
      </c>
      <c r="C734" s="1" t="s">
        <v>1115</v>
      </c>
      <c r="D734" s="1" t="s">
        <v>1695</v>
      </c>
      <c r="E734" s="1" t="s">
        <v>1695</v>
      </c>
      <c r="F734" s="1" t="s">
        <v>808</v>
      </c>
      <c r="G734" s="2">
        <v>45200</v>
      </c>
      <c r="H734" s="3">
        <v>0.93124999999999991</v>
      </c>
      <c r="I734" s="1" t="s">
        <v>1695</v>
      </c>
      <c r="J734" s="1" t="s">
        <v>1695</v>
      </c>
      <c r="K734">
        <v>22</v>
      </c>
    </row>
    <row r="735" spans="1:11" hidden="1" x14ac:dyDescent="0.25">
      <c r="A735" s="1" t="s">
        <v>1319</v>
      </c>
      <c r="B735" s="1" t="s">
        <v>1695</v>
      </c>
      <c r="C735" s="1" t="s">
        <v>1335</v>
      </c>
      <c r="D735" s="1" t="s">
        <v>1695</v>
      </c>
      <c r="E735" s="1" t="s">
        <v>1695</v>
      </c>
      <c r="F735" s="1" t="s">
        <v>811</v>
      </c>
      <c r="G735" s="2">
        <v>45226</v>
      </c>
      <c r="H735" s="3">
        <v>0.16319444444444442</v>
      </c>
      <c r="I735" s="1" t="s">
        <v>1695</v>
      </c>
      <c r="J735" s="1" t="s">
        <v>1695</v>
      </c>
      <c r="K735">
        <v>36</v>
      </c>
    </row>
    <row r="736" spans="1:11" hidden="1" x14ac:dyDescent="0.25">
      <c r="A736" s="1" t="s">
        <v>1319</v>
      </c>
      <c r="B736" s="1" t="s">
        <v>1695</v>
      </c>
      <c r="C736" s="1" t="s">
        <v>1246</v>
      </c>
      <c r="D736" s="1" t="s">
        <v>1695</v>
      </c>
      <c r="E736" s="1" t="s">
        <v>1695</v>
      </c>
      <c r="F736" s="1" t="s">
        <v>808</v>
      </c>
      <c r="G736" s="2">
        <v>45213</v>
      </c>
      <c r="H736" s="3">
        <v>0.92222222222222228</v>
      </c>
      <c r="I736" s="1" t="s">
        <v>1695</v>
      </c>
      <c r="J736" s="1" t="s">
        <v>1695</v>
      </c>
      <c r="K736">
        <v>40</v>
      </c>
    </row>
    <row r="737" spans="1:11" x14ac:dyDescent="0.25">
      <c r="A737" s="1" t="s">
        <v>1319</v>
      </c>
      <c r="B737" s="1" t="s">
        <v>16</v>
      </c>
      <c r="C737" s="1" t="s">
        <v>1336</v>
      </c>
      <c r="D737" s="1" t="s">
        <v>1506</v>
      </c>
      <c r="E737" s="1" t="s">
        <v>1504</v>
      </c>
      <c r="F737" s="1" t="s">
        <v>808</v>
      </c>
      <c r="G737" s="2">
        <v>45215</v>
      </c>
      <c r="H737" s="3">
        <v>9.3055555555555447E-2</v>
      </c>
      <c r="I737" s="1">
        <v>-7.6951369999999999</v>
      </c>
      <c r="J737" s="1">
        <v>13.346605</v>
      </c>
      <c r="K737">
        <v>87</v>
      </c>
    </row>
    <row r="738" spans="1:11" x14ac:dyDescent="0.25">
      <c r="A738" s="1" t="s">
        <v>1319</v>
      </c>
      <c r="B738" s="1" t="s">
        <v>18</v>
      </c>
      <c r="C738" s="1" t="s">
        <v>1128</v>
      </c>
      <c r="D738" s="1" t="s">
        <v>1506</v>
      </c>
      <c r="E738" s="1" t="s">
        <v>1516</v>
      </c>
      <c r="F738" s="1" t="s">
        <v>811</v>
      </c>
      <c r="G738" s="2">
        <v>45212</v>
      </c>
      <c r="H738" s="3">
        <v>0.11527777777777781</v>
      </c>
      <c r="I738" s="1">
        <v>-7.1785899999999998</v>
      </c>
      <c r="J738" s="1">
        <v>24.4404</v>
      </c>
      <c r="K738">
        <v>15</v>
      </c>
    </row>
    <row r="739" spans="1:11" hidden="1" x14ac:dyDescent="0.25">
      <c r="A739" s="1" t="s">
        <v>1319</v>
      </c>
      <c r="B739" s="1" t="s">
        <v>1695</v>
      </c>
      <c r="C739" s="1" t="s">
        <v>902</v>
      </c>
      <c r="D739" s="1" t="s">
        <v>1695</v>
      </c>
      <c r="E739" s="1" t="s">
        <v>1695</v>
      </c>
      <c r="F739" s="1" t="s">
        <v>813</v>
      </c>
      <c r="G739" s="2">
        <v>45225</v>
      </c>
      <c r="H739" s="3">
        <v>0.12916666666666665</v>
      </c>
      <c r="I739" s="1" t="s">
        <v>1695</v>
      </c>
      <c r="J739" s="1" t="s">
        <v>1695</v>
      </c>
      <c r="K739">
        <v>36</v>
      </c>
    </row>
    <row r="740" spans="1:11" x14ac:dyDescent="0.25">
      <c r="A740" s="1" t="s">
        <v>1319</v>
      </c>
      <c r="B740" s="1" t="s">
        <v>21</v>
      </c>
      <c r="C740" s="1" t="s">
        <v>1040</v>
      </c>
      <c r="D740" s="1" t="s">
        <v>1508</v>
      </c>
      <c r="E740" s="1" t="s">
        <v>1516</v>
      </c>
      <c r="F740" s="1" t="s">
        <v>813</v>
      </c>
      <c r="G740" s="2">
        <v>45210</v>
      </c>
      <c r="H740" s="3">
        <v>0.49722222222222223</v>
      </c>
      <c r="I740" s="1">
        <v>-9.3900009999999998</v>
      </c>
      <c r="J740" s="1">
        <v>30.001517</v>
      </c>
      <c r="K740">
        <v>75</v>
      </c>
    </row>
    <row r="741" spans="1:11" hidden="1" x14ac:dyDescent="0.25">
      <c r="A741" s="1" t="s">
        <v>1319</v>
      </c>
      <c r="B741" s="1" t="s">
        <v>1695</v>
      </c>
      <c r="C741" s="1" t="s">
        <v>1337</v>
      </c>
      <c r="D741" s="1" t="s">
        <v>1695</v>
      </c>
      <c r="E741" s="1" t="s">
        <v>1695</v>
      </c>
      <c r="F741" s="1" t="s">
        <v>811</v>
      </c>
      <c r="G741" s="2">
        <v>45209</v>
      </c>
      <c r="H741" s="3">
        <v>0.18333333333333335</v>
      </c>
      <c r="I741" s="1" t="s">
        <v>1695</v>
      </c>
      <c r="J741" s="1" t="s">
        <v>1695</v>
      </c>
      <c r="K741">
        <v>81</v>
      </c>
    </row>
    <row r="742" spans="1:11" x14ac:dyDescent="0.25">
      <c r="A742" s="1" t="s">
        <v>1319</v>
      </c>
      <c r="B742" s="1" t="s">
        <v>26</v>
      </c>
      <c r="C742" s="1" t="s">
        <v>1338</v>
      </c>
      <c r="D742" s="1" t="s">
        <v>1503</v>
      </c>
      <c r="E742" s="1" t="s">
        <v>1516</v>
      </c>
      <c r="F742" s="1" t="s">
        <v>811</v>
      </c>
      <c r="G742" s="2">
        <v>45224</v>
      </c>
      <c r="H742" s="3">
        <v>0.19513888888888897</v>
      </c>
      <c r="I742" s="1">
        <v>-1.500685</v>
      </c>
      <c r="J742" s="1">
        <v>26.563376000000002</v>
      </c>
      <c r="K742">
        <v>81</v>
      </c>
    </row>
    <row r="743" spans="1:11" x14ac:dyDescent="0.25">
      <c r="A743" s="1" t="s">
        <v>1339</v>
      </c>
      <c r="B743" s="1" t="s">
        <v>24</v>
      </c>
      <c r="C743" s="1" t="s">
        <v>1247</v>
      </c>
      <c r="D743" s="1" t="s">
        <v>1506</v>
      </c>
      <c r="E743" s="1" t="s">
        <v>1516</v>
      </c>
      <c r="F743" s="1" t="s">
        <v>813</v>
      </c>
      <c r="G743" s="2">
        <v>45223</v>
      </c>
      <c r="H743" s="3">
        <v>0.29374999999999996</v>
      </c>
      <c r="I743" s="1">
        <v>-4.4958720000000003</v>
      </c>
      <c r="J743" s="1">
        <v>18.514112000000001</v>
      </c>
      <c r="K743">
        <v>42</v>
      </c>
    </row>
    <row r="744" spans="1:11" hidden="1" x14ac:dyDescent="0.25">
      <c r="A744" s="1" t="s">
        <v>1339</v>
      </c>
      <c r="B744" s="1" t="s">
        <v>1695</v>
      </c>
      <c r="C744" s="1" t="s">
        <v>1340</v>
      </c>
      <c r="D744" s="1" t="s">
        <v>1695</v>
      </c>
      <c r="E744" s="1" t="s">
        <v>1695</v>
      </c>
      <c r="F744" s="1" t="s">
        <v>813</v>
      </c>
      <c r="G744" s="2">
        <v>45207</v>
      </c>
      <c r="H744" s="3">
        <v>0.12430555555555545</v>
      </c>
      <c r="I744" s="1" t="s">
        <v>1695</v>
      </c>
      <c r="J744" s="1" t="s">
        <v>1695</v>
      </c>
      <c r="K744">
        <v>77</v>
      </c>
    </row>
    <row r="745" spans="1:11" x14ac:dyDescent="0.25">
      <c r="A745" s="1" t="s">
        <v>1339</v>
      </c>
      <c r="B745" s="1" t="s">
        <v>51</v>
      </c>
      <c r="C745" s="1" t="s">
        <v>1242</v>
      </c>
      <c r="D745" s="1" t="s">
        <v>1506</v>
      </c>
      <c r="E745" s="1" t="s">
        <v>1509</v>
      </c>
      <c r="F745" s="1" t="s">
        <v>811</v>
      </c>
      <c r="G745" s="2">
        <v>45213</v>
      </c>
      <c r="H745" s="3">
        <v>0.14513888888888893</v>
      </c>
      <c r="I745" s="1">
        <v>-10.939712999999999</v>
      </c>
      <c r="J745" s="1">
        <v>18.276230999999999</v>
      </c>
      <c r="K745">
        <v>105</v>
      </c>
    </row>
    <row r="746" spans="1:11" hidden="1" x14ac:dyDescent="0.25">
      <c r="A746" s="1" t="s">
        <v>1339</v>
      </c>
      <c r="B746" s="1" t="s">
        <v>1695</v>
      </c>
      <c r="C746" s="1" t="s">
        <v>1341</v>
      </c>
      <c r="D746" s="1" t="s">
        <v>1695</v>
      </c>
      <c r="E746" s="1" t="s">
        <v>1695</v>
      </c>
      <c r="F746" s="1" t="s">
        <v>811</v>
      </c>
      <c r="G746" s="2">
        <v>45219</v>
      </c>
      <c r="H746" s="3">
        <v>0.79374999999999996</v>
      </c>
      <c r="I746" s="1" t="s">
        <v>1695</v>
      </c>
      <c r="J746" s="1" t="s">
        <v>1695</v>
      </c>
      <c r="K746">
        <v>43</v>
      </c>
    </row>
    <row r="747" spans="1:11" x14ac:dyDescent="0.25">
      <c r="A747" s="1" t="s">
        <v>1339</v>
      </c>
      <c r="B747" s="1" t="s">
        <v>29</v>
      </c>
      <c r="C747" s="1" t="s">
        <v>1342</v>
      </c>
      <c r="D747" s="1" t="s">
        <v>1503</v>
      </c>
      <c r="E747" s="1" t="s">
        <v>1504</v>
      </c>
      <c r="F747" s="1" t="s">
        <v>813</v>
      </c>
      <c r="G747" s="2">
        <v>45209</v>
      </c>
      <c r="H747" s="3">
        <v>0.90763888888888888</v>
      </c>
      <c r="I747" s="1">
        <v>-7.6757720000000003</v>
      </c>
      <c r="J747" s="1">
        <v>30.222971000000001</v>
      </c>
      <c r="K747">
        <v>99</v>
      </c>
    </row>
    <row r="748" spans="1:11" hidden="1" x14ac:dyDescent="0.25">
      <c r="A748" s="1" t="s">
        <v>1339</v>
      </c>
      <c r="B748" s="1" t="s">
        <v>1695</v>
      </c>
      <c r="C748" s="1" t="s">
        <v>1343</v>
      </c>
      <c r="D748" s="1" t="s">
        <v>1695</v>
      </c>
      <c r="E748" s="1" t="s">
        <v>1695</v>
      </c>
      <c r="F748" s="1" t="s">
        <v>813</v>
      </c>
      <c r="G748" s="2">
        <v>45221</v>
      </c>
      <c r="H748" s="3">
        <v>0.96597222222222223</v>
      </c>
      <c r="I748" s="1" t="s">
        <v>1695</v>
      </c>
      <c r="J748" s="1" t="s">
        <v>1695</v>
      </c>
      <c r="K748">
        <v>84</v>
      </c>
    </row>
    <row r="749" spans="1:11" hidden="1" x14ac:dyDescent="0.25">
      <c r="A749" s="1" t="s">
        <v>1339</v>
      </c>
      <c r="B749" s="1" t="s">
        <v>1695</v>
      </c>
      <c r="C749" s="1" t="s">
        <v>817</v>
      </c>
      <c r="D749" s="1" t="s">
        <v>1695</v>
      </c>
      <c r="E749" s="1" t="s">
        <v>1695</v>
      </c>
      <c r="F749" s="1" t="s">
        <v>813</v>
      </c>
      <c r="G749" s="2">
        <v>45203</v>
      </c>
      <c r="H749" s="3">
        <v>3.125E-2</v>
      </c>
      <c r="I749" s="1" t="s">
        <v>1695</v>
      </c>
      <c r="J749" s="1" t="s">
        <v>1695</v>
      </c>
      <c r="K749">
        <v>36</v>
      </c>
    </row>
    <row r="750" spans="1:11" hidden="1" x14ac:dyDescent="0.25">
      <c r="A750" s="1" t="s">
        <v>1339</v>
      </c>
      <c r="B750" s="1" t="s">
        <v>1695</v>
      </c>
      <c r="C750" s="1" t="s">
        <v>1344</v>
      </c>
      <c r="D750" s="1" t="s">
        <v>1695</v>
      </c>
      <c r="E750" s="1" t="s">
        <v>1695</v>
      </c>
      <c r="F750" s="1" t="s">
        <v>813</v>
      </c>
      <c r="G750" s="2">
        <v>45204</v>
      </c>
      <c r="H750" s="3">
        <v>0.91666666666666674</v>
      </c>
      <c r="I750" s="1" t="s">
        <v>1695</v>
      </c>
      <c r="J750" s="1" t="s">
        <v>1695</v>
      </c>
      <c r="K750">
        <v>64</v>
      </c>
    </row>
    <row r="751" spans="1:11" hidden="1" x14ac:dyDescent="0.25">
      <c r="A751" s="1" t="s">
        <v>1339</v>
      </c>
      <c r="B751" s="1" t="s">
        <v>1695</v>
      </c>
      <c r="C751" s="1" t="s">
        <v>956</v>
      </c>
      <c r="D751" s="1" t="s">
        <v>1695</v>
      </c>
      <c r="E751" s="1" t="s">
        <v>1695</v>
      </c>
      <c r="F751" s="1" t="s">
        <v>808</v>
      </c>
      <c r="G751" s="2">
        <v>45205</v>
      </c>
      <c r="H751" s="3">
        <v>0.64027777777777772</v>
      </c>
      <c r="I751" s="1" t="s">
        <v>1695</v>
      </c>
      <c r="J751" s="1" t="s">
        <v>1695</v>
      </c>
      <c r="K751">
        <v>52</v>
      </c>
    </row>
    <row r="752" spans="1:11" x14ac:dyDescent="0.25">
      <c r="A752" s="1" t="s">
        <v>1339</v>
      </c>
      <c r="B752" s="1" t="s">
        <v>13</v>
      </c>
      <c r="C752" s="1" t="s">
        <v>938</v>
      </c>
      <c r="D752" s="1" t="s">
        <v>1503</v>
      </c>
      <c r="E752" s="1" t="s">
        <v>1509</v>
      </c>
      <c r="F752" s="1" t="s">
        <v>808</v>
      </c>
      <c r="G752" s="2">
        <v>45216</v>
      </c>
      <c r="H752" s="3">
        <v>0.70138888888888884</v>
      </c>
      <c r="I752" s="1">
        <v>-11.622688999999999</v>
      </c>
      <c r="J752" s="1">
        <v>18.483874</v>
      </c>
      <c r="K752">
        <v>80</v>
      </c>
    </row>
    <row r="753" spans="1:11" x14ac:dyDescent="0.25">
      <c r="A753" s="1" t="s">
        <v>1339</v>
      </c>
      <c r="B753" s="1" t="s">
        <v>73</v>
      </c>
      <c r="C753" s="1" t="s">
        <v>961</v>
      </c>
      <c r="D753" s="1" t="s">
        <v>1508</v>
      </c>
      <c r="E753" s="1" t="s">
        <v>1509</v>
      </c>
      <c r="F753" s="1" t="s">
        <v>808</v>
      </c>
      <c r="G753" s="2">
        <v>45226</v>
      </c>
      <c r="H753" s="3">
        <v>0.96944444444444455</v>
      </c>
      <c r="I753" s="1">
        <v>3.0603760000000002</v>
      </c>
      <c r="J753" s="1">
        <v>19.708034000000001</v>
      </c>
      <c r="K753">
        <v>68</v>
      </c>
    </row>
    <row r="754" spans="1:11" x14ac:dyDescent="0.25">
      <c r="A754" s="1" t="s">
        <v>1339</v>
      </c>
      <c r="B754" s="1" t="s">
        <v>131</v>
      </c>
      <c r="C754" s="1" t="s">
        <v>1345</v>
      </c>
      <c r="D754" s="1" t="s">
        <v>1503</v>
      </c>
      <c r="E754" s="1" t="s">
        <v>1516</v>
      </c>
      <c r="F754" s="1" t="s">
        <v>808</v>
      </c>
      <c r="G754" s="2">
        <v>45205</v>
      </c>
      <c r="H754" s="3">
        <v>0.4638888888888888</v>
      </c>
      <c r="I754" s="1">
        <v>-0.17258100000000001</v>
      </c>
      <c r="J754" s="1">
        <v>23.775555000000001</v>
      </c>
      <c r="K754">
        <v>103</v>
      </c>
    </row>
    <row r="755" spans="1:11" hidden="1" x14ac:dyDescent="0.25">
      <c r="A755" s="1" t="s">
        <v>1339</v>
      </c>
      <c r="B755" s="1" t="s">
        <v>1695</v>
      </c>
      <c r="C755" s="1" t="s">
        <v>1346</v>
      </c>
      <c r="D755" s="1" t="s">
        <v>1695</v>
      </c>
      <c r="E755" s="1" t="s">
        <v>1695</v>
      </c>
      <c r="F755" s="1" t="s">
        <v>811</v>
      </c>
      <c r="G755" s="2">
        <v>45223</v>
      </c>
      <c r="H755" s="3">
        <v>0.36527777777777781</v>
      </c>
      <c r="I755" s="1" t="s">
        <v>1695</v>
      </c>
      <c r="J755" s="1" t="s">
        <v>1695</v>
      </c>
      <c r="K755">
        <v>104</v>
      </c>
    </row>
    <row r="756" spans="1:11" x14ac:dyDescent="0.25">
      <c r="A756" s="1" t="s">
        <v>1339</v>
      </c>
      <c r="B756" s="1" t="s">
        <v>51</v>
      </c>
      <c r="C756" s="1" t="s">
        <v>1213</v>
      </c>
      <c r="D756" s="1" t="s">
        <v>1503</v>
      </c>
      <c r="E756" s="1" t="s">
        <v>1516</v>
      </c>
      <c r="F756" s="1" t="s">
        <v>808</v>
      </c>
      <c r="G756" s="2">
        <v>45228</v>
      </c>
      <c r="H756" s="3">
        <v>0.15902777777777777</v>
      </c>
      <c r="I756" s="1">
        <v>0.62055499999999997</v>
      </c>
      <c r="J756" s="1">
        <v>21.222035000000002</v>
      </c>
      <c r="K756">
        <v>30</v>
      </c>
    </row>
    <row r="757" spans="1:11" hidden="1" x14ac:dyDescent="0.25">
      <c r="A757" s="1" t="s">
        <v>1339</v>
      </c>
      <c r="B757" s="1" t="s">
        <v>1695</v>
      </c>
      <c r="C757" s="1" t="s">
        <v>916</v>
      </c>
      <c r="D757" s="1" t="s">
        <v>1695</v>
      </c>
      <c r="E757" s="1" t="s">
        <v>1695</v>
      </c>
      <c r="F757" s="1" t="s">
        <v>808</v>
      </c>
      <c r="G757" s="2">
        <v>45228</v>
      </c>
      <c r="H757" s="3">
        <v>1.4583333333333393E-2</v>
      </c>
      <c r="I757" s="1" t="s">
        <v>1695</v>
      </c>
      <c r="J757" s="1" t="s">
        <v>1695</v>
      </c>
      <c r="K757">
        <v>98</v>
      </c>
    </row>
    <row r="758" spans="1:11" x14ac:dyDescent="0.25">
      <c r="A758" s="1" t="s">
        <v>1339</v>
      </c>
      <c r="B758" s="1" t="s">
        <v>67</v>
      </c>
      <c r="C758" s="1" t="s">
        <v>1347</v>
      </c>
      <c r="D758" s="1" t="s">
        <v>1508</v>
      </c>
      <c r="E758" s="1" t="s">
        <v>1507</v>
      </c>
      <c r="F758" s="1" t="s">
        <v>808</v>
      </c>
      <c r="G758" s="2">
        <v>45216</v>
      </c>
      <c r="H758" s="3">
        <v>9.4444444444444553E-2</v>
      </c>
      <c r="I758" s="1">
        <v>4.8265669999999998</v>
      </c>
      <c r="J758" s="1">
        <v>28.535277000000001</v>
      </c>
      <c r="K758">
        <v>74</v>
      </c>
    </row>
    <row r="759" spans="1:11" x14ac:dyDescent="0.25">
      <c r="A759" s="1" t="s">
        <v>1339</v>
      </c>
      <c r="B759" s="1" t="s">
        <v>18</v>
      </c>
      <c r="C759" s="1" t="s">
        <v>1348</v>
      </c>
      <c r="D759" s="1" t="s">
        <v>1506</v>
      </c>
      <c r="E759" s="1" t="s">
        <v>1507</v>
      </c>
      <c r="F759" s="1" t="s">
        <v>813</v>
      </c>
      <c r="G759" s="2">
        <v>45222</v>
      </c>
      <c r="H759" s="3">
        <v>0.77777777777777768</v>
      </c>
      <c r="I759" s="1">
        <v>-1.3938550000000001</v>
      </c>
      <c r="J759" s="1">
        <v>15.097554000000001</v>
      </c>
      <c r="K759">
        <v>102</v>
      </c>
    </row>
    <row r="760" spans="1:11" x14ac:dyDescent="0.25">
      <c r="A760" s="1" t="s">
        <v>1339</v>
      </c>
      <c r="B760" s="1" t="s">
        <v>62</v>
      </c>
      <c r="C760" s="1" t="s">
        <v>1349</v>
      </c>
      <c r="D760" s="1" t="s">
        <v>1508</v>
      </c>
      <c r="E760" s="1" t="s">
        <v>1516</v>
      </c>
      <c r="F760" s="1" t="s">
        <v>813</v>
      </c>
      <c r="G760" s="2">
        <v>45202</v>
      </c>
      <c r="H760" s="3">
        <v>0.64513888888888893</v>
      </c>
      <c r="I760" s="1">
        <v>1.981107</v>
      </c>
      <c r="J760" s="1">
        <v>23.932569000000001</v>
      </c>
      <c r="K760">
        <v>106</v>
      </c>
    </row>
    <row r="761" spans="1:11" x14ac:dyDescent="0.25">
      <c r="A761" s="1" t="s">
        <v>1339</v>
      </c>
      <c r="B761" s="1" t="s">
        <v>131</v>
      </c>
      <c r="C761" s="1" t="s">
        <v>1350</v>
      </c>
      <c r="D761" s="1" t="s">
        <v>1506</v>
      </c>
      <c r="E761" s="1" t="s">
        <v>1507</v>
      </c>
      <c r="F761" s="1" t="s">
        <v>813</v>
      </c>
      <c r="G761" s="2">
        <v>45216</v>
      </c>
      <c r="H761" s="3">
        <v>0.4604166666666667</v>
      </c>
      <c r="I761" s="1">
        <v>-11.231472</v>
      </c>
      <c r="J761" s="1">
        <v>25.388874000000001</v>
      </c>
      <c r="K761">
        <v>36</v>
      </c>
    </row>
    <row r="762" spans="1:11" hidden="1" x14ac:dyDescent="0.25">
      <c r="A762" s="1" t="s">
        <v>1339</v>
      </c>
      <c r="B762" s="1" t="s">
        <v>1695</v>
      </c>
      <c r="C762" s="1" t="s">
        <v>1351</v>
      </c>
      <c r="D762" s="1" t="s">
        <v>1695</v>
      </c>
      <c r="E762" s="1" t="s">
        <v>1695</v>
      </c>
      <c r="F762" s="1" t="s">
        <v>813</v>
      </c>
      <c r="G762" s="2">
        <v>45215</v>
      </c>
      <c r="H762" s="3">
        <v>0.75694444444444442</v>
      </c>
      <c r="I762" s="1" t="s">
        <v>1695</v>
      </c>
      <c r="J762" s="1" t="s">
        <v>1695</v>
      </c>
      <c r="K762">
        <v>24</v>
      </c>
    </row>
    <row r="763" spans="1:11" x14ac:dyDescent="0.25">
      <c r="A763" s="1" t="s">
        <v>1339</v>
      </c>
      <c r="B763" s="1" t="s">
        <v>131</v>
      </c>
      <c r="C763" s="1" t="s">
        <v>1352</v>
      </c>
      <c r="D763" s="1" t="s">
        <v>1508</v>
      </c>
      <c r="E763" s="1" t="s">
        <v>1516</v>
      </c>
      <c r="F763" s="1" t="s">
        <v>808</v>
      </c>
      <c r="G763" s="2">
        <v>45211</v>
      </c>
      <c r="H763" s="3">
        <v>0.21944444444444455</v>
      </c>
      <c r="I763" s="1">
        <v>-8.9586360000000003</v>
      </c>
      <c r="J763" s="1">
        <v>17.157720000000001</v>
      </c>
      <c r="K763">
        <v>5</v>
      </c>
    </row>
    <row r="764" spans="1:11" hidden="1" x14ac:dyDescent="0.25">
      <c r="A764" s="1" t="s">
        <v>1339</v>
      </c>
      <c r="B764" s="1" t="s">
        <v>1695</v>
      </c>
      <c r="C764" s="1" t="s">
        <v>1353</v>
      </c>
      <c r="D764" s="1" t="s">
        <v>1695</v>
      </c>
      <c r="E764" s="1" t="s">
        <v>1695</v>
      </c>
      <c r="F764" s="1" t="s">
        <v>811</v>
      </c>
      <c r="G764" s="2">
        <v>45224</v>
      </c>
      <c r="H764" s="3">
        <v>0.1645833333333333</v>
      </c>
      <c r="I764" s="1" t="s">
        <v>1695</v>
      </c>
      <c r="J764" s="1" t="s">
        <v>1695</v>
      </c>
      <c r="K764">
        <v>57</v>
      </c>
    </row>
    <row r="765" spans="1:11" hidden="1" x14ac:dyDescent="0.25">
      <c r="A765" s="1" t="s">
        <v>1339</v>
      </c>
      <c r="B765" s="1" t="s">
        <v>1695</v>
      </c>
      <c r="C765" s="1" t="s">
        <v>1036</v>
      </c>
      <c r="D765" s="1" t="s">
        <v>1695</v>
      </c>
      <c r="E765" s="1" t="s">
        <v>1695</v>
      </c>
      <c r="F765" s="1" t="s">
        <v>813</v>
      </c>
      <c r="G765" s="2">
        <v>45218</v>
      </c>
      <c r="H765" s="3">
        <v>0.90694444444444455</v>
      </c>
      <c r="I765" s="1" t="s">
        <v>1695</v>
      </c>
      <c r="J765" s="1" t="s">
        <v>1695</v>
      </c>
      <c r="K765">
        <v>8</v>
      </c>
    </row>
    <row r="766" spans="1:11" hidden="1" x14ac:dyDescent="0.25">
      <c r="A766" s="1" t="s">
        <v>1339</v>
      </c>
      <c r="B766" s="1" t="s">
        <v>1695</v>
      </c>
      <c r="C766" s="1" t="s">
        <v>1354</v>
      </c>
      <c r="D766" s="1" t="s">
        <v>1695</v>
      </c>
      <c r="E766" s="1" t="s">
        <v>1695</v>
      </c>
      <c r="F766" s="1" t="s">
        <v>808</v>
      </c>
      <c r="G766" s="2">
        <v>45203</v>
      </c>
      <c r="H766" s="3">
        <v>0.32430555555555562</v>
      </c>
      <c r="I766" s="1" t="s">
        <v>1695</v>
      </c>
      <c r="J766" s="1" t="s">
        <v>1695</v>
      </c>
      <c r="K766">
        <v>34</v>
      </c>
    </row>
    <row r="767" spans="1:11" hidden="1" x14ac:dyDescent="0.25">
      <c r="A767" s="1" t="s">
        <v>1339</v>
      </c>
      <c r="B767" s="1" t="s">
        <v>1695</v>
      </c>
      <c r="C767" s="1" t="s">
        <v>1355</v>
      </c>
      <c r="D767" s="1" t="s">
        <v>1695</v>
      </c>
      <c r="E767" s="1" t="s">
        <v>1695</v>
      </c>
      <c r="F767" s="1" t="s">
        <v>813</v>
      </c>
      <c r="G767" s="2">
        <v>45216</v>
      </c>
      <c r="H767" s="3">
        <v>1.388888888888884E-3</v>
      </c>
      <c r="I767" s="1" t="s">
        <v>1695</v>
      </c>
      <c r="J767" s="1" t="s">
        <v>1695</v>
      </c>
      <c r="K767">
        <v>74</v>
      </c>
    </row>
    <row r="768" spans="1:11" hidden="1" x14ac:dyDescent="0.25">
      <c r="A768" s="1" t="s">
        <v>1339</v>
      </c>
      <c r="B768" s="1" t="s">
        <v>1695</v>
      </c>
      <c r="C768" s="1" t="s">
        <v>1356</v>
      </c>
      <c r="D768" s="1" t="s">
        <v>1695</v>
      </c>
      <c r="E768" s="1" t="s">
        <v>1695</v>
      </c>
      <c r="F768" s="1" t="s">
        <v>813</v>
      </c>
      <c r="G768" s="2">
        <v>45227</v>
      </c>
      <c r="H768" s="3">
        <v>1.0416666666666741E-2</v>
      </c>
      <c r="I768" s="1" t="s">
        <v>1695</v>
      </c>
      <c r="J768" s="1" t="s">
        <v>1695</v>
      </c>
      <c r="K768">
        <v>49</v>
      </c>
    </row>
    <row r="769" spans="1:11" hidden="1" x14ac:dyDescent="0.25">
      <c r="A769" s="1" t="s">
        <v>1339</v>
      </c>
      <c r="B769" s="1" t="s">
        <v>1695</v>
      </c>
      <c r="C769" s="1" t="s">
        <v>859</v>
      </c>
      <c r="D769" s="1" t="s">
        <v>1695</v>
      </c>
      <c r="E769" s="1" t="s">
        <v>1695</v>
      </c>
      <c r="F769" s="1" t="s">
        <v>813</v>
      </c>
      <c r="G769" s="2">
        <v>45201</v>
      </c>
      <c r="H769" s="3">
        <v>0.64097222222222228</v>
      </c>
      <c r="I769" s="1" t="s">
        <v>1695</v>
      </c>
      <c r="J769" s="1" t="s">
        <v>1695</v>
      </c>
      <c r="K769">
        <v>86</v>
      </c>
    </row>
    <row r="770" spans="1:11" hidden="1" x14ac:dyDescent="0.25">
      <c r="A770" s="1" t="s">
        <v>1339</v>
      </c>
      <c r="B770" s="1" t="s">
        <v>1695</v>
      </c>
      <c r="C770" s="1" t="s">
        <v>1357</v>
      </c>
      <c r="D770" s="1" t="s">
        <v>1695</v>
      </c>
      <c r="E770" s="1" t="s">
        <v>1695</v>
      </c>
      <c r="F770" s="1" t="s">
        <v>813</v>
      </c>
      <c r="G770" s="2">
        <v>45212</v>
      </c>
      <c r="H770" s="3">
        <v>0.17430555555555549</v>
      </c>
      <c r="I770" s="1" t="s">
        <v>1695</v>
      </c>
      <c r="J770" s="1" t="s">
        <v>1695</v>
      </c>
      <c r="K770">
        <v>112</v>
      </c>
    </row>
    <row r="771" spans="1:11" x14ac:dyDescent="0.25">
      <c r="A771" s="1" t="s">
        <v>1339</v>
      </c>
      <c r="B771" s="1" t="s">
        <v>131</v>
      </c>
      <c r="C771" s="1" t="s">
        <v>873</v>
      </c>
      <c r="D771" s="1" t="s">
        <v>1503</v>
      </c>
      <c r="E771" s="1" t="s">
        <v>1509</v>
      </c>
      <c r="F771" s="1" t="s">
        <v>808</v>
      </c>
      <c r="G771" s="2">
        <v>45229</v>
      </c>
      <c r="H771" s="3">
        <v>6.5972222222222321E-2</v>
      </c>
      <c r="I771" s="1">
        <v>0.82868600000000003</v>
      </c>
      <c r="J771" s="1">
        <v>26.958843999999999</v>
      </c>
      <c r="K771">
        <v>93</v>
      </c>
    </row>
    <row r="772" spans="1:11" hidden="1" x14ac:dyDescent="0.25">
      <c r="A772" s="1" t="s">
        <v>1339</v>
      </c>
      <c r="B772" s="1" t="s">
        <v>1695</v>
      </c>
      <c r="C772" s="1" t="s">
        <v>1358</v>
      </c>
      <c r="D772" s="1" t="s">
        <v>1695</v>
      </c>
      <c r="E772" s="1" t="s">
        <v>1695</v>
      </c>
      <c r="F772" s="1" t="s">
        <v>808</v>
      </c>
      <c r="G772" s="2">
        <v>45225</v>
      </c>
      <c r="H772" s="3">
        <v>0.94930555555555562</v>
      </c>
      <c r="I772" s="1" t="s">
        <v>1695</v>
      </c>
      <c r="J772" s="1" t="s">
        <v>1695</v>
      </c>
      <c r="K772">
        <v>117</v>
      </c>
    </row>
    <row r="773" spans="1:11" hidden="1" x14ac:dyDescent="0.25">
      <c r="A773" s="1" t="s">
        <v>1339</v>
      </c>
      <c r="B773" s="1" t="s">
        <v>1695</v>
      </c>
      <c r="C773" s="1" t="s">
        <v>1359</v>
      </c>
      <c r="D773" s="1" t="s">
        <v>1695</v>
      </c>
      <c r="E773" s="1" t="s">
        <v>1695</v>
      </c>
      <c r="F773" s="1" t="s">
        <v>808</v>
      </c>
      <c r="G773" s="2">
        <v>45220</v>
      </c>
      <c r="H773" s="3">
        <v>0.55138888888888893</v>
      </c>
      <c r="I773" s="1" t="s">
        <v>1695</v>
      </c>
      <c r="J773" s="1" t="s">
        <v>1695</v>
      </c>
      <c r="K773">
        <v>6</v>
      </c>
    </row>
    <row r="774" spans="1:11" hidden="1" x14ac:dyDescent="0.25">
      <c r="A774" s="1" t="s">
        <v>1339</v>
      </c>
      <c r="B774" s="1" t="s">
        <v>1695</v>
      </c>
      <c r="C774" s="1" t="s">
        <v>1146</v>
      </c>
      <c r="D774" s="1" t="s">
        <v>1695</v>
      </c>
      <c r="E774" s="1" t="s">
        <v>1695</v>
      </c>
      <c r="F774" s="1" t="s">
        <v>811</v>
      </c>
      <c r="G774" s="2">
        <v>45210</v>
      </c>
      <c r="H774" s="3">
        <v>0.30972222222222223</v>
      </c>
      <c r="I774" s="1" t="s">
        <v>1695</v>
      </c>
      <c r="J774" s="1" t="s">
        <v>1695</v>
      </c>
      <c r="K774">
        <v>47</v>
      </c>
    </row>
    <row r="775" spans="1:11" x14ac:dyDescent="0.25">
      <c r="A775" s="1" t="s">
        <v>1339</v>
      </c>
      <c r="B775" s="1" t="s">
        <v>89</v>
      </c>
      <c r="C775" s="1" t="s">
        <v>1278</v>
      </c>
      <c r="D775" s="1" t="s">
        <v>1506</v>
      </c>
      <c r="E775" s="1" t="s">
        <v>1504</v>
      </c>
      <c r="F775" s="1" t="s">
        <v>813</v>
      </c>
      <c r="G775" s="2">
        <v>45229</v>
      </c>
      <c r="H775" s="3">
        <v>0.97222222222222232</v>
      </c>
      <c r="I775" s="1">
        <v>-8.4985189999999999</v>
      </c>
      <c r="J775" s="1">
        <v>12.929456999999999</v>
      </c>
      <c r="K775">
        <v>5</v>
      </c>
    </row>
    <row r="776" spans="1:11" x14ac:dyDescent="0.25">
      <c r="A776" s="1" t="s">
        <v>1339</v>
      </c>
      <c r="B776" s="1" t="s">
        <v>21</v>
      </c>
      <c r="C776" s="1" t="s">
        <v>1360</v>
      </c>
      <c r="D776" s="1" t="s">
        <v>1508</v>
      </c>
      <c r="E776" s="1" t="s">
        <v>1507</v>
      </c>
      <c r="F776" s="1" t="s">
        <v>811</v>
      </c>
      <c r="G776" s="2">
        <v>45208</v>
      </c>
      <c r="H776" s="3">
        <v>0.10833333333333339</v>
      </c>
      <c r="I776" s="1">
        <v>-1.4700059999999999</v>
      </c>
      <c r="J776" s="1">
        <v>18.680958</v>
      </c>
      <c r="K776">
        <v>102</v>
      </c>
    </row>
    <row r="777" spans="1:11" hidden="1" x14ac:dyDescent="0.25">
      <c r="A777" s="1" t="s">
        <v>1339</v>
      </c>
      <c r="B777" s="1" t="s">
        <v>1695</v>
      </c>
      <c r="C777" s="1" t="s">
        <v>1361</v>
      </c>
      <c r="D777" s="1" t="s">
        <v>1695</v>
      </c>
      <c r="E777" s="1" t="s">
        <v>1695</v>
      </c>
      <c r="F777" s="1" t="s">
        <v>811</v>
      </c>
      <c r="G777" s="2">
        <v>45211</v>
      </c>
      <c r="H777" s="3">
        <v>0.14722222222222214</v>
      </c>
      <c r="I777" s="1" t="s">
        <v>1695</v>
      </c>
      <c r="J777" s="1" t="s">
        <v>1695</v>
      </c>
      <c r="K777">
        <v>89</v>
      </c>
    </row>
    <row r="778" spans="1:11" x14ac:dyDescent="0.25">
      <c r="A778" s="1" t="s">
        <v>1339</v>
      </c>
      <c r="B778" s="1" t="s">
        <v>137</v>
      </c>
      <c r="C778" s="1" t="s">
        <v>1143</v>
      </c>
      <c r="D778" s="1" t="s">
        <v>1506</v>
      </c>
      <c r="E778" s="1" t="s">
        <v>1509</v>
      </c>
      <c r="F778" s="1" t="s">
        <v>811</v>
      </c>
      <c r="G778" s="2">
        <v>45221</v>
      </c>
      <c r="H778" s="3">
        <v>4.9305555555555491E-2</v>
      </c>
      <c r="I778" s="1">
        <v>1.286548</v>
      </c>
      <c r="J778" s="1">
        <v>29.823702999999998</v>
      </c>
      <c r="K778">
        <v>53</v>
      </c>
    </row>
    <row r="779" spans="1:11" x14ac:dyDescent="0.25">
      <c r="A779" s="1" t="s">
        <v>1339</v>
      </c>
      <c r="B779" s="1" t="s">
        <v>62</v>
      </c>
      <c r="C779" s="1" t="s">
        <v>1362</v>
      </c>
      <c r="D779" s="1" t="s">
        <v>1503</v>
      </c>
      <c r="E779" s="1" t="s">
        <v>1504</v>
      </c>
      <c r="F779" s="1" t="s">
        <v>808</v>
      </c>
      <c r="G779" s="2">
        <v>45207</v>
      </c>
      <c r="H779" s="3">
        <v>0.66805555555555562</v>
      </c>
      <c r="I779" s="1">
        <v>-7.1587569999999996</v>
      </c>
      <c r="J779" s="1">
        <v>18.975141000000001</v>
      </c>
      <c r="K779">
        <v>113</v>
      </c>
    </row>
    <row r="780" spans="1:11" x14ac:dyDescent="0.25">
      <c r="A780" s="1" t="s">
        <v>1339</v>
      </c>
      <c r="B780" s="1" t="s">
        <v>60</v>
      </c>
      <c r="C780" s="1" t="s">
        <v>1202</v>
      </c>
      <c r="D780" s="1" t="s">
        <v>1503</v>
      </c>
      <c r="E780" s="1" t="s">
        <v>1509</v>
      </c>
      <c r="F780" s="1" t="s">
        <v>808</v>
      </c>
      <c r="G780" s="2">
        <v>45230</v>
      </c>
      <c r="H780" s="3">
        <v>0.50277777777777777</v>
      </c>
      <c r="I780" s="1">
        <v>-5.7200150000000001</v>
      </c>
      <c r="J780" s="1">
        <v>25.022109</v>
      </c>
      <c r="K780">
        <v>99</v>
      </c>
    </row>
    <row r="781" spans="1:11" x14ac:dyDescent="0.25">
      <c r="A781" s="1" t="s">
        <v>1339</v>
      </c>
      <c r="B781" s="1" t="s">
        <v>40</v>
      </c>
      <c r="C781" s="1" t="s">
        <v>872</v>
      </c>
      <c r="D781" s="1" t="s">
        <v>1506</v>
      </c>
      <c r="E781" s="1" t="s">
        <v>1507</v>
      </c>
      <c r="F781" s="1" t="s">
        <v>813</v>
      </c>
      <c r="G781" s="2">
        <v>45228</v>
      </c>
      <c r="H781" s="3">
        <v>0.62152777777777768</v>
      </c>
      <c r="I781" s="1">
        <v>-10.963041</v>
      </c>
      <c r="J781" s="1">
        <v>12.269857</v>
      </c>
      <c r="K781">
        <v>98</v>
      </c>
    </row>
    <row r="782" spans="1:11" hidden="1" x14ac:dyDescent="0.25">
      <c r="A782" s="1" t="s">
        <v>1339</v>
      </c>
      <c r="B782" s="1" t="s">
        <v>1695</v>
      </c>
      <c r="C782" s="1" t="s">
        <v>1363</v>
      </c>
      <c r="D782" s="1" t="s">
        <v>1695</v>
      </c>
      <c r="E782" s="1" t="s">
        <v>1695</v>
      </c>
      <c r="F782" s="1" t="s">
        <v>808</v>
      </c>
      <c r="G782" s="2">
        <v>45209</v>
      </c>
      <c r="H782" s="3">
        <v>0.38888888888888884</v>
      </c>
      <c r="I782" s="1" t="s">
        <v>1695</v>
      </c>
      <c r="J782" s="1" t="s">
        <v>1695</v>
      </c>
      <c r="K782">
        <v>44</v>
      </c>
    </row>
    <row r="783" spans="1:11" hidden="1" x14ac:dyDescent="0.25">
      <c r="A783" s="1" t="s">
        <v>1339</v>
      </c>
      <c r="B783" s="1" t="s">
        <v>1695</v>
      </c>
      <c r="C783" s="1" t="s">
        <v>1288</v>
      </c>
      <c r="D783" s="1" t="s">
        <v>1695</v>
      </c>
      <c r="E783" s="1" t="s">
        <v>1695</v>
      </c>
      <c r="F783" s="1" t="s">
        <v>808</v>
      </c>
      <c r="G783" s="2">
        <v>45202</v>
      </c>
      <c r="H783" s="3">
        <v>0.72847222222222219</v>
      </c>
      <c r="I783" s="1" t="s">
        <v>1695</v>
      </c>
      <c r="J783" s="1" t="s">
        <v>1695</v>
      </c>
      <c r="K783">
        <v>18</v>
      </c>
    </row>
    <row r="784" spans="1:11" x14ac:dyDescent="0.25">
      <c r="A784" s="1" t="s">
        <v>1339</v>
      </c>
      <c r="B784" s="1" t="s">
        <v>67</v>
      </c>
      <c r="C784" s="1" t="s">
        <v>1364</v>
      </c>
      <c r="D784" s="1" t="s">
        <v>1506</v>
      </c>
      <c r="E784" s="1" t="s">
        <v>1516</v>
      </c>
      <c r="F784" s="1" t="s">
        <v>811</v>
      </c>
      <c r="G784" s="2">
        <v>45200</v>
      </c>
      <c r="H784" s="3">
        <v>0.46666666666666656</v>
      </c>
      <c r="I784" s="1">
        <v>-9.5619429999999994</v>
      </c>
      <c r="J784" s="1">
        <v>21.445726000000001</v>
      </c>
      <c r="K784">
        <v>31</v>
      </c>
    </row>
    <row r="785" spans="1:11" hidden="1" x14ac:dyDescent="0.25">
      <c r="A785" s="1" t="s">
        <v>1339</v>
      </c>
      <c r="B785" s="1" t="s">
        <v>1695</v>
      </c>
      <c r="C785" s="1" t="s">
        <v>1365</v>
      </c>
      <c r="D785" s="1" t="s">
        <v>1695</v>
      </c>
      <c r="E785" s="1" t="s">
        <v>1695</v>
      </c>
      <c r="F785" s="1" t="s">
        <v>808</v>
      </c>
      <c r="G785" s="2">
        <v>45225</v>
      </c>
      <c r="H785" s="3">
        <v>0.55347222222222214</v>
      </c>
      <c r="I785" s="1" t="s">
        <v>1695</v>
      </c>
      <c r="J785" s="1" t="s">
        <v>1695</v>
      </c>
      <c r="K785">
        <v>120</v>
      </c>
    </row>
    <row r="786" spans="1:11" x14ac:dyDescent="0.25">
      <c r="A786" s="1" t="s">
        <v>1366</v>
      </c>
      <c r="B786" s="1" t="s">
        <v>89</v>
      </c>
      <c r="C786" s="1" t="s">
        <v>1278</v>
      </c>
      <c r="D786" s="1" t="s">
        <v>1506</v>
      </c>
      <c r="E786" s="1" t="s">
        <v>1504</v>
      </c>
      <c r="F786" s="1" t="s">
        <v>813</v>
      </c>
      <c r="G786" s="2">
        <v>45226</v>
      </c>
      <c r="H786" s="3">
        <v>0.20902777777777781</v>
      </c>
      <c r="I786" s="1">
        <v>-8.4985189999999999</v>
      </c>
      <c r="J786" s="1">
        <v>12.929456999999999</v>
      </c>
      <c r="K786">
        <v>81</v>
      </c>
    </row>
    <row r="787" spans="1:11" hidden="1" x14ac:dyDescent="0.25">
      <c r="A787" s="1" t="s">
        <v>1366</v>
      </c>
      <c r="B787" s="1" t="s">
        <v>1695</v>
      </c>
      <c r="C787" s="1" t="s">
        <v>1367</v>
      </c>
      <c r="D787" s="1" t="s">
        <v>1695</v>
      </c>
      <c r="E787" s="1" t="s">
        <v>1695</v>
      </c>
      <c r="F787" s="1" t="s">
        <v>811</v>
      </c>
      <c r="G787" s="2">
        <v>45230</v>
      </c>
      <c r="H787" s="3">
        <v>0.53750000000000009</v>
      </c>
      <c r="I787" s="1" t="s">
        <v>1695</v>
      </c>
      <c r="J787" s="1" t="s">
        <v>1695</v>
      </c>
      <c r="K787">
        <v>33</v>
      </c>
    </row>
    <row r="788" spans="1:11" x14ac:dyDescent="0.25">
      <c r="A788" s="1" t="s">
        <v>1366</v>
      </c>
      <c r="B788" s="1" t="s">
        <v>131</v>
      </c>
      <c r="C788" s="1" t="s">
        <v>1053</v>
      </c>
      <c r="D788" s="1" t="s">
        <v>1506</v>
      </c>
      <c r="E788" s="1" t="s">
        <v>1504</v>
      </c>
      <c r="F788" s="1" t="s">
        <v>808</v>
      </c>
      <c r="G788" s="2">
        <v>45214</v>
      </c>
      <c r="H788" s="3">
        <v>0.74097222222222214</v>
      </c>
      <c r="I788" s="1">
        <v>-10.846306999999999</v>
      </c>
      <c r="J788" s="1">
        <v>19.201827999999999</v>
      </c>
      <c r="K788">
        <v>8</v>
      </c>
    </row>
    <row r="789" spans="1:11" hidden="1" x14ac:dyDescent="0.25">
      <c r="A789" s="1" t="s">
        <v>1366</v>
      </c>
      <c r="B789" s="1" t="s">
        <v>1695</v>
      </c>
      <c r="C789" s="1" t="s">
        <v>1368</v>
      </c>
      <c r="D789" s="1" t="s">
        <v>1695</v>
      </c>
      <c r="E789" s="1" t="s">
        <v>1695</v>
      </c>
      <c r="F789" s="1" t="s">
        <v>808</v>
      </c>
      <c r="G789" s="2">
        <v>45217</v>
      </c>
      <c r="H789" s="3">
        <v>0.29583333333333339</v>
      </c>
      <c r="I789" s="1" t="s">
        <v>1695</v>
      </c>
      <c r="J789" s="1" t="s">
        <v>1695</v>
      </c>
      <c r="K789">
        <v>119</v>
      </c>
    </row>
    <row r="790" spans="1:11" x14ac:dyDescent="0.25">
      <c r="A790" s="1" t="s">
        <v>1366</v>
      </c>
      <c r="B790" s="1" t="s">
        <v>16</v>
      </c>
      <c r="C790" s="1" t="s">
        <v>1251</v>
      </c>
      <c r="D790" s="1" t="s">
        <v>1506</v>
      </c>
      <c r="E790" s="1" t="s">
        <v>1509</v>
      </c>
      <c r="F790" s="1" t="s">
        <v>813</v>
      </c>
      <c r="G790" s="2">
        <v>45214</v>
      </c>
      <c r="H790" s="3">
        <v>0.16041666666666665</v>
      </c>
      <c r="I790" s="1">
        <v>-11.407966</v>
      </c>
      <c r="J790" s="1">
        <v>28.378274000000001</v>
      </c>
      <c r="K790">
        <v>108</v>
      </c>
    </row>
    <row r="791" spans="1:11" x14ac:dyDescent="0.25">
      <c r="A791" s="1" t="s">
        <v>1366</v>
      </c>
      <c r="B791" s="1" t="s">
        <v>62</v>
      </c>
      <c r="C791" s="1" t="s">
        <v>1369</v>
      </c>
      <c r="D791" s="1" t="s">
        <v>1503</v>
      </c>
      <c r="E791" s="1" t="s">
        <v>1507</v>
      </c>
      <c r="F791" s="1" t="s">
        <v>811</v>
      </c>
      <c r="G791" s="2">
        <v>45225</v>
      </c>
      <c r="H791" s="3">
        <v>0.17152777777777772</v>
      </c>
      <c r="I791" s="1">
        <v>1.2463919999999999</v>
      </c>
      <c r="J791" s="1">
        <v>13.266916999999999</v>
      </c>
      <c r="K791">
        <v>104</v>
      </c>
    </row>
    <row r="792" spans="1:11" x14ac:dyDescent="0.25">
      <c r="A792" s="1" t="s">
        <v>1366</v>
      </c>
      <c r="B792" s="1" t="s">
        <v>29</v>
      </c>
      <c r="C792" s="1" t="s">
        <v>1046</v>
      </c>
      <c r="D792" s="1" t="s">
        <v>1503</v>
      </c>
      <c r="E792" s="1" t="s">
        <v>1507</v>
      </c>
      <c r="F792" s="1" t="s">
        <v>808</v>
      </c>
      <c r="G792" s="2">
        <v>45200</v>
      </c>
      <c r="H792" s="3">
        <v>7.8472222222222276E-2</v>
      </c>
      <c r="I792" s="1">
        <v>-10.165072</v>
      </c>
      <c r="J792" s="1">
        <v>29.428024000000001</v>
      </c>
      <c r="K792">
        <v>40</v>
      </c>
    </row>
    <row r="793" spans="1:11" hidden="1" x14ac:dyDescent="0.25">
      <c r="A793" s="1" t="s">
        <v>1366</v>
      </c>
      <c r="B793" s="1" t="s">
        <v>1695</v>
      </c>
      <c r="C793" s="1" t="s">
        <v>1370</v>
      </c>
      <c r="D793" s="1" t="s">
        <v>1695</v>
      </c>
      <c r="E793" s="1" t="s">
        <v>1695</v>
      </c>
      <c r="F793" s="1" t="s">
        <v>813</v>
      </c>
      <c r="G793" s="2">
        <v>45224</v>
      </c>
      <c r="H793" s="3">
        <v>0.29722222222222228</v>
      </c>
      <c r="I793" s="1" t="s">
        <v>1695</v>
      </c>
      <c r="J793" s="1" t="s">
        <v>1695</v>
      </c>
      <c r="K793">
        <v>12</v>
      </c>
    </row>
    <row r="794" spans="1:11" x14ac:dyDescent="0.25">
      <c r="A794" s="1" t="s">
        <v>1366</v>
      </c>
      <c r="B794" s="1" t="s">
        <v>64</v>
      </c>
      <c r="C794" s="1" t="s">
        <v>1371</v>
      </c>
      <c r="D794" s="1" t="s">
        <v>1508</v>
      </c>
      <c r="E794" s="1" t="s">
        <v>1509</v>
      </c>
      <c r="F794" s="1" t="s">
        <v>808</v>
      </c>
      <c r="G794" s="2">
        <v>45206</v>
      </c>
      <c r="H794" s="3">
        <v>0.51597222222222228</v>
      </c>
      <c r="I794" s="1">
        <v>-10.227569000000001</v>
      </c>
      <c r="J794" s="1">
        <v>18.887930999999998</v>
      </c>
      <c r="K794">
        <v>108</v>
      </c>
    </row>
    <row r="795" spans="1:11" x14ac:dyDescent="0.25">
      <c r="A795" s="1" t="s">
        <v>1366</v>
      </c>
      <c r="B795" s="1" t="s">
        <v>37</v>
      </c>
      <c r="C795" s="1" t="s">
        <v>1372</v>
      </c>
      <c r="D795" s="1" t="s">
        <v>1506</v>
      </c>
      <c r="E795" s="1" t="s">
        <v>1504</v>
      </c>
      <c r="F795" s="1" t="s">
        <v>808</v>
      </c>
      <c r="G795" s="2">
        <v>45221</v>
      </c>
      <c r="H795" s="3">
        <v>0.86180555555555549</v>
      </c>
      <c r="I795" s="1">
        <v>-3.9148719999999999</v>
      </c>
      <c r="J795" s="1">
        <v>12.260933</v>
      </c>
      <c r="K795">
        <v>65</v>
      </c>
    </row>
    <row r="796" spans="1:11" x14ac:dyDescent="0.25">
      <c r="A796" s="1" t="s">
        <v>1366</v>
      </c>
      <c r="B796" s="1" t="s">
        <v>62</v>
      </c>
      <c r="C796" s="1" t="s">
        <v>1349</v>
      </c>
      <c r="D796" s="1" t="s">
        <v>1508</v>
      </c>
      <c r="E796" s="1" t="s">
        <v>1516</v>
      </c>
      <c r="F796" s="1" t="s">
        <v>808</v>
      </c>
      <c r="G796" s="2">
        <v>45202</v>
      </c>
      <c r="H796" s="3">
        <v>0.77569444444444446</v>
      </c>
      <c r="I796" s="1">
        <v>1.981107</v>
      </c>
      <c r="J796" s="1">
        <v>23.932569000000001</v>
      </c>
      <c r="K796">
        <v>72</v>
      </c>
    </row>
    <row r="797" spans="1:11" hidden="1" x14ac:dyDescent="0.25">
      <c r="A797" s="1" t="s">
        <v>1366</v>
      </c>
      <c r="B797" s="1" t="s">
        <v>1695</v>
      </c>
      <c r="C797" s="1" t="s">
        <v>1373</v>
      </c>
      <c r="D797" s="1" t="s">
        <v>1695</v>
      </c>
      <c r="E797" s="1" t="s">
        <v>1695</v>
      </c>
      <c r="F797" s="1" t="s">
        <v>811</v>
      </c>
      <c r="G797" s="2">
        <v>45208</v>
      </c>
      <c r="H797" s="3">
        <v>8.4027777777777812E-2</v>
      </c>
      <c r="I797" s="1" t="s">
        <v>1695</v>
      </c>
      <c r="J797" s="1" t="s">
        <v>1695</v>
      </c>
      <c r="K797">
        <v>50</v>
      </c>
    </row>
    <row r="798" spans="1:11" hidden="1" x14ac:dyDescent="0.25">
      <c r="A798" s="1" t="s">
        <v>1366</v>
      </c>
      <c r="B798" s="1" t="s">
        <v>1695</v>
      </c>
      <c r="C798" s="1" t="s">
        <v>946</v>
      </c>
      <c r="D798" s="1" t="s">
        <v>1695</v>
      </c>
      <c r="E798" s="1" t="s">
        <v>1695</v>
      </c>
      <c r="F798" s="1" t="s">
        <v>811</v>
      </c>
      <c r="G798" s="2">
        <v>45202</v>
      </c>
      <c r="H798" s="3">
        <v>0.2895833333333333</v>
      </c>
      <c r="I798" s="1" t="s">
        <v>1695</v>
      </c>
      <c r="J798" s="1" t="s">
        <v>1695</v>
      </c>
      <c r="K798">
        <v>103</v>
      </c>
    </row>
    <row r="799" spans="1:11" x14ac:dyDescent="0.25">
      <c r="A799" s="1" t="s">
        <v>1366</v>
      </c>
      <c r="B799" s="1" t="s">
        <v>21</v>
      </c>
      <c r="C799" s="1" t="s">
        <v>1360</v>
      </c>
      <c r="D799" s="1" t="s">
        <v>1508</v>
      </c>
      <c r="E799" s="1" t="s">
        <v>1507</v>
      </c>
      <c r="F799" s="1" t="s">
        <v>808</v>
      </c>
      <c r="G799" s="2">
        <v>45220</v>
      </c>
      <c r="H799" s="3">
        <v>0.61874999999999991</v>
      </c>
      <c r="I799" s="1">
        <v>-1.4700059999999999</v>
      </c>
      <c r="J799" s="1">
        <v>18.680958</v>
      </c>
      <c r="K799">
        <v>79</v>
      </c>
    </row>
    <row r="800" spans="1:11" x14ac:dyDescent="0.25">
      <c r="A800" s="1" t="s">
        <v>1366</v>
      </c>
      <c r="B800" s="1" t="s">
        <v>60</v>
      </c>
      <c r="C800" s="1" t="s">
        <v>1277</v>
      </c>
      <c r="D800" s="1" t="s">
        <v>1503</v>
      </c>
      <c r="E800" s="1" t="s">
        <v>1509</v>
      </c>
      <c r="F800" s="1" t="s">
        <v>808</v>
      </c>
      <c r="G800" s="2">
        <v>45204</v>
      </c>
      <c r="H800" s="3">
        <v>0.12291666666666656</v>
      </c>
      <c r="I800" s="1">
        <v>-6.1490739999999997</v>
      </c>
      <c r="J800" s="1">
        <v>23.304411000000002</v>
      </c>
      <c r="K800">
        <v>34</v>
      </c>
    </row>
    <row r="801" spans="1:11" hidden="1" x14ac:dyDescent="0.25">
      <c r="A801" s="1" t="s">
        <v>1366</v>
      </c>
      <c r="B801" s="1" t="s">
        <v>1695</v>
      </c>
      <c r="C801" s="1" t="s">
        <v>1344</v>
      </c>
      <c r="D801" s="1" t="s">
        <v>1695</v>
      </c>
      <c r="E801" s="1" t="s">
        <v>1695</v>
      </c>
      <c r="F801" s="1" t="s">
        <v>811</v>
      </c>
      <c r="G801" s="2">
        <v>45227</v>
      </c>
      <c r="H801" s="3">
        <v>0.42152777777777772</v>
      </c>
      <c r="I801" s="1" t="s">
        <v>1695</v>
      </c>
      <c r="J801" s="1" t="s">
        <v>1695</v>
      </c>
      <c r="K801">
        <v>25</v>
      </c>
    </row>
    <row r="802" spans="1:11" hidden="1" x14ac:dyDescent="0.25">
      <c r="A802" s="1" t="s">
        <v>1366</v>
      </c>
      <c r="B802" s="1" t="s">
        <v>1695</v>
      </c>
      <c r="C802" s="1" t="s">
        <v>1374</v>
      </c>
      <c r="D802" s="1" t="s">
        <v>1695</v>
      </c>
      <c r="E802" s="1" t="s">
        <v>1695</v>
      </c>
      <c r="F802" s="1" t="s">
        <v>813</v>
      </c>
      <c r="G802" s="2">
        <v>45201</v>
      </c>
      <c r="H802" s="3">
        <v>0.5854166666666667</v>
      </c>
      <c r="I802" s="1" t="s">
        <v>1695</v>
      </c>
      <c r="J802" s="1" t="s">
        <v>1695</v>
      </c>
      <c r="K802">
        <v>17</v>
      </c>
    </row>
    <row r="803" spans="1:11" x14ac:dyDescent="0.25">
      <c r="A803" s="1" t="s">
        <v>1366</v>
      </c>
      <c r="B803" s="1" t="s">
        <v>62</v>
      </c>
      <c r="C803" s="1" t="s">
        <v>1375</v>
      </c>
      <c r="D803" s="1" t="s">
        <v>1508</v>
      </c>
      <c r="E803" s="1" t="s">
        <v>1504</v>
      </c>
      <c r="F803" s="1" t="s">
        <v>808</v>
      </c>
      <c r="G803" s="2">
        <v>45205</v>
      </c>
      <c r="H803" s="3">
        <v>0.76875000000000004</v>
      </c>
      <c r="I803" s="1">
        <v>-0.469945</v>
      </c>
      <c r="J803" s="1">
        <v>21.038527999999999</v>
      </c>
      <c r="K803">
        <v>36</v>
      </c>
    </row>
    <row r="804" spans="1:11" hidden="1" x14ac:dyDescent="0.25">
      <c r="A804" s="1" t="s">
        <v>1366</v>
      </c>
      <c r="B804" s="1" t="s">
        <v>1695</v>
      </c>
      <c r="C804" s="1" t="s">
        <v>994</v>
      </c>
      <c r="D804" s="1" t="s">
        <v>1695</v>
      </c>
      <c r="E804" s="1" t="s">
        <v>1695</v>
      </c>
      <c r="F804" s="1" t="s">
        <v>813</v>
      </c>
      <c r="G804" s="2">
        <v>45226</v>
      </c>
      <c r="H804" s="3">
        <v>0.97569444444444442</v>
      </c>
      <c r="I804" s="1" t="s">
        <v>1695</v>
      </c>
      <c r="J804" s="1" t="s">
        <v>1695</v>
      </c>
      <c r="K804">
        <v>89</v>
      </c>
    </row>
    <row r="805" spans="1:11" hidden="1" x14ac:dyDescent="0.25">
      <c r="A805" s="1" t="s">
        <v>1366</v>
      </c>
      <c r="B805" s="1" t="s">
        <v>1695</v>
      </c>
      <c r="C805" s="1" t="s">
        <v>1376</v>
      </c>
      <c r="D805" s="1" t="s">
        <v>1695</v>
      </c>
      <c r="E805" s="1" t="s">
        <v>1695</v>
      </c>
      <c r="F805" s="1" t="s">
        <v>811</v>
      </c>
      <c r="G805" s="2">
        <v>45215</v>
      </c>
      <c r="H805" s="3">
        <v>1.6666666666666607E-2</v>
      </c>
      <c r="I805" s="1" t="s">
        <v>1695</v>
      </c>
      <c r="J805" s="1" t="s">
        <v>1695</v>
      </c>
      <c r="K805">
        <v>35</v>
      </c>
    </row>
    <row r="806" spans="1:11" hidden="1" x14ac:dyDescent="0.25">
      <c r="A806" s="1" t="s">
        <v>1366</v>
      </c>
      <c r="B806" s="1" t="s">
        <v>1695</v>
      </c>
      <c r="C806" s="1" t="s">
        <v>1377</v>
      </c>
      <c r="D806" s="1" t="s">
        <v>1695</v>
      </c>
      <c r="E806" s="1" t="s">
        <v>1695</v>
      </c>
      <c r="F806" s="1" t="s">
        <v>811</v>
      </c>
      <c r="G806" s="2">
        <v>45221</v>
      </c>
      <c r="H806" s="3">
        <v>0.54930555555555549</v>
      </c>
      <c r="I806" s="1" t="s">
        <v>1695</v>
      </c>
      <c r="J806" s="1" t="s">
        <v>1695</v>
      </c>
      <c r="K806">
        <v>39</v>
      </c>
    </row>
    <row r="807" spans="1:11" hidden="1" x14ac:dyDescent="0.25">
      <c r="A807" s="1" t="s">
        <v>1366</v>
      </c>
      <c r="B807" s="1" t="s">
        <v>1695</v>
      </c>
      <c r="C807" s="1" t="s">
        <v>1378</v>
      </c>
      <c r="D807" s="1" t="s">
        <v>1695</v>
      </c>
      <c r="E807" s="1" t="s">
        <v>1695</v>
      </c>
      <c r="F807" s="1" t="s">
        <v>813</v>
      </c>
      <c r="G807" s="2">
        <v>45211</v>
      </c>
      <c r="H807" s="3">
        <v>0.29027777777777786</v>
      </c>
      <c r="I807" s="1" t="s">
        <v>1695</v>
      </c>
      <c r="J807" s="1" t="s">
        <v>1695</v>
      </c>
      <c r="K807">
        <v>73</v>
      </c>
    </row>
    <row r="808" spans="1:11" x14ac:dyDescent="0.25">
      <c r="A808" s="1" t="s">
        <v>1366</v>
      </c>
      <c r="B808" s="1" t="s">
        <v>67</v>
      </c>
      <c r="C808" s="1" t="s">
        <v>981</v>
      </c>
      <c r="D808" s="1" t="s">
        <v>1508</v>
      </c>
      <c r="E808" s="1" t="s">
        <v>1509</v>
      </c>
      <c r="F808" s="1" t="s">
        <v>811</v>
      </c>
      <c r="G808" s="2">
        <v>45205</v>
      </c>
      <c r="H808" s="3">
        <v>0.34513888888888888</v>
      </c>
      <c r="I808" s="1">
        <v>-2.2681789999999999</v>
      </c>
      <c r="J808" s="1">
        <v>25.699068</v>
      </c>
      <c r="K808">
        <v>109</v>
      </c>
    </row>
    <row r="809" spans="1:11" x14ac:dyDescent="0.25">
      <c r="A809" s="1" t="s">
        <v>1366</v>
      </c>
      <c r="B809" s="1" t="s">
        <v>21</v>
      </c>
      <c r="C809" s="1" t="s">
        <v>1379</v>
      </c>
      <c r="D809" s="1" t="s">
        <v>1503</v>
      </c>
      <c r="E809" s="1" t="s">
        <v>1504</v>
      </c>
      <c r="F809" s="1" t="s">
        <v>808</v>
      </c>
      <c r="G809" s="2">
        <v>45214</v>
      </c>
      <c r="H809" s="3">
        <v>0.16805555555555562</v>
      </c>
      <c r="I809" s="1">
        <v>-11.207139</v>
      </c>
      <c r="J809" s="1">
        <v>18.702511999999999</v>
      </c>
      <c r="K809">
        <v>106</v>
      </c>
    </row>
    <row r="810" spans="1:11" hidden="1" x14ac:dyDescent="0.25">
      <c r="A810" s="1" t="s">
        <v>1366</v>
      </c>
      <c r="B810" s="1" t="s">
        <v>1695</v>
      </c>
      <c r="C810" s="1" t="s">
        <v>990</v>
      </c>
      <c r="D810" s="1" t="s">
        <v>1695</v>
      </c>
      <c r="E810" s="1" t="s">
        <v>1695</v>
      </c>
      <c r="F810" s="1" t="s">
        <v>813</v>
      </c>
      <c r="G810" s="2">
        <v>45219</v>
      </c>
      <c r="H810" s="3">
        <v>0.81875000000000009</v>
      </c>
      <c r="I810" s="1" t="s">
        <v>1695</v>
      </c>
      <c r="J810" s="1" t="s">
        <v>1695</v>
      </c>
      <c r="K810">
        <v>99</v>
      </c>
    </row>
    <row r="811" spans="1:11" hidden="1" x14ac:dyDescent="0.25">
      <c r="A811" s="1" t="s">
        <v>1366</v>
      </c>
      <c r="B811" s="1" t="s">
        <v>1695</v>
      </c>
      <c r="C811" s="1" t="s">
        <v>1025</v>
      </c>
      <c r="D811" s="1" t="s">
        <v>1695</v>
      </c>
      <c r="E811" s="1" t="s">
        <v>1695</v>
      </c>
      <c r="F811" s="1" t="s">
        <v>813</v>
      </c>
      <c r="G811" s="2">
        <v>45207</v>
      </c>
      <c r="H811" s="3">
        <v>0.84583333333333344</v>
      </c>
      <c r="I811" s="1" t="s">
        <v>1695</v>
      </c>
      <c r="J811" s="1" t="s">
        <v>1695</v>
      </c>
      <c r="K811">
        <v>12</v>
      </c>
    </row>
    <row r="812" spans="1:11" x14ac:dyDescent="0.25">
      <c r="A812" s="1" t="s">
        <v>1366</v>
      </c>
      <c r="B812" s="1" t="s">
        <v>73</v>
      </c>
      <c r="C812" s="1" t="s">
        <v>1038</v>
      </c>
      <c r="D812" s="1" t="s">
        <v>1503</v>
      </c>
      <c r="E812" s="1" t="s">
        <v>1504</v>
      </c>
      <c r="F812" s="1" t="s">
        <v>813</v>
      </c>
      <c r="G812" s="2">
        <v>45215</v>
      </c>
      <c r="H812" s="3">
        <v>0.58055555555555549</v>
      </c>
      <c r="I812" s="1">
        <v>2.4425979999999998</v>
      </c>
      <c r="J812" s="1">
        <v>24.924308</v>
      </c>
      <c r="K812">
        <v>102</v>
      </c>
    </row>
    <row r="813" spans="1:11" x14ac:dyDescent="0.25">
      <c r="A813" s="1" t="s">
        <v>1366</v>
      </c>
      <c r="B813" s="1" t="s">
        <v>127</v>
      </c>
      <c r="C813" s="1" t="s">
        <v>957</v>
      </c>
      <c r="D813" s="1" t="s">
        <v>1508</v>
      </c>
      <c r="E813" s="1" t="s">
        <v>1507</v>
      </c>
      <c r="F813" s="1" t="s">
        <v>808</v>
      </c>
      <c r="G813" s="2">
        <v>45217</v>
      </c>
      <c r="H813" s="3">
        <v>0.62708333333333344</v>
      </c>
      <c r="I813" s="1">
        <v>-1.8045979999999999</v>
      </c>
      <c r="J813" s="1">
        <v>12.511096999999999</v>
      </c>
      <c r="K813">
        <v>33</v>
      </c>
    </row>
    <row r="814" spans="1:11" x14ac:dyDescent="0.25">
      <c r="A814" s="1" t="s">
        <v>1366</v>
      </c>
      <c r="B814" s="1" t="s">
        <v>16</v>
      </c>
      <c r="C814" s="1" t="s">
        <v>1380</v>
      </c>
      <c r="D814" s="1" t="s">
        <v>1508</v>
      </c>
      <c r="E814" s="1" t="s">
        <v>1507</v>
      </c>
      <c r="F814" s="1" t="s">
        <v>808</v>
      </c>
      <c r="G814" s="2">
        <v>45202</v>
      </c>
      <c r="H814" s="3">
        <v>0.35000000000000009</v>
      </c>
      <c r="I814" s="1">
        <v>4.0988100000000003</v>
      </c>
      <c r="J814" s="1">
        <v>29.843810999999999</v>
      </c>
      <c r="K814">
        <v>78</v>
      </c>
    </row>
    <row r="815" spans="1:11" x14ac:dyDescent="0.25">
      <c r="A815" s="1" t="s">
        <v>1366</v>
      </c>
      <c r="B815" s="1" t="s">
        <v>62</v>
      </c>
      <c r="C815" s="1" t="s">
        <v>1032</v>
      </c>
      <c r="D815" s="1" t="s">
        <v>1506</v>
      </c>
      <c r="E815" s="1" t="s">
        <v>1507</v>
      </c>
      <c r="F815" s="1" t="s">
        <v>811</v>
      </c>
      <c r="G815" s="2">
        <v>45204</v>
      </c>
      <c r="H815" s="3">
        <v>0.55000000000000004</v>
      </c>
      <c r="I815" s="1">
        <v>2.975352</v>
      </c>
      <c r="J815" s="1">
        <v>22.535886000000001</v>
      </c>
      <c r="K815">
        <v>113</v>
      </c>
    </row>
    <row r="816" spans="1:11" x14ac:dyDescent="0.25">
      <c r="A816" s="1" t="s">
        <v>1366</v>
      </c>
      <c r="B816" s="1" t="s">
        <v>73</v>
      </c>
      <c r="C816" s="1" t="s">
        <v>1381</v>
      </c>
      <c r="D816" s="1" t="s">
        <v>1506</v>
      </c>
      <c r="E816" s="1" t="s">
        <v>1509</v>
      </c>
      <c r="F816" s="1" t="s">
        <v>813</v>
      </c>
      <c r="G816" s="2">
        <v>45220</v>
      </c>
      <c r="H816" s="3">
        <v>0.67708333333333326</v>
      </c>
      <c r="I816" s="1">
        <v>-6.4670189999999996</v>
      </c>
      <c r="J816" s="1">
        <v>29.487309</v>
      </c>
      <c r="K816">
        <v>107</v>
      </c>
    </row>
    <row r="817" spans="1:11" x14ac:dyDescent="0.25">
      <c r="A817" s="1" t="s">
        <v>1366</v>
      </c>
      <c r="B817" s="1" t="s">
        <v>131</v>
      </c>
      <c r="C817" s="1" t="s">
        <v>1197</v>
      </c>
      <c r="D817" s="1" t="s">
        <v>1503</v>
      </c>
      <c r="E817" s="1" t="s">
        <v>1504</v>
      </c>
      <c r="F817" s="1" t="s">
        <v>811</v>
      </c>
      <c r="G817" s="2">
        <v>45220</v>
      </c>
      <c r="H817" s="3">
        <v>0.74305555555555558</v>
      </c>
      <c r="I817" s="1">
        <v>-5.42171</v>
      </c>
      <c r="J817" s="1">
        <v>24.202960999999998</v>
      </c>
      <c r="K817">
        <v>54</v>
      </c>
    </row>
    <row r="818" spans="1:11" x14ac:dyDescent="0.25">
      <c r="A818" s="1" t="s">
        <v>1366</v>
      </c>
      <c r="B818" s="1" t="s">
        <v>13</v>
      </c>
      <c r="C818" s="1" t="s">
        <v>1382</v>
      </c>
      <c r="D818" s="1" t="s">
        <v>1508</v>
      </c>
      <c r="E818" s="1" t="s">
        <v>1504</v>
      </c>
      <c r="F818" s="1" t="s">
        <v>813</v>
      </c>
      <c r="G818" s="2">
        <v>45200</v>
      </c>
      <c r="H818" s="3">
        <v>0.53472222222222232</v>
      </c>
      <c r="I818" s="1">
        <v>-7.7587710000000003</v>
      </c>
      <c r="J818" s="1">
        <v>17.880848</v>
      </c>
      <c r="K818">
        <v>50</v>
      </c>
    </row>
    <row r="819" spans="1:11" x14ac:dyDescent="0.25">
      <c r="A819" s="1" t="s">
        <v>1366</v>
      </c>
      <c r="B819" s="1" t="s">
        <v>127</v>
      </c>
      <c r="C819" s="1" t="s">
        <v>1383</v>
      </c>
      <c r="D819" s="1" t="s">
        <v>1503</v>
      </c>
      <c r="E819" s="1" t="s">
        <v>1516</v>
      </c>
      <c r="F819" s="1" t="s">
        <v>811</v>
      </c>
      <c r="G819" s="2">
        <v>45222</v>
      </c>
      <c r="H819" s="3">
        <v>0.47916666666666674</v>
      </c>
      <c r="I819" s="1">
        <v>-8.8118569999999998</v>
      </c>
      <c r="J819" s="1">
        <v>14.465711000000001</v>
      </c>
      <c r="K819">
        <v>112</v>
      </c>
    </row>
    <row r="820" spans="1:11" hidden="1" x14ac:dyDescent="0.25">
      <c r="A820" s="1" t="s">
        <v>1366</v>
      </c>
      <c r="B820" s="1" t="s">
        <v>1695</v>
      </c>
      <c r="C820" s="1" t="s">
        <v>1384</v>
      </c>
      <c r="D820" s="1" t="s">
        <v>1695</v>
      </c>
      <c r="E820" s="1" t="s">
        <v>1695</v>
      </c>
      <c r="F820" s="1" t="s">
        <v>813</v>
      </c>
      <c r="G820" s="2">
        <v>45217</v>
      </c>
      <c r="H820" s="3">
        <v>0.64027777777777772</v>
      </c>
      <c r="I820" s="1" t="s">
        <v>1695</v>
      </c>
      <c r="J820" s="1" t="s">
        <v>1695</v>
      </c>
      <c r="K820">
        <v>113</v>
      </c>
    </row>
    <row r="821" spans="1:11" hidden="1" x14ac:dyDescent="0.25">
      <c r="A821" s="1" t="s">
        <v>1366</v>
      </c>
      <c r="B821" s="1" t="s">
        <v>1695</v>
      </c>
      <c r="C821" s="1" t="s">
        <v>1259</v>
      </c>
      <c r="D821" s="1" t="s">
        <v>1695</v>
      </c>
      <c r="E821" s="1" t="s">
        <v>1695</v>
      </c>
      <c r="F821" s="1" t="s">
        <v>808</v>
      </c>
      <c r="G821" s="2">
        <v>45229</v>
      </c>
      <c r="H821" s="3">
        <v>0.77222222222222214</v>
      </c>
      <c r="I821" s="1" t="s">
        <v>1695</v>
      </c>
      <c r="J821" s="1" t="s">
        <v>1695</v>
      </c>
      <c r="K821">
        <v>27</v>
      </c>
    </row>
    <row r="822" spans="1:11" hidden="1" x14ac:dyDescent="0.25">
      <c r="A822" s="1" t="s">
        <v>1366</v>
      </c>
      <c r="B822" s="1" t="s">
        <v>1695</v>
      </c>
      <c r="C822" s="1" t="s">
        <v>1385</v>
      </c>
      <c r="D822" s="1" t="s">
        <v>1695</v>
      </c>
      <c r="E822" s="1" t="s">
        <v>1695</v>
      </c>
      <c r="F822" s="1" t="s">
        <v>811</v>
      </c>
      <c r="G822" s="2">
        <v>45210</v>
      </c>
      <c r="H822" s="3">
        <v>0.51180555555555562</v>
      </c>
      <c r="I822" s="1" t="s">
        <v>1695</v>
      </c>
      <c r="J822" s="1" t="s">
        <v>1695</v>
      </c>
      <c r="K822">
        <v>27</v>
      </c>
    </row>
    <row r="823" spans="1:11" x14ac:dyDescent="0.25">
      <c r="A823" s="1" t="s">
        <v>1366</v>
      </c>
      <c r="B823" s="1" t="s">
        <v>89</v>
      </c>
      <c r="C823" s="1" t="s">
        <v>838</v>
      </c>
      <c r="D823" s="1" t="s">
        <v>1506</v>
      </c>
      <c r="E823" s="1" t="s">
        <v>1509</v>
      </c>
      <c r="F823" s="1" t="s">
        <v>811</v>
      </c>
      <c r="G823" s="2">
        <v>45205</v>
      </c>
      <c r="H823" s="3">
        <v>1.388888888888884E-2</v>
      </c>
      <c r="I823" s="1">
        <v>-8.1437910000000002</v>
      </c>
      <c r="J823" s="1">
        <v>28.946161</v>
      </c>
      <c r="K823">
        <v>35</v>
      </c>
    </row>
    <row r="824" spans="1:11" x14ac:dyDescent="0.25">
      <c r="A824" s="1" t="s">
        <v>1386</v>
      </c>
      <c r="B824" s="1" t="s">
        <v>35</v>
      </c>
      <c r="C824" s="1" t="s">
        <v>1387</v>
      </c>
      <c r="D824" s="1" t="s">
        <v>1506</v>
      </c>
      <c r="E824" s="1" t="s">
        <v>1504</v>
      </c>
      <c r="F824" s="1" t="s">
        <v>811</v>
      </c>
      <c r="G824" s="2">
        <v>45226</v>
      </c>
      <c r="H824" s="3">
        <v>0.22500000000000009</v>
      </c>
      <c r="I824" s="1">
        <v>-0.157111</v>
      </c>
      <c r="J824" s="1">
        <v>25.415125</v>
      </c>
      <c r="K824">
        <v>11</v>
      </c>
    </row>
    <row r="825" spans="1:11" x14ac:dyDescent="0.25">
      <c r="A825" s="1" t="s">
        <v>1386</v>
      </c>
      <c r="B825" s="1" t="s">
        <v>60</v>
      </c>
      <c r="C825" s="1" t="s">
        <v>1277</v>
      </c>
      <c r="D825" s="1" t="s">
        <v>1503</v>
      </c>
      <c r="E825" s="1" t="s">
        <v>1509</v>
      </c>
      <c r="F825" s="1" t="s">
        <v>811</v>
      </c>
      <c r="G825" s="2">
        <v>45209</v>
      </c>
      <c r="H825" s="3">
        <v>0.98888888888888893</v>
      </c>
      <c r="I825" s="1">
        <v>-6.1490739999999997</v>
      </c>
      <c r="J825" s="1">
        <v>23.304411000000002</v>
      </c>
      <c r="K825">
        <v>51</v>
      </c>
    </row>
    <row r="826" spans="1:11" hidden="1" x14ac:dyDescent="0.25">
      <c r="A826" s="1" t="s">
        <v>1386</v>
      </c>
      <c r="B826" s="1" t="s">
        <v>1695</v>
      </c>
      <c r="C826" s="1" t="s">
        <v>1361</v>
      </c>
      <c r="D826" s="1" t="s">
        <v>1695</v>
      </c>
      <c r="E826" s="1" t="s">
        <v>1695</v>
      </c>
      <c r="F826" s="1" t="s">
        <v>808</v>
      </c>
      <c r="G826" s="2">
        <v>45209</v>
      </c>
      <c r="H826" s="3">
        <v>0.17430555555555549</v>
      </c>
      <c r="I826" s="1" t="s">
        <v>1695</v>
      </c>
      <c r="J826" s="1" t="s">
        <v>1695</v>
      </c>
      <c r="K826">
        <v>5</v>
      </c>
    </row>
    <row r="827" spans="1:11" hidden="1" x14ac:dyDescent="0.25">
      <c r="A827" s="1" t="s">
        <v>1386</v>
      </c>
      <c r="B827" s="1" t="s">
        <v>1695</v>
      </c>
      <c r="C827" s="1" t="s">
        <v>1388</v>
      </c>
      <c r="D827" s="1" t="s">
        <v>1695</v>
      </c>
      <c r="E827" s="1" t="s">
        <v>1695</v>
      </c>
      <c r="F827" s="1" t="s">
        <v>808</v>
      </c>
      <c r="G827" s="2">
        <v>45223</v>
      </c>
      <c r="H827" s="3">
        <v>3.0555555555555447E-2</v>
      </c>
      <c r="I827" s="1" t="s">
        <v>1695</v>
      </c>
      <c r="J827" s="1" t="s">
        <v>1695</v>
      </c>
      <c r="K827">
        <v>59</v>
      </c>
    </row>
    <row r="828" spans="1:11" hidden="1" x14ac:dyDescent="0.25">
      <c r="A828" s="1" t="s">
        <v>1386</v>
      </c>
      <c r="B828" s="1" t="s">
        <v>1695</v>
      </c>
      <c r="C828" s="1" t="s">
        <v>1389</v>
      </c>
      <c r="D828" s="1" t="s">
        <v>1695</v>
      </c>
      <c r="E828" s="1" t="s">
        <v>1695</v>
      </c>
      <c r="F828" s="1" t="s">
        <v>813</v>
      </c>
      <c r="G828" s="2">
        <v>45230</v>
      </c>
      <c r="H828" s="3">
        <v>0.76736111111111116</v>
      </c>
      <c r="I828" s="1" t="s">
        <v>1695</v>
      </c>
      <c r="J828" s="1" t="s">
        <v>1695</v>
      </c>
      <c r="K828">
        <v>16</v>
      </c>
    </row>
    <row r="829" spans="1:11" x14ac:dyDescent="0.25">
      <c r="A829" s="1" t="s">
        <v>1386</v>
      </c>
      <c r="B829" s="1" t="s">
        <v>31</v>
      </c>
      <c r="C829" s="1" t="s">
        <v>1266</v>
      </c>
      <c r="D829" s="1" t="s">
        <v>1508</v>
      </c>
      <c r="E829" s="1" t="s">
        <v>1516</v>
      </c>
      <c r="F829" s="1" t="s">
        <v>808</v>
      </c>
      <c r="G829" s="2">
        <v>45227</v>
      </c>
      <c r="H829" s="3">
        <v>0.75138888888888888</v>
      </c>
      <c r="I829" s="1">
        <v>-12.050063</v>
      </c>
      <c r="J829" s="1">
        <v>26.636987999999999</v>
      </c>
      <c r="K829">
        <v>42</v>
      </c>
    </row>
    <row r="830" spans="1:11" hidden="1" x14ac:dyDescent="0.25">
      <c r="A830" s="1" t="s">
        <v>1386</v>
      </c>
      <c r="B830" s="1" t="s">
        <v>1695</v>
      </c>
      <c r="C830" s="1" t="s">
        <v>1390</v>
      </c>
      <c r="D830" s="1" t="s">
        <v>1695</v>
      </c>
      <c r="E830" s="1" t="s">
        <v>1695</v>
      </c>
      <c r="F830" s="1" t="s">
        <v>808</v>
      </c>
      <c r="G830" s="2">
        <v>45205</v>
      </c>
      <c r="H830" s="3">
        <v>0.80555555555555558</v>
      </c>
      <c r="I830" s="1" t="s">
        <v>1695</v>
      </c>
      <c r="J830" s="1" t="s">
        <v>1695</v>
      </c>
      <c r="K830">
        <v>110</v>
      </c>
    </row>
    <row r="831" spans="1:11" hidden="1" x14ac:dyDescent="0.25">
      <c r="A831" s="1" t="s">
        <v>1386</v>
      </c>
      <c r="B831" s="1" t="s">
        <v>1695</v>
      </c>
      <c r="C831" s="1" t="s">
        <v>1022</v>
      </c>
      <c r="D831" s="1" t="s">
        <v>1695</v>
      </c>
      <c r="E831" s="1" t="s">
        <v>1695</v>
      </c>
      <c r="F831" s="1" t="s">
        <v>808</v>
      </c>
      <c r="G831" s="2">
        <v>45229</v>
      </c>
      <c r="H831" s="3">
        <v>0.80138888888888893</v>
      </c>
      <c r="I831" s="1" t="s">
        <v>1695</v>
      </c>
      <c r="J831" s="1" t="s">
        <v>1695</v>
      </c>
      <c r="K831">
        <v>89</v>
      </c>
    </row>
    <row r="832" spans="1:11" x14ac:dyDescent="0.25">
      <c r="A832" s="1" t="s">
        <v>1386</v>
      </c>
      <c r="B832" s="1" t="s">
        <v>137</v>
      </c>
      <c r="C832" s="1" t="s">
        <v>948</v>
      </c>
      <c r="D832" s="1" t="s">
        <v>1506</v>
      </c>
      <c r="E832" s="1" t="s">
        <v>1504</v>
      </c>
      <c r="F832" s="1" t="s">
        <v>808</v>
      </c>
      <c r="G832" s="2">
        <v>45220</v>
      </c>
      <c r="H832" s="3">
        <v>0.75416666666666665</v>
      </c>
      <c r="I832" s="1">
        <v>-9.7803979999999999</v>
      </c>
      <c r="J832" s="1">
        <v>17.686595000000001</v>
      </c>
      <c r="K832">
        <v>85</v>
      </c>
    </row>
    <row r="833" spans="1:11" x14ac:dyDescent="0.25">
      <c r="A833" s="1" t="s">
        <v>1386</v>
      </c>
      <c r="B833" s="1" t="s">
        <v>13</v>
      </c>
      <c r="C833" s="1" t="s">
        <v>1391</v>
      </c>
      <c r="D833" s="1" t="s">
        <v>1503</v>
      </c>
      <c r="E833" s="1" t="s">
        <v>1504</v>
      </c>
      <c r="F833" s="1" t="s">
        <v>808</v>
      </c>
      <c r="G833" s="2">
        <v>45229</v>
      </c>
      <c r="H833" s="3">
        <v>0.63125000000000009</v>
      </c>
      <c r="I833" s="1">
        <v>-10.574821</v>
      </c>
      <c r="J833" s="1">
        <v>25.324966</v>
      </c>
      <c r="K833">
        <v>81</v>
      </c>
    </row>
    <row r="834" spans="1:11" x14ac:dyDescent="0.25">
      <c r="A834" s="1" t="s">
        <v>1386</v>
      </c>
      <c r="B834" s="1" t="s">
        <v>64</v>
      </c>
      <c r="C834" s="1" t="s">
        <v>973</v>
      </c>
      <c r="D834" s="1" t="s">
        <v>1503</v>
      </c>
      <c r="E834" s="1" t="s">
        <v>1509</v>
      </c>
      <c r="F834" s="1" t="s">
        <v>808</v>
      </c>
      <c r="G834" s="2">
        <v>45210</v>
      </c>
      <c r="H834" s="3">
        <v>0.96111111111111103</v>
      </c>
      <c r="I834" s="1">
        <v>-11.991020000000001</v>
      </c>
      <c r="J834" s="1">
        <v>22.514747</v>
      </c>
      <c r="K834">
        <v>66</v>
      </c>
    </row>
    <row r="835" spans="1:11" hidden="1" x14ac:dyDescent="0.25">
      <c r="A835" s="1" t="s">
        <v>1386</v>
      </c>
      <c r="B835" s="1" t="s">
        <v>1695</v>
      </c>
      <c r="C835" s="1" t="s">
        <v>1392</v>
      </c>
      <c r="D835" s="1" t="s">
        <v>1695</v>
      </c>
      <c r="E835" s="1" t="s">
        <v>1695</v>
      </c>
      <c r="F835" s="1" t="s">
        <v>813</v>
      </c>
      <c r="G835" s="2">
        <v>45207</v>
      </c>
      <c r="H835" s="3">
        <v>0.47222222222222232</v>
      </c>
      <c r="I835" s="1" t="s">
        <v>1695</v>
      </c>
      <c r="J835" s="1" t="s">
        <v>1695</v>
      </c>
      <c r="K835">
        <v>30</v>
      </c>
    </row>
    <row r="836" spans="1:11" hidden="1" x14ac:dyDescent="0.25">
      <c r="A836" s="1" t="s">
        <v>1386</v>
      </c>
      <c r="B836" s="1" t="s">
        <v>1695</v>
      </c>
      <c r="C836" s="1" t="s">
        <v>1393</v>
      </c>
      <c r="D836" s="1" t="s">
        <v>1695</v>
      </c>
      <c r="E836" s="1" t="s">
        <v>1695</v>
      </c>
      <c r="F836" s="1" t="s">
        <v>808</v>
      </c>
      <c r="G836" s="2">
        <v>45205</v>
      </c>
      <c r="H836" s="3">
        <v>0.87222222222222223</v>
      </c>
      <c r="I836" s="1" t="s">
        <v>1695</v>
      </c>
      <c r="J836" s="1" t="s">
        <v>1695</v>
      </c>
      <c r="K836">
        <v>17</v>
      </c>
    </row>
    <row r="837" spans="1:11" x14ac:dyDescent="0.25">
      <c r="A837" s="1" t="s">
        <v>1386</v>
      </c>
      <c r="B837" s="1" t="s">
        <v>137</v>
      </c>
      <c r="C837" s="1" t="s">
        <v>992</v>
      </c>
      <c r="D837" s="1" t="s">
        <v>1508</v>
      </c>
      <c r="E837" s="1" t="s">
        <v>1504</v>
      </c>
      <c r="F837" s="1" t="s">
        <v>811</v>
      </c>
      <c r="G837" s="2">
        <v>45230</v>
      </c>
      <c r="H837" s="3">
        <v>0.11944444444444446</v>
      </c>
      <c r="I837" s="1">
        <v>-9.5243310000000001</v>
      </c>
      <c r="J837" s="1">
        <v>30.541212000000002</v>
      </c>
      <c r="K837">
        <v>8</v>
      </c>
    </row>
    <row r="838" spans="1:11" x14ac:dyDescent="0.25">
      <c r="A838" s="1" t="s">
        <v>1386</v>
      </c>
      <c r="B838" s="1" t="s">
        <v>35</v>
      </c>
      <c r="C838" s="1" t="s">
        <v>1043</v>
      </c>
      <c r="D838" s="1" t="s">
        <v>1508</v>
      </c>
      <c r="E838" s="1" t="s">
        <v>1504</v>
      </c>
      <c r="F838" s="1" t="s">
        <v>813</v>
      </c>
      <c r="G838" s="2">
        <v>45222</v>
      </c>
      <c r="H838" s="3">
        <v>0.90277777777777768</v>
      </c>
      <c r="I838" s="1">
        <v>-7.5969509999999998</v>
      </c>
      <c r="J838" s="1">
        <v>22.153986</v>
      </c>
      <c r="K838">
        <v>31</v>
      </c>
    </row>
    <row r="839" spans="1:11" x14ac:dyDescent="0.25">
      <c r="A839" s="1" t="s">
        <v>1386</v>
      </c>
      <c r="B839" s="1" t="s">
        <v>26</v>
      </c>
      <c r="C839" s="1" t="s">
        <v>998</v>
      </c>
      <c r="D839" s="1" t="s">
        <v>1508</v>
      </c>
      <c r="E839" s="1" t="s">
        <v>1507</v>
      </c>
      <c r="F839" s="1" t="s">
        <v>808</v>
      </c>
      <c r="G839" s="2">
        <v>45223</v>
      </c>
      <c r="H839" s="3">
        <v>0.43611111111111112</v>
      </c>
      <c r="I839" s="1">
        <v>1.5278670000000001</v>
      </c>
      <c r="J839" s="1">
        <v>13.899388999999999</v>
      </c>
      <c r="K839">
        <v>26</v>
      </c>
    </row>
    <row r="840" spans="1:11" x14ac:dyDescent="0.25">
      <c r="A840" s="1" t="s">
        <v>1386</v>
      </c>
      <c r="B840" s="1" t="s">
        <v>18</v>
      </c>
      <c r="C840" s="1" t="s">
        <v>1090</v>
      </c>
      <c r="D840" s="1" t="s">
        <v>1506</v>
      </c>
      <c r="E840" s="1" t="s">
        <v>1507</v>
      </c>
      <c r="F840" s="1" t="s">
        <v>811</v>
      </c>
      <c r="G840" s="2">
        <v>45200</v>
      </c>
      <c r="H840" s="3">
        <v>0.34236111111111112</v>
      </c>
      <c r="I840" s="1">
        <v>2.628638</v>
      </c>
      <c r="J840" s="1">
        <v>28.420582</v>
      </c>
      <c r="K840">
        <v>86</v>
      </c>
    </row>
    <row r="841" spans="1:11" hidden="1" x14ac:dyDescent="0.25">
      <c r="A841" s="1" t="s">
        <v>1386</v>
      </c>
      <c r="B841" s="1" t="s">
        <v>1695</v>
      </c>
      <c r="C841" s="1" t="s">
        <v>1394</v>
      </c>
      <c r="D841" s="1" t="s">
        <v>1695</v>
      </c>
      <c r="E841" s="1" t="s">
        <v>1695</v>
      </c>
      <c r="F841" s="1" t="s">
        <v>808</v>
      </c>
      <c r="G841" s="2">
        <v>45207</v>
      </c>
      <c r="H841" s="3">
        <v>0.91944444444444451</v>
      </c>
      <c r="I841" s="1" t="s">
        <v>1695</v>
      </c>
      <c r="J841" s="1" t="s">
        <v>1695</v>
      </c>
      <c r="K841">
        <v>42</v>
      </c>
    </row>
    <row r="842" spans="1:11" hidden="1" x14ac:dyDescent="0.25">
      <c r="A842" s="1" t="s">
        <v>1386</v>
      </c>
      <c r="B842" s="1" t="s">
        <v>1695</v>
      </c>
      <c r="C842" s="1" t="s">
        <v>972</v>
      </c>
      <c r="D842" s="1" t="s">
        <v>1695</v>
      </c>
      <c r="E842" s="1" t="s">
        <v>1695</v>
      </c>
      <c r="F842" s="1" t="s">
        <v>811</v>
      </c>
      <c r="G842" s="2">
        <v>45211</v>
      </c>
      <c r="H842" s="3">
        <v>0.36805555555555558</v>
      </c>
      <c r="I842" s="1" t="s">
        <v>1695</v>
      </c>
      <c r="J842" s="1" t="s">
        <v>1695</v>
      </c>
      <c r="K842">
        <v>15</v>
      </c>
    </row>
    <row r="843" spans="1:11" hidden="1" x14ac:dyDescent="0.25">
      <c r="A843" s="1" t="s">
        <v>1386</v>
      </c>
      <c r="B843" s="1" t="s">
        <v>1695</v>
      </c>
      <c r="C843" s="1" t="s">
        <v>1395</v>
      </c>
      <c r="D843" s="1" t="s">
        <v>1695</v>
      </c>
      <c r="E843" s="1" t="s">
        <v>1695</v>
      </c>
      <c r="F843" s="1" t="s">
        <v>813</v>
      </c>
      <c r="G843" s="2">
        <v>45203</v>
      </c>
      <c r="H843" s="3">
        <v>0.95833333333333326</v>
      </c>
      <c r="I843" s="1" t="s">
        <v>1695</v>
      </c>
      <c r="J843" s="1" t="s">
        <v>1695</v>
      </c>
      <c r="K843">
        <v>65</v>
      </c>
    </row>
    <row r="844" spans="1:11" hidden="1" x14ac:dyDescent="0.25">
      <c r="A844" s="1" t="s">
        <v>1386</v>
      </c>
      <c r="B844" s="1" t="s">
        <v>1695</v>
      </c>
      <c r="C844" s="1" t="s">
        <v>925</v>
      </c>
      <c r="D844" s="1" t="s">
        <v>1695</v>
      </c>
      <c r="E844" s="1" t="s">
        <v>1695</v>
      </c>
      <c r="F844" s="1" t="s">
        <v>813</v>
      </c>
      <c r="G844" s="2">
        <v>45201</v>
      </c>
      <c r="H844" s="3">
        <v>0.51944444444444438</v>
      </c>
      <c r="I844" s="1" t="s">
        <v>1695</v>
      </c>
      <c r="J844" s="1" t="s">
        <v>1695</v>
      </c>
      <c r="K844">
        <v>113</v>
      </c>
    </row>
    <row r="845" spans="1:11" hidden="1" x14ac:dyDescent="0.25">
      <c r="A845" s="1" t="s">
        <v>1386</v>
      </c>
      <c r="B845" s="1" t="s">
        <v>1695</v>
      </c>
      <c r="C845" s="1" t="s">
        <v>1337</v>
      </c>
      <c r="D845" s="1" t="s">
        <v>1695</v>
      </c>
      <c r="E845" s="1" t="s">
        <v>1695</v>
      </c>
      <c r="F845" s="1" t="s">
        <v>811</v>
      </c>
      <c r="G845" s="2">
        <v>45223</v>
      </c>
      <c r="H845" s="3">
        <v>0.54861111111111116</v>
      </c>
      <c r="I845" s="1" t="s">
        <v>1695</v>
      </c>
      <c r="J845" s="1" t="s">
        <v>1695</v>
      </c>
      <c r="K845">
        <v>19</v>
      </c>
    </row>
    <row r="846" spans="1:11" x14ac:dyDescent="0.25">
      <c r="A846" s="1" t="s">
        <v>1386</v>
      </c>
      <c r="B846" s="1" t="s">
        <v>73</v>
      </c>
      <c r="C846" s="1" t="s">
        <v>1291</v>
      </c>
      <c r="D846" s="1" t="s">
        <v>1506</v>
      </c>
      <c r="E846" s="1" t="s">
        <v>1504</v>
      </c>
      <c r="F846" s="1" t="s">
        <v>808</v>
      </c>
      <c r="G846" s="2">
        <v>45228</v>
      </c>
      <c r="H846" s="3">
        <v>0.56319444444444455</v>
      </c>
      <c r="I846" s="1">
        <v>-11.265995</v>
      </c>
      <c r="J846" s="1">
        <v>28.935514999999999</v>
      </c>
      <c r="K846">
        <v>44</v>
      </c>
    </row>
    <row r="847" spans="1:11" x14ac:dyDescent="0.25">
      <c r="A847" s="1" t="s">
        <v>1386</v>
      </c>
      <c r="B847" s="1" t="s">
        <v>73</v>
      </c>
      <c r="C847" s="1" t="s">
        <v>1396</v>
      </c>
      <c r="D847" s="1" t="s">
        <v>1503</v>
      </c>
      <c r="E847" s="1" t="s">
        <v>1504</v>
      </c>
      <c r="F847" s="1" t="s">
        <v>808</v>
      </c>
      <c r="G847" s="2">
        <v>45228</v>
      </c>
      <c r="H847" s="3">
        <v>0.51527777777777772</v>
      </c>
      <c r="I847" s="1">
        <v>-0.919767</v>
      </c>
      <c r="J847" s="1">
        <v>18.905538</v>
      </c>
      <c r="K847">
        <v>105</v>
      </c>
    </row>
    <row r="848" spans="1:11" hidden="1" x14ac:dyDescent="0.25">
      <c r="A848" s="1" t="s">
        <v>1386</v>
      </c>
      <c r="B848" s="1" t="s">
        <v>1695</v>
      </c>
      <c r="C848" s="1" t="s">
        <v>1116</v>
      </c>
      <c r="D848" s="1" t="s">
        <v>1695</v>
      </c>
      <c r="E848" s="1" t="s">
        <v>1695</v>
      </c>
      <c r="F848" s="1" t="s">
        <v>813</v>
      </c>
      <c r="G848" s="2">
        <v>45217</v>
      </c>
      <c r="H848" s="3">
        <v>0.50416666666666665</v>
      </c>
      <c r="I848" s="1" t="s">
        <v>1695</v>
      </c>
      <c r="J848" s="1" t="s">
        <v>1695</v>
      </c>
      <c r="K848">
        <v>55</v>
      </c>
    </row>
    <row r="849" spans="1:11" x14ac:dyDescent="0.25">
      <c r="A849" s="1" t="s">
        <v>1386</v>
      </c>
      <c r="B849" s="1" t="s">
        <v>24</v>
      </c>
      <c r="C849" s="1" t="s">
        <v>1101</v>
      </c>
      <c r="D849" s="1" t="s">
        <v>1508</v>
      </c>
      <c r="E849" s="1" t="s">
        <v>1509</v>
      </c>
      <c r="F849" s="1" t="s">
        <v>811</v>
      </c>
      <c r="G849" s="2">
        <v>45226</v>
      </c>
      <c r="H849" s="3">
        <v>0.65972222222222232</v>
      </c>
      <c r="I849" s="1">
        <v>-11.594525000000001</v>
      </c>
      <c r="J849" s="1">
        <v>29.744895</v>
      </c>
      <c r="K849">
        <v>65</v>
      </c>
    </row>
    <row r="850" spans="1:11" x14ac:dyDescent="0.25">
      <c r="A850" s="1" t="s">
        <v>1386</v>
      </c>
      <c r="B850" s="1" t="s">
        <v>44</v>
      </c>
      <c r="C850" s="1" t="s">
        <v>1248</v>
      </c>
      <c r="D850" s="1" t="s">
        <v>1503</v>
      </c>
      <c r="E850" s="1" t="s">
        <v>1509</v>
      </c>
      <c r="F850" s="1" t="s">
        <v>813</v>
      </c>
      <c r="G850" s="2">
        <v>45227</v>
      </c>
      <c r="H850" s="3">
        <v>0.77847222222222223</v>
      </c>
      <c r="I850" s="1">
        <v>-0.47411900000000001</v>
      </c>
      <c r="J850" s="1">
        <v>27.184329000000002</v>
      </c>
      <c r="K850">
        <v>67</v>
      </c>
    </row>
    <row r="851" spans="1:11" hidden="1" x14ac:dyDescent="0.25">
      <c r="A851" s="1" t="s">
        <v>1386</v>
      </c>
      <c r="B851" s="1" t="s">
        <v>1695</v>
      </c>
      <c r="C851" s="1" t="s">
        <v>1397</v>
      </c>
      <c r="D851" s="1" t="s">
        <v>1695</v>
      </c>
      <c r="E851" s="1" t="s">
        <v>1695</v>
      </c>
      <c r="F851" s="1" t="s">
        <v>811</v>
      </c>
      <c r="G851" s="2">
        <v>45224</v>
      </c>
      <c r="H851" s="3">
        <v>0.88472222222222219</v>
      </c>
      <c r="I851" s="1" t="s">
        <v>1695</v>
      </c>
      <c r="J851" s="1" t="s">
        <v>1695</v>
      </c>
      <c r="K851">
        <v>119</v>
      </c>
    </row>
    <row r="852" spans="1:11" hidden="1" x14ac:dyDescent="0.25">
      <c r="A852" s="1" t="s">
        <v>1386</v>
      </c>
      <c r="B852" s="1" t="s">
        <v>1695</v>
      </c>
      <c r="C852" s="1" t="s">
        <v>1398</v>
      </c>
      <c r="D852" s="1" t="s">
        <v>1695</v>
      </c>
      <c r="E852" s="1" t="s">
        <v>1695</v>
      </c>
      <c r="F852" s="1" t="s">
        <v>813</v>
      </c>
      <c r="G852" s="2">
        <v>45205</v>
      </c>
      <c r="H852" s="3">
        <v>0.58611111111111103</v>
      </c>
      <c r="I852" s="1" t="s">
        <v>1695</v>
      </c>
      <c r="J852" s="1" t="s">
        <v>1695</v>
      </c>
      <c r="K852">
        <v>89</v>
      </c>
    </row>
    <row r="853" spans="1:11" x14ac:dyDescent="0.25">
      <c r="A853" s="1" t="s">
        <v>1386</v>
      </c>
      <c r="B853" s="1" t="s">
        <v>137</v>
      </c>
      <c r="C853" s="1" t="s">
        <v>1399</v>
      </c>
      <c r="D853" s="1" t="s">
        <v>1506</v>
      </c>
      <c r="E853" s="1" t="s">
        <v>1504</v>
      </c>
      <c r="F853" s="1" t="s">
        <v>813</v>
      </c>
      <c r="G853" s="2">
        <v>45225</v>
      </c>
      <c r="H853" s="3">
        <v>5.4166666666666696E-2</v>
      </c>
      <c r="I853" s="1">
        <v>-4.2184999999999997</v>
      </c>
      <c r="J853" s="1">
        <v>23.077093999999999</v>
      </c>
      <c r="K853">
        <v>38</v>
      </c>
    </row>
    <row r="854" spans="1:11" hidden="1" x14ac:dyDescent="0.25">
      <c r="A854" s="1" t="s">
        <v>1386</v>
      </c>
      <c r="B854" s="1" t="s">
        <v>1695</v>
      </c>
      <c r="C854" s="1" t="s">
        <v>920</v>
      </c>
      <c r="D854" s="1" t="s">
        <v>1695</v>
      </c>
      <c r="E854" s="1" t="s">
        <v>1695</v>
      </c>
      <c r="F854" s="1" t="s">
        <v>811</v>
      </c>
      <c r="G854" s="2">
        <v>45200</v>
      </c>
      <c r="H854" s="3">
        <v>0.42777777777777781</v>
      </c>
      <c r="I854" s="1" t="s">
        <v>1695</v>
      </c>
      <c r="J854" s="1" t="s">
        <v>1695</v>
      </c>
      <c r="K854">
        <v>16</v>
      </c>
    </row>
    <row r="855" spans="1:11" x14ac:dyDescent="0.25">
      <c r="A855" s="1" t="s">
        <v>1386</v>
      </c>
      <c r="B855" s="1" t="s">
        <v>24</v>
      </c>
      <c r="C855" s="1" t="s">
        <v>1305</v>
      </c>
      <c r="D855" s="1" t="s">
        <v>1506</v>
      </c>
      <c r="E855" s="1" t="s">
        <v>1504</v>
      </c>
      <c r="F855" s="1" t="s">
        <v>813</v>
      </c>
      <c r="G855" s="2">
        <v>45230</v>
      </c>
      <c r="H855" s="3">
        <v>0.12777777777777777</v>
      </c>
      <c r="I855" s="1">
        <v>-10.945031</v>
      </c>
      <c r="J855" s="1">
        <v>27.922274000000002</v>
      </c>
      <c r="K855">
        <v>87</v>
      </c>
    </row>
    <row r="856" spans="1:11" hidden="1" x14ac:dyDescent="0.25">
      <c r="A856" s="1" t="s">
        <v>1386</v>
      </c>
      <c r="B856" s="1" t="s">
        <v>1695</v>
      </c>
      <c r="C856" s="1" t="s">
        <v>1378</v>
      </c>
      <c r="D856" s="1" t="s">
        <v>1695</v>
      </c>
      <c r="E856" s="1" t="s">
        <v>1695</v>
      </c>
      <c r="F856" s="1" t="s">
        <v>808</v>
      </c>
      <c r="G856" s="2">
        <v>45210</v>
      </c>
      <c r="H856" s="3">
        <v>0.24722222222222223</v>
      </c>
      <c r="I856" s="1" t="s">
        <v>1695</v>
      </c>
      <c r="J856" s="1" t="s">
        <v>1695</v>
      </c>
      <c r="K856">
        <v>74</v>
      </c>
    </row>
    <row r="857" spans="1:11" hidden="1" x14ac:dyDescent="0.25">
      <c r="A857" s="1" t="s">
        <v>1386</v>
      </c>
      <c r="B857" s="1" t="s">
        <v>1695</v>
      </c>
      <c r="C857" s="1" t="s">
        <v>1161</v>
      </c>
      <c r="D857" s="1" t="s">
        <v>1695</v>
      </c>
      <c r="E857" s="1" t="s">
        <v>1695</v>
      </c>
      <c r="F857" s="1" t="s">
        <v>811</v>
      </c>
      <c r="G857" s="2">
        <v>45212</v>
      </c>
      <c r="H857" s="3">
        <v>0.24027777777777781</v>
      </c>
      <c r="I857" s="1" t="s">
        <v>1695</v>
      </c>
      <c r="J857" s="1" t="s">
        <v>1695</v>
      </c>
      <c r="K857">
        <v>54</v>
      </c>
    </row>
    <row r="858" spans="1:11" x14ac:dyDescent="0.25">
      <c r="A858" s="1" t="s">
        <v>1386</v>
      </c>
      <c r="B858" s="1" t="s">
        <v>33</v>
      </c>
      <c r="C858" s="1" t="s">
        <v>954</v>
      </c>
      <c r="D858" s="1" t="s">
        <v>1506</v>
      </c>
      <c r="E858" s="1" t="s">
        <v>1509</v>
      </c>
      <c r="F858" s="1" t="s">
        <v>811</v>
      </c>
      <c r="G858" s="2">
        <v>45202</v>
      </c>
      <c r="H858" s="3">
        <v>0.74791666666666656</v>
      </c>
      <c r="I858" s="1">
        <v>-3.111418</v>
      </c>
      <c r="J858" s="1">
        <v>14.144854</v>
      </c>
      <c r="K858">
        <v>28</v>
      </c>
    </row>
    <row r="859" spans="1:11" hidden="1" x14ac:dyDescent="0.25">
      <c r="A859" s="1" t="s">
        <v>1386</v>
      </c>
      <c r="B859" s="1" t="s">
        <v>1695</v>
      </c>
      <c r="C859" s="1" t="s">
        <v>1400</v>
      </c>
      <c r="D859" s="1" t="s">
        <v>1695</v>
      </c>
      <c r="E859" s="1" t="s">
        <v>1695</v>
      </c>
      <c r="F859" s="1" t="s">
        <v>811</v>
      </c>
      <c r="G859" s="2">
        <v>45202</v>
      </c>
      <c r="H859" s="3">
        <v>0.44305555555555554</v>
      </c>
      <c r="I859" s="1" t="s">
        <v>1695</v>
      </c>
      <c r="J859" s="1" t="s">
        <v>1695</v>
      </c>
      <c r="K859">
        <v>52</v>
      </c>
    </row>
    <row r="860" spans="1:11" x14ac:dyDescent="0.25">
      <c r="A860" s="1" t="s">
        <v>1386</v>
      </c>
      <c r="B860" s="1" t="s">
        <v>13</v>
      </c>
      <c r="C860" s="1" t="s">
        <v>1093</v>
      </c>
      <c r="D860" s="1" t="s">
        <v>1506</v>
      </c>
      <c r="E860" s="1" t="s">
        <v>1509</v>
      </c>
      <c r="F860" s="1" t="s">
        <v>811</v>
      </c>
      <c r="G860" s="2">
        <v>45219</v>
      </c>
      <c r="H860" s="3">
        <v>0.65625</v>
      </c>
      <c r="I860" s="1">
        <v>-10.577049000000001</v>
      </c>
      <c r="J860" s="1">
        <v>23.721854</v>
      </c>
      <c r="K860">
        <v>118</v>
      </c>
    </row>
    <row r="861" spans="1:11" x14ac:dyDescent="0.25">
      <c r="A861" s="1" t="s">
        <v>1386</v>
      </c>
      <c r="B861" s="1" t="s">
        <v>62</v>
      </c>
      <c r="C861" s="1" t="s">
        <v>1401</v>
      </c>
      <c r="D861" s="1" t="s">
        <v>1506</v>
      </c>
      <c r="E861" s="1" t="s">
        <v>1509</v>
      </c>
      <c r="F861" s="1" t="s">
        <v>813</v>
      </c>
      <c r="G861" s="2">
        <v>45200</v>
      </c>
      <c r="H861" s="3">
        <v>0.57013888888888897</v>
      </c>
      <c r="I861" s="1">
        <v>2.8552499999999998</v>
      </c>
      <c r="J861" s="1">
        <v>14.077933</v>
      </c>
      <c r="K861">
        <v>53</v>
      </c>
    </row>
    <row r="862" spans="1:11" x14ac:dyDescent="0.25">
      <c r="A862" s="1" t="s">
        <v>1386</v>
      </c>
      <c r="B862" s="1" t="s">
        <v>127</v>
      </c>
      <c r="C862" s="1" t="s">
        <v>1402</v>
      </c>
      <c r="D862" s="1" t="s">
        <v>1508</v>
      </c>
      <c r="E862" s="1" t="s">
        <v>1516</v>
      </c>
      <c r="F862" s="1" t="s">
        <v>808</v>
      </c>
      <c r="G862" s="2">
        <v>45205</v>
      </c>
      <c r="H862" s="3">
        <v>0.83055555555555549</v>
      </c>
      <c r="I862" s="1">
        <v>-2.2199559999999998</v>
      </c>
      <c r="J862" s="1">
        <v>22.614449</v>
      </c>
      <c r="K862">
        <v>52</v>
      </c>
    </row>
    <row r="863" spans="1:11" x14ac:dyDescent="0.25">
      <c r="A863" s="1" t="s">
        <v>1386</v>
      </c>
      <c r="B863" s="1" t="s">
        <v>18</v>
      </c>
      <c r="C863" s="1" t="s">
        <v>1403</v>
      </c>
      <c r="D863" s="1" t="s">
        <v>1508</v>
      </c>
      <c r="E863" s="1" t="s">
        <v>1507</v>
      </c>
      <c r="F863" s="1" t="s">
        <v>813</v>
      </c>
      <c r="G863" s="2">
        <v>45213</v>
      </c>
      <c r="H863" s="3">
        <v>0.2104166666666667</v>
      </c>
      <c r="I863" s="1">
        <v>-3.1608390000000002</v>
      </c>
      <c r="J863" s="1">
        <v>13.244503999999999</v>
      </c>
      <c r="K863">
        <v>28</v>
      </c>
    </row>
    <row r="864" spans="1:11" hidden="1" x14ac:dyDescent="0.25">
      <c r="A864" s="1" t="s">
        <v>1386</v>
      </c>
      <c r="B864" s="1" t="s">
        <v>1695</v>
      </c>
      <c r="C864" s="1" t="s">
        <v>1404</v>
      </c>
      <c r="D864" s="1" t="s">
        <v>1695</v>
      </c>
      <c r="E864" s="1" t="s">
        <v>1695</v>
      </c>
      <c r="F864" s="1" t="s">
        <v>808</v>
      </c>
      <c r="G864" s="2">
        <v>45203</v>
      </c>
      <c r="H864" s="3">
        <v>0.42569444444444438</v>
      </c>
      <c r="I864" s="1" t="s">
        <v>1695</v>
      </c>
      <c r="J864" s="1" t="s">
        <v>1695</v>
      </c>
      <c r="K864">
        <v>62</v>
      </c>
    </row>
    <row r="865" spans="1:11" hidden="1" x14ac:dyDescent="0.25">
      <c r="A865" s="1" t="s">
        <v>1386</v>
      </c>
      <c r="B865" s="1" t="s">
        <v>1695</v>
      </c>
      <c r="C865" s="1" t="s">
        <v>1159</v>
      </c>
      <c r="D865" s="1" t="s">
        <v>1695</v>
      </c>
      <c r="E865" s="1" t="s">
        <v>1695</v>
      </c>
      <c r="F865" s="1" t="s">
        <v>808</v>
      </c>
      <c r="G865" s="2">
        <v>45206</v>
      </c>
      <c r="H865" s="3">
        <v>0.57222222222222219</v>
      </c>
      <c r="I865" s="1" t="s">
        <v>1695</v>
      </c>
      <c r="J865" s="1" t="s">
        <v>1695</v>
      </c>
      <c r="K865">
        <v>10</v>
      </c>
    </row>
    <row r="866" spans="1:11" x14ac:dyDescent="0.25">
      <c r="A866" s="1" t="s">
        <v>1386</v>
      </c>
      <c r="B866" s="1" t="s">
        <v>137</v>
      </c>
      <c r="C866" s="1" t="s">
        <v>1114</v>
      </c>
      <c r="D866" s="1" t="s">
        <v>1506</v>
      </c>
      <c r="E866" s="1" t="s">
        <v>1504</v>
      </c>
      <c r="F866" s="1" t="s">
        <v>811</v>
      </c>
      <c r="G866" s="2">
        <v>45217</v>
      </c>
      <c r="H866" s="3">
        <v>0.99930555555555545</v>
      </c>
      <c r="I866" s="1">
        <v>-10.967288</v>
      </c>
      <c r="J866" s="1">
        <v>17.617781000000001</v>
      </c>
      <c r="K866">
        <v>38</v>
      </c>
    </row>
    <row r="867" spans="1:11" hidden="1" x14ac:dyDescent="0.25">
      <c r="A867" s="1" t="s">
        <v>1386</v>
      </c>
      <c r="B867" s="1" t="s">
        <v>1695</v>
      </c>
      <c r="C867" s="1" t="s">
        <v>1109</v>
      </c>
      <c r="D867" s="1" t="s">
        <v>1695</v>
      </c>
      <c r="E867" s="1" t="s">
        <v>1695</v>
      </c>
      <c r="F867" s="1" t="s">
        <v>811</v>
      </c>
      <c r="G867" s="2">
        <v>45223</v>
      </c>
      <c r="H867" s="3">
        <v>0.71944444444444455</v>
      </c>
      <c r="I867" s="1" t="s">
        <v>1695</v>
      </c>
      <c r="J867" s="1" t="s">
        <v>1695</v>
      </c>
      <c r="K867">
        <v>61</v>
      </c>
    </row>
    <row r="868" spans="1:11" x14ac:dyDescent="0.25">
      <c r="A868" s="1" t="s">
        <v>1386</v>
      </c>
      <c r="B868" s="1" t="s">
        <v>73</v>
      </c>
      <c r="C868" s="1" t="s">
        <v>1405</v>
      </c>
      <c r="D868" s="1" t="s">
        <v>1506</v>
      </c>
      <c r="E868" s="1" t="s">
        <v>1509</v>
      </c>
      <c r="F868" s="1" t="s">
        <v>811</v>
      </c>
      <c r="G868" s="2">
        <v>45221</v>
      </c>
      <c r="H868" s="3">
        <v>0.38819444444444451</v>
      </c>
      <c r="I868" s="1">
        <v>-12.070842000000001</v>
      </c>
      <c r="J868" s="1">
        <v>14.757847</v>
      </c>
      <c r="K868">
        <v>64</v>
      </c>
    </row>
    <row r="869" spans="1:11" x14ac:dyDescent="0.25">
      <c r="A869" s="1" t="s">
        <v>1386</v>
      </c>
      <c r="B869" s="1" t="s">
        <v>51</v>
      </c>
      <c r="C869" s="1" t="s">
        <v>945</v>
      </c>
      <c r="D869" s="1" t="s">
        <v>1508</v>
      </c>
      <c r="E869" s="1" t="s">
        <v>1516</v>
      </c>
      <c r="F869" s="1" t="s">
        <v>808</v>
      </c>
      <c r="G869" s="2">
        <v>45207</v>
      </c>
      <c r="H869" s="3">
        <v>0.12708333333333344</v>
      </c>
      <c r="I869" s="1">
        <v>-8.5675749999999997</v>
      </c>
      <c r="J869" s="1">
        <v>26.994581</v>
      </c>
      <c r="K869">
        <v>38</v>
      </c>
    </row>
    <row r="870" spans="1:11" hidden="1" x14ac:dyDescent="0.25">
      <c r="A870" s="1" t="s">
        <v>1386</v>
      </c>
      <c r="B870" s="1" t="s">
        <v>1695</v>
      </c>
      <c r="C870" s="1" t="s">
        <v>1406</v>
      </c>
      <c r="D870" s="1" t="s">
        <v>1695</v>
      </c>
      <c r="E870" s="1" t="s">
        <v>1695</v>
      </c>
      <c r="F870" s="1" t="s">
        <v>808</v>
      </c>
      <c r="G870" s="2">
        <v>45212</v>
      </c>
      <c r="H870" s="3">
        <v>0.77430555555555558</v>
      </c>
      <c r="I870" s="1" t="s">
        <v>1695</v>
      </c>
      <c r="J870" s="1" t="s">
        <v>1695</v>
      </c>
      <c r="K870">
        <v>33</v>
      </c>
    </row>
    <row r="871" spans="1:11" hidden="1" x14ac:dyDescent="0.25">
      <c r="A871" s="1" t="s">
        <v>1386</v>
      </c>
      <c r="B871" s="1" t="s">
        <v>1695</v>
      </c>
      <c r="C871" s="1" t="s">
        <v>1407</v>
      </c>
      <c r="D871" s="1" t="s">
        <v>1695</v>
      </c>
      <c r="E871" s="1" t="s">
        <v>1695</v>
      </c>
      <c r="F871" s="1" t="s">
        <v>811</v>
      </c>
      <c r="G871" s="2">
        <v>45226</v>
      </c>
      <c r="H871" s="3">
        <v>0.63125000000000009</v>
      </c>
      <c r="I871" s="1" t="s">
        <v>1695</v>
      </c>
      <c r="J871" s="1" t="s">
        <v>1695</v>
      </c>
      <c r="K871">
        <v>112</v>
      </c>
    </row>
    <row r="872" spans="1:11" x14ac:dyDescent="0.25">
      <c r="A872" s="1" t="s">
        <v>1408</v>
      </c>
      <c r="B872" s="1" t="s">
        <v>137</v>
      </c>
      <c r="C872" s="1" t="s">
        <v>986</v>
      </c>
      <c r="D872" s="1" t="s">
        <v>1508</v>
      </c>
      <c r="E872" s="1" t="s">
        <v>1509</v>
      </c>
      <c r="F872" s="1" t="s">
        <v>811</v>
      </c>
      <c r="G872" s="2">
        <v>45208</v>
      </c>
      <c r="H872" s="3">
        <v>0.52847222222222223</v>
      </c>
      <c r="I872" s="1">
        <v>-10.872631999999999</v>
      </c>
      <c r="J872" s="1">
        <v>12.773279</v>
      </c>
      <c r="K872">
        <v>33</v>
      </c>
    </row>
    <row r="873" spans="1:11" x14ac:dyDescent="0.25">
      <c r="A873" s="1" t="s">
        <v>1408</v>
      </c>
      <c r="B873" s="1" t="s">
        <v>29</v>
      </c>
      <c r="C873" s="1" t="s">
        <v>1409</v>
      </c>
      <c r="D873" s="1" t="s">
        <v>1508</v>
      </c>
      <c r="E873" s="1" t="s">
        <v>1509</v>
      </c>
      <c r="F873" s="1" t="s">
        <v>813</v>
      </c>
      <c r="G873" s="2">
        <v>45215</v>
      </c>
      <c r="H873" s="3">
        <v>0.7763888888888888</v>
      </c>
      <c r="I873" s="1">
        <v>2.5665840000000002</v>
      </c>
      <c r="J873" s="1">
        <v>15.764796</v>
      </c>
      <c r="K873">
        <v>87</v>
      </c>
    </row>
    <row r="874" spans="1:11" x14ac:dyDescent="0.25">
      <c r="A874" s="1" t="s">
        <v>1408</v>
      </c>
      <c r="B874" s="1" t="s">
        <v>78</v>
      </c>
      <c r="C874" s="1" t="s">
        <v>1262</v>
      </c>
      <c r="D874" s="1" t="s">
        <v>1503</v>
      </c>
      <c r="E874" s="1" t="s">
        <v>1509</v>
      </c>
      <c r="F874" s="1" t="s">
        <v>811</v>
      </c>
      <c r="G874" s="2">
        <v>45215</v>
      </c>
      <c r="H874" s="3">
        <v>4.9305555555555491E-2</v>
      </c>
      <c r="I874" s="1">
        <v>2.5458379999999998</v>
      </c>
      <c r="J874" s="1">
        <v>13.308655</v>
      </c>
      <c r="K874">
        <v>33</v>
      </c>
    </row>
    <row r="875" spans="1:11" hidden="1" x14ac:dyDescent="0.25">
      <c r="A875" s="1" t="s">
        <v>1408</v>
      </c>
      <c r="B875" s="1" t="s">
        <v>1695</v>
      </c>
      <c r="C875" s="1" t="s">
        <v>1410</v>
      </c>
      <c r="D875" s="1" t="s">
        <v>1695</v>
      </c>
      <c r="E875" s="1" t="s">
        <v>1695</v>
      </c>
      <c r="F875" s="1" t="s">
        <v>813</v>
      </c>
      <c r="G875" s="2">
        <v>45208</v>
      </c>
      <c r="H875" s="3">
        <v>0.50625000000000009</v>
      </c>
      <c r="I875" s="1" t="s">
        <v>1695</v>
      </c>
      <c r="J875" s="1" t="s">
        <v>1695</v>
      </c>
      <c r="K875">
        <v>91</v>
      </c>
    </row>
    <row r="876" spans="1:11" hidden="1" x14ac:dyDescent="0.25">
      <c r="A876" s="1" t="s">
        <v>1408</v>
      </c>
      <c r="B876" s="1" t="s">
        <v>1695</v>
      </c>
      <c r="C876" s="1" t="s">
        <v>1313</v>
      </c>
      <c r="D876" s="1" t="s">
        <v>1695</v>
      </c>
      <c r="E876" s="1" t="s">
        <v>1695</v>
      </c>
      <c r="F876" s="1" t="s">
        <v>811</v>
      </c>
      <c r="G876" s="2">
        <v>45219</v>
      </c>
      <c r="H876" s="3">
        <v>0.82152777777777786</v>
      </c>
      <c r="I876" s="1" t="s">
        <v>1695</v>
      </c>
      <c r="J876" s="1" t="s">
        <v>1695</v>
      </c>
      <c r="K876">
        <v>31</v>
      </c>
    </row>
    <row r="877" spans="1:11" x14ac:dyDescent="0.25">
      <c r="A877" s="1" t="s">
        <v>1408</v>
      </c>
      <c r="B877" s="1" t="s">
        <v>18</v>
      </c>
      <c r="C877" s="1" t="s">
        <v>1411</v>
      </c>
      <c r="D877" s="1" t="s">
        <v>1508</v>
      </c>
      <c r="E877" s="1" t="s">
        <v>1509</v>
      </c>
      <c r="F877" s="1" t="s">
        <v>808</v>
      </c>
      <c r="G877" s="2">
        <v>45222</v>
      </c>
      <c r="H877" s="3">
        <v>0.50138888888888888</v>
      </c>
      <c r="I877" s="1">
        <v>-11.89448</v>
      </c>
      <c r="J877" s="1">
        <v>19.216214999999998</v>
      </c>
      <c r="K877">
        <v>39</v>
      </c>
    </row>
    <row r="878" spans="1:11" x14ac:dyDescent="0.25">
      <c r="A878" s="1" t="s">
        <v>1408</v>
      </c>
      <c r="B878" s="1" t="s">
        <v>51</v>
      </c>
      <c r="C878" s="1" t="s">
        <v>1304</v>
      </c>
      <c r="D878" s="1" t="s">
        <v>1506</v>
      </c>
      <c r="E878" s="1" t="s">
        <v>1507</v>
      </c>
      <c r="F878" s="1" t="s">
        <v>811</v>
      </c>
      <c r="G878" s="2">
        <v>45212</v>
      </c>
      <c r="H878" s="3">
        <v>0.44722222222222219</v>
      </c>
      <c r="I878" s="1">
        <v>-7.402336</v>
      </c>
      <c r="J878" s="1">
        <v>27.376697</v>
      </c>
      <c r="K878">
        <v>88</v>
      </c>
    </row>
    <row r="879" spans="1:11" x14ac:dyDescent="0.25">
      <c r="A879" s="1" t="s">
        <v>1408</v>
      </c>
      <c r="B879" s="1" t="s">
        <v>62</v>
      </c>
      <c r="C879" s="1" t="s">
        <v>1362</v>
      </c>
      <c r="D879" s="1" t="s">
        <v>1503</v>
      </c>
      <c r="E879" s="1" t="s">
        <v>1504</v>
      </c>
      <c r="F879" s="1" t="s">
        <v>808</v>
      </c>
      <c r="G879" s="2">
        <v>45207</v>
      </c>
      <c r="H879" s="3">
        <v>7.4305555555555625E-2</v>
      </c>
      <c r="I879" s="1">
        <v>-7.1587569999999996</v>
      </c>
      <c r="J879" s="1">
        <v>18.975141000000001</v>
      </c>
      <c r="K879">
        <v>57</v>
      </c>
    </row>
    <row r="880" spans="1:11" x14ac:dyDescent="0.25">
      <c r="A880" s="1" t="s">
        <v>1408</v>
      </c>
      <c r="B880" s="1" t="s">
        <v>62</v>
      </c>
      <c r="C880" s="1" t="s">
        <v>1079</v>
      </c>
      <c r="D880" s="1" t="s">
        <v>1506</v>
      </c>
      <c r="E880" s="1" t="s">
        <v>1516</v>
      </c>
      <c r="F880" s="1" t="s">
        <v>811</v>
      </c>
      <c r="G880" s="2">
        <v>45215</v>
      </c>
      <c r="H880" s="3">
        <v>0.37291666666666656</v>
      </c>
      <c r="I880" s="1">
        <v>-12.112399999999999</v>
      </c>
      <c r="J880" s="1">
        <v>15.872226</v>
      </c>
      <c r="K880">
        <v>70</v>
      </c>
    </row>
    <row r="881" spans="1:11" hidden="1" x14ac:dyDescent="0.25">
      <c r="A881" s="1" t="s">
        <v>1408</v>
      </c>
      <c r="B881" s="1" t="s">
        <v>1695</v>
      </c>
      <c r="C881" s="1" t="s">
        <v>1412</v>
      </c>
      <c r="D881" s="1" t="s">
        <v>1695</v>
      </c>
      <c r="E881" s="1" t="s">
        <v>1695</v>
      </c>
      <c r="F881" s="1" t="s">
        <v>813</v>
      </c>
      <c r="G881" s="2">
        <v>45211</v>
      </c>
      <c r="H881" s="3">
        <v>1.4583333333333393E-2</v>
      </c>
      <c r="I881" s="1" t="s">
        <v>1695</v>
      </c>
      <c r="J881" s="1" t="s">
        <v>1695</v>
      </c>
      <c r="K881">
        <v>7</v>
      </c>
    </row>
    <row r="882" spans="1:11" hidden="1" x14ac:dyDescent="0.25">
      <c r="A882" s="1" t="s">
        <v>1408</v>
      </c>
      <c r="B882" s="1" t="s">
        <v>1695</v>
      </c>
      <c r="C882" s="1" t="s">
        <v>1413</v>
      </c>
      <c r="D882" s="1" t="s">
        <v>1695</v>
      </c>
      <c r="E882" s="1" t="s">
        <v>1695</v>
      </c>
      <c r="F882" s="1" t="s">
        <v>813</v>
      </c>
      <c r="G882" s="2">
        <v>45226</v>
      </c>
      <c r="H882" s="3">
        <v>0.38819444444444451</v>
      </c>
      <c r="I882" s="1" t="s">
        <v>1695</v>
      </c>
      <c r="J882" s="1" t="s">
        <v>1695</v>
      </c>
      <c r="K882">
        <v>115</v>
      </c>
    </row>
    <row r="883" spans="1:11" hidden="1" x14ac:dyDescent="0.25">
      <c r="A883" s="1" t="s">
        <v>1408</v>
      </c>
      <c r="B883" s="1" t="s">
        <v>1695</v>
      </c>
      <c r="C883" s="1" t="s">
        <v>1414</v>
      </c>
      <c r="D883" s="1" t="s">
        <v>1695</v>
      </c>
      <c r="E883" s="1" t="s">
        <v>1695</v>
      </c>
      <c r="F883" s="1" t="s">
        <v>813</v>
      </c>
      <c r="G883" s="2">
        <v>45208</v>
      </c>
      <c r="H883" s="3">
        <v>0.66250000000000009</v>
      </c>
      <c r="I883" s="1" t="s">
        <v>1695</v>
      </c>
      <c r="J883" s="1" t="s">
        <v>1695</v>
      </c>
      <c r="K883">
        <v>104</v>
      </c>
    </row>
    <row r="884" spans="1:11" hidden="1" x14ac:dyDescent="0.25">
      <c r="A884" s="1" t="s">
        <v>1408</v>
      </c>
      <c r="B884" s="1" t="s">
        <v>1695</v>
      </c>
      <c r="C884" s="1" t="s">
        <v>880</v>
      </c>
      <c r="D884" s="1" t="s">
        <v>1695</v>
      </c>
      <c r="E884" s="1" t="s">
        <v>1695</v>
      </c>
      <c r="F884" s="1" t="s">
        <v>813</v>
      </c>
      <c r="G884" s="2">
        <v>45222</v>
      </c>
      <c r="H884" s="3">
        <v>0.87916666666666665</v>
      </c>
      <c r="I884" s="1" t="s">
        <v>1695</v>
      </c>
      <c r="J884" s="1" t="s">
        <v>1695</v>
      </c>
      <c r="K884">
        <v>103</v>
      </c>
    </row>
    <row r="885" spans="1:11" x14ac:dyDescent="0.25">
      <c r="A885" s="1" t="s">
        <v>1408</v>
      </c>
      <c r="B885" s="1" t="s">
        <v>18</v>
      </c>
      <c r="C885" s="1" t="s">
        <v>1415</v>
      </c>
      <c r="D885" s="1" t="s">
        <v>1508</v>
      </c>
      <c r="E885" s="1" t="s">
        <v>1516</v>
      </c>
      <c r="F885" s="1" t="s">
        <v>813</v>
      </c>
      <c r="G885" s="2">
        <v>45227</v>
      </c>
      <c r="H885" s="3">
        <v>0.29722222222222228</v>
      </c>
      <c r="I885" s="1">
        <v>-5.5559329999999996</v>
      </c>
      <c r="J885" s="1">
        <v>13.508692999999999</v>
      </c>
      <c r="K885">
        <v>92</v>
      </c>
    </row>
    <row r="886" spans="1:11" hidden="1" x14ac:dyDescent="0.25">
      <c r="A886" s="1" t="s">
        <v>1408</v>
      </c>
      <c r="B886" s="1" t="s">
        <v>1695</v>
      </c>
      <c r="C886" s="1" t="s">
        <v>1333</v>
      </c>
      <c r="D886" s="1" t="s">
        <v>1695</v>
      </c>
      <c r="E886" s="1" t="s">
        <v>1695</v>
      </c>
      <c r="F886" s="1" t="s">
        <v>813</v>
      </c>
      <c r="G886" s="2">
        <v>45209</v>
      </c>
      <c r="H886" s="3">
        <v>0.97777777777777786</v>
      </c>
      <c r="I886" s="1" t="s">
        <v>1695</v>
      </c>
      <c r="J886" s="1" t="s">
        <v>1695</v>
      </c>
      <c r="K886">
        <v>6</v>
      </c>
    </row>
    <row r="887" spans="1:11" x14ac:dyDescent="0.25">
      <c r="A887" s="1" t="s">
        <v>1408</v>
      </c>
      <c r="B887" s="1" t="s">
        <v>24</v>
      </c>
      <c r="C887" s="1" t="s">
        <v>828</v>
      </c>
      <c r="D887" s="1" t="s">
        <v>1508</v>
      </c>
      <c r="E887" s="1" t="s">
        <v>1504</v>
      </c>
      <c r="F887" s="1" t="s">
        <v>811</v>
      </c>
      <c r="G887" s="2">
        <v>45224</v>
      </c>
      <c r="H887" s="3">
        <v>0.42847222222222214</v>
      </c>
      <c r="I887" s="1">
        <v>0.172153</v>
      </c>
      <c r="J887" s="1">
        <v>21.091376</v>
      </c>
      <c r="K887">
        <v>65</v>
      </c>
    </row>
    <row r="888" spans="1:11" hidden="1" x14ac:dyDescent="0.25">
      <c r="A888" s="1" t="s">
        <v>1408</v>
      </c>
      <c r="B888" s="1" t="s">
        <v>1695</v>
      </c>
      <c r="C888" s="1" t="s">
        <v>1416</v>
      </c>
      <c r="D888" s="1" t="s">
        <v>1695</v>
      </c>
      <c r="E888" s="1" t="s">
        <v>1695</v>
      </c>
      <c r="F888" s="1" t="s">
        <v>808</v>
      </c>
      <c r="G888" s="2">
        <v>45223</v>
      </c>
      <c r="H888" s="3">
        <v>0.56805555555555554</v>
      </c>
      <c r="I888" s="1" t="s">
        <v>1695</v>
      </c>
      <c r="J888" s="1" t="s">
        <v>1695</v>
      </c>
      <c r="K888">
        <v>21</v>
      </c>
    </row>
    <row r="889" spans="1:11" hidden="1" x14ac:dyDescent="0.25">
      <c r="A889" s="1" t="s">
        <v>1408</v>
      </c>
      <c r="B889" s="1" t="s">
        <v>1695</v>
      </c>
      <c r="C889" s="1" t="s">
        <v>825</v>
      </c>
      <c r="D889" s="1" t="s">
        <v>1695</v>
      </c>
      <c r="E889" s="1" t="s">
        <v>1695</v>
      </c>
      <c r="F889" s="1" t="s">
        <v>811</v>
      </c>
      <c r="G889" s="2">
        <v>45220</v>
      </c>
      <c r="H889" s="3">
        <v>9.1666666666666563E-2</v>
      </c>
      <c r="I889" s="1" t="s">
        <v>1695</v>
      </c>
      <c r="J889" s="1" t="s">
        <v>1695</v>
      </c>
      <c r="K889">
        <v>87</v>
      </c>
    </row>
    <row r="890" spans="1:11" x14ac:dyDescent="0.25">
      <c r="A890" s="1" t="s">
        <v>1408</v>
      </c>
      <c r="B890" s="1" t="s">
        <v>60</v>
      </c>
      <c r="C890" s="1" t="s">
        <v>1268</v>
      </c>
      <c r="D890" s="1" t="s">
        <v>1508</v>
      </c>
      <c r="E890" s="1" t="s">
        <v>1507</v>
      </c>
      <c r="F890" s="1" t="s">
        <v>811</v>
      </c>
      <c r="G890" s="2">
        <v>45214</v>
      </c>
      <c r="H890" s="3">
        <v>0.29027777777777786</v>
      </c>
      <c r="I890" s="1">
        <v>-12.839263000000001</v>
      </c>
      <c r="J890" s="1">
        <v>12.355677</v>
      </c>
      <c r="K890">
        <v>27</v>
      </c>
    </row>
    <row r="891" spans="1:11" hidden="1" x14ac:dyDescent="0.25">
      <c r="A891" s="1" t="s">
        <v>1408</v>
      </c>
      <c r="B891" s="1" t="s">
        <v>1695</v>
      </c>
      <c r="C891" s="1" t="s">
        <v>1055</v>
      </c>
      <c r="D891" s="1" t="s">
        <v>1695</v>
      </c>
      <c r="E891" s="1" t="s">
        <v>1695</v>
      </c>
      <c r="F891" s="1" t="s">
        <v>811</v>
      </c>
      <c r="G891" s="2">
        <v>45226</v>
      </c>
      <c r="H891" s="3">
        <v>0.57430555555555562</v>
      </c>
      <c r="I891" s="1" t="s">
        <v>1695</v>
      </c>
      <c r="J891" s="1" t="s">
        <v>1695</v>
      </c>
      <c r="K891">
        <v>81</v>
      </c>
    </row>
    <row r="892" spans="1:11" x14ac:dyDescent="0.25">
      <c r="A892" s="1" t="s">
        <v>1408</v>
      </c>
      <c r="B892" s="1" t="s">
        <v>62</v>
      </c>
      <c r="C892" s="1" t="s">
        <v>1051</v>
      </c>
      <c r="D892" s="1" t="s">
        <v>1503</v>
      </c>
      <c r="E892" s="1" t="s">
        <v>1509</v>
      </c>
      <c r="F892" s="1" t="s">
        <v>808</v>
      </c>
      <c r="G892" s="2">
        <v>45215</v>
      </c>
      <c r="H892" s="3">
        <v>0.70486111111111116</v>
      </c>
      <c r="I892" s="1">
        <v>-12.564277000000001</v>
      </c>
      <c r="J892" s="1">
        <v>28.480798</v>
      </c>
      <c r="K892">
        <v>107</v>
      </c>
    </row>
    <row r="893" spans="1:11" x14ac:dyDescent="0.25">
      <c r="A893" s="1" t="s">
        <v>1408</v>
      </c>
      <c r="B893" s="1" t="s">
        <v>57</v>
      </c>
      <c r="C893" s="1" t="s">
        <v>1417</v>
      </c>
      <c r="D893" s="1" t="s">
        <v>1503</v>
      </c>
      <c r="E893" s="1" t="s">
        <v>1507</v>
      </c>
      <c r="F893" s="1" t="s">
        <v>813</v>
      </c>
      <c r="G893" s="2">
        <v>45211</v>
      </c>
      <c r="H893" s="3">
        <v>6.3888888888888884E-2</v>
      </c>
      <c r="I893" s="1">
        <v>1.7832440000000001</v>
      </c>
      <c r="J893" s="1">
        <v>25.477405999999998</v>
      </c>
      <c r="K893">
        <v>6</v>
      </c>
    </row>
    <row r="894" spans="1:11" hidden="1" x14ac:dyDescent="0.25">
      <c r="A894" s="1" t="s">
        <v>1408</v>
      </c>
      <c r="B894" s="1" t="s">
        <v>1695</v>
      </c>
      <c r="C894" s="1" t="s">
        <v>1418</v>
      </c>
      <c r="D894" s="1" t="s">
        <v>1695</v>
      </c>
      <c r="E894" s="1" t="s">
        <v>1695</v>
      </c>
      <c r="F894" s="1" t="s">
        <v>811</v>
      </c>
      <c r="G894" s="2">
        <v>45225</v>
      </c>
      <c r="H894" s="3">
        <v>0.21111111111111103</v>
      </c>
      <c r="I894" s="1" t="s">
        <v>1695</v>
      </c>
      <c r="J894" s="1" t="s">
        <v>1695</v>
      </c>
      <c r="K894">
        <v>33</v>
      </c>
    </row>
    <row r="895" spans="1:11" x14ac:dyDescent="0.25">
      <c r="A895" s="1" t="s">
        <v>1408</v>
      </c>
      <c r="B895" s="1" t="s">
        <v>24</v>
      </c>
      <c r="C895" s="1" t="s">
        <v>868</v>
      </c>
      <c r="D895" s="1" t="s">
        <v>1506</v>
      </c>
      <c r="E895" s="1" t="s">
        <v>1504</v>
      </c>
      <c r="F895" s="1" t="s">
        <v>811</v>
      </c>
      <c r="G895" s="2">
        <v>45209</v>
      </c>
      <c r="H895" s="3">
        <v>0.93888888888888888</v>
      </c>
      <c r="I895" s="1">
        <v>-5.5445120000000001</v>
      </c>
      <c r="J895" s="1">
        <v>27.547335</v>
      </c>
      <c r="K895">
        <v>37</v>
      </c>
    </row>
    <row r="896" spans="1:11" hidden="1" x14ac:dyDescent="0.25">
      <c r="A896" s="1" t="s">
        <v>1408</v>
      </c>
      <c r="B896" s="1" t="s">
        <v>1695</v>
      </c>
      <c r="C896" s="1" t="s">
        <v>1076</v>
      </c>
      <c r="D896" s="1" t="s">
        <v>1695</v>
      </c>
      <c r="E896" s="1" t="s">
        <v>1695</v>
      </c>
      <c r="F896" s="1" t="s">
        <v>808</v>
      </c>
      <c r="G896" s="2">
        <v>45212</v>
      </c>
      <c r="H896" s="3">
        <v>0.20069444444444451</v>
      </c>
      <c r="I896" s="1" t="s">
        <v>1695</v>
      </c>
      <c r="J896" s="1" t="s">
        <v>1695</v>
      </c>
      <c r="K896">
        <v>82</v>
      </c>
    </row>
    <row r="897" spans="1:11" hidden="1" x14ac:dyDescent="0.25">
      <c r="A897" s="1" t="s">
        <v>1408</v>
      </c>
      <c r="B897" s="1" t="s">
        <v>1695</v>
      </c>
      <c r="C897" s="1" t="s">
        <v>1068</v>
      </c>
      <c r="D897" s="1" t="s">
        <v>1695</v>
      </c>
      <c r="E897" s="1" t="s">
        <v>1695</v>
      </c>
      <c r="F897" s="1" t="s">
        <v>811</v>
      </c>
      <c r="G897" s="2">
        <v>45227</v>
      </c>
      <c r="H897" s="3">
        <v>0.70555555555555549</v>
      </c>
      <c r="I897" s="1" t="s">
        <v>1695</v>
      </c>
      <c r="J897" s="1" t="s">
        <v>1695</v>
      </c>
      <c r="K897">
        <v>108</v>
      </c>
    </row>
    <row r="898" spans="1:11" x14ac:dyDescent="0.25">
      <c r="A898" s="1" t="s">
        <v>1408</v>
      </c>
      <c r="B898" s="1" t="s">
        <v>21</v>
      </c>
      <c r="C898" s="1" t="s">
        <v>919</v>
      </c>
      <c r="D898" s="1" t="s">
        <v>1508</v>
      </c>
      <c r="E898" s="1" t="s">
        <v>1504</v>
      </c>
      <c r="F898" s="1" t="s">
        <v>811</v>
      </c>
      <c r="G898" s="2">
        <v>45218</v>
      </c>
      <c r="H898" s="3">
        <v>7.6388888888889728E-3</v>
      </c>
      <c r="I898" s="1">
        <v>-9.4702129999999993</v>
      </c>
      <c r="J898" s="1">
        <v>12.826158</v>
      </c>
      <c r="K898">
        <v>44</v>
      </c>
    </row>
    <row r="899" spans="1:11" x14ac:dyDescent="0.25">
      <c r="A899" s="1" t="s">
        <v>1408</v>
      </c>
      <c r="B899" s="1" t="s">
        <v>24</v>
      </c>
      <c r="C899" s="1" t="s">
        <v>868</v>
      </c>
      <c r="D899" s="1" t="s">
        <v>1506</v>
      </c>
      <c r="E899" s="1" t="s">
        <v>1504</v>
      </c>
      <c r="F899" s="1" t="s">
        <v>811</v>
      </c>
      <c r="G899" s="2">
        <v>45206</v>
      </c>
      <c r="H899" s="3">
        <v>0.28680555555555554</v>
      </c>
      <c r="I899" s="1">
        <v>-5.5445120000000001</v>
      </c>
      <c r="J899" s="1">
        <v>27.547335</v>
      </c>
      <c r="K899">
        <v>96</v>
      </c>
    </row>
    <row r="900" spans="1:11" x14ac:dyDescent="0.25">
      <c r="A900" s="1" t="s">
        <v>1408</v>
      </c>
      <c r="B900" s="1" t="s">
        <v>67</v>
      </c>
      <c r="C900" s="1" t="s">
        <v>1364</v>
      </c>
      <c r="D900" s="1" t="s">
        <v>1506</v>
      </c>
      <c r="E900" s="1" t="s">
        <v>1516</v>
      </c>
      <c r="F900" s="1" t="s">
        <v>813</v>
      </c>
      <c r="G900" s="2">
        <v>45201</v>
      </c>
      <c r="H900" s="3">
        <v>0.29305555555555562</v>
      </c>
      <c r="I900" s="1">
        <v>-9.5619429999999994</v>
      </c>
      <c r="J900" s="1">
        <v>21.445726000000001</v>
      </c>
      <c r="K900">
        <v>95</v>
      </c>
    </row>
    <row r="901" spans="1:11" hidden="1" x14ac:dyDescent="0.25">
      <c r="A901" s="1" t="s">
        <v>1408</v>
      </c>
      <c r="B901" s="1" t="s">
        <v>1695</v>
      </c>
      <c r="C901" s="1" t="s">
        <v>1419</v>
      </c>
      <c r="D901" s="1" t="s">
        <v>1695</v>
      </c>
      <c r="E901" s="1" t="s">
        <v>1695</v>
      </c>
      <c r="F901" s="1" t="s">
        <v>811</v>
      </c>
      <c r="G901" s="2">
        <v>45214</v>
      </c>
      <c r="H901" s="3">
        <v>8.1944444444444375E-2</v>
      </c>
      <c r="I901" s="1" t="s">
        <v>1695</v>
      </c>
      <c r="J901" s="1" t="s">
        <v>1695</v>
      </c>
      <c r="K901">
        <v>87</v>
      </c>
    </row>
    <row r="902" spans="1:11" hidden="1" x14ac:dyDescent="0.25">
      <c r="A902" s="1" t="s">
        <v>1408</v>
      </c>
      <c r="B902" s="1" t="s">
        <v>1695</v>
      </c>
      <c r="C902" s="1" t="s">
        <v>956</v>
      </c>
      <c r="D902" s="1" t="s">
        <v>1695</v>
      </c>
      <c r="E902" s="1" t="s">
        <v>1695</v>
      </c>
      <c r="F902" s="1" t="s">
        <v>813</v>
      </c>
      <c r="G902" s="2">
        <v>45211</v>
      </c>
      <c r="H902" s="3">
        <v>0.92500000000000004</v>
      </c>
      <c r="I902" s="1" t="s">
        <v>1695</v>
      </c>
      <c r="J902" s="1" t="s">
        <v>1695</v>
      </c>
      <c r="K902">
        <v>40</v>
      </c>
    </row>
    <row r="903" spans="1:11" hidden="1" x14ac:dyDescent="0.25">
      <c r="A903" s="1" t="s">
        <v>1408</v>
      </c>
      <c r="B903" s="1" t="s">
        <v>1695</v>
      </c>
      <c r="C903" s="1" t="s">
        <v>1154</v>
      </c>
      <c r="D903" s="1" t="s">
        <v>1695</v>
      </c>
      <c r="E903" s="1" t="s">
        <v>1695</v>
      </c>
      <c r="F903" s="1" t="s">
        <v>811</v>
      </c>
      <c r="G903" s="2">
        <v>45208</v>
      </c>
      <c r="H903" s="3">
        <v>0.49444444444444446</v>
      </c>
      <c r="I903" s="1" t="s">
        <v>1695</v>
      </c>
      <c r="J903" s="1" t="s">
        <v>1695</v>
      </c>
      <c r="K903">
        <v>59</v>
      </c>
    </row>
    <row r="904" spans="1:11" x14ac:dyDescent="0.25">
      <c r="A904" s="1" t="s">
        <v>1408</v>
      </c>
      <c r="B904" s="1" t="s">
        <v>67</v>
      </c>
      <c r="C904" s="1" t="s">
        <v>909</v>
      </c>
      <c r="D904" s="1" t="s">
        <v>1503</v>
      </c>
      <c r="E904" s="1" t="s">
        <v>1509</v>
      </c>
      <c r="F904" s="1" t="s">
        <v>813</v>
      </c>
      <c r="G904" s="2">
        <v>45214</v>
      </c>
      <c r="H904" s="3">
        <v>0.68402777777777768</v>
      </c>
      <c r="I904" s="1">
        <v>-11.218453999999999</v>
      </c>
      <c r="J904" s="1">
        <v>28.230025000000001</v>
      </c>
      <c r="K904">
        <v>119</v>
      </c>
    </row>
    <row r="905" spans="1:11" x14ac:dyDescent="0.25">
      <c r="A905" s="1" t="s">
        <v>1408</v>
      </c>
      <c r="B905" s="1" t="s">
        <v>62</v>
      </c>
      <c r="C905" s="1" t="s">
        <v>1211</v>
      </c>
      <c r="D905" s="1" t="s">
        <v>1503</v>
      </c>
      <c r="E905" s="1" t="s">
        <v>1516</v>
      </c>
      <c r="F905" s="1" t="s">
        <v>808</v>
      </c>
      <c r="G905" s="2">
        <v>45220</v>
      </c>
      <c r="H905" s="3">
        <v>0.15486111111111112</v>
      </c>
      <c r="I905" s="1">
        <v>-9.8208710000000004</v>
      </c>
      <c r="J905" s="1">
        <v>23.229807000000001</v>
      </c>
      <c r="K905">
        <v>53</v>
      </c>
    </row>
    <row r="906" spans="1:11" hidden="1" x14ac:dyDescent="0.25">
      <c r="A906" s="1" t="s">
        <v>1408</v>
      </c>
      <c r="B906" s="1" t="s">
        <v>1695</v>
      </c>
      <c r="C906" s="1" t="s">
        <v>825</v>
      </c>
      <c r="D906" s="1" t="s">
        <v>1695</v>
      </c>
      <c r="E906" s="1" t="s">
        <v>1695</v>
      </c>
      <c r="F906" s="1" t="s">
        <v>811</v>
      </c>
      <c r="G906" s="2">
        <v>45200</v>
      </c>
      <c r="H906" s="3">
        <v>0.3076388888888888</v>
      </c>
      <c r="I906" s="1" t="s">
        <v>1695</v>
      </c>
      <c r="J906" s="1" t="s">
        <v>1695</v>
      </c>
      <c r="K906">
        <v>114</v>
      </c>
    </row>
    <row r="907" spans="1:11" hidden="1" x14ac:dyDescent="0.25">
      <c r="A907" s="1" t="s">
        <v>1408</v>
      </c>
      <c r="B907" s="1" t="s">
        <v>1695</v>
      </c>
      <c r="C907" s="1" t="s">
        <v>994</v>
      </c>
      <c r="D907" s="1" t="s">
        <v>1695</v>
      </c>
      <c r="E907" s="1" t="s">
        <v>1695</v>
      </c>
      <c r="F907" s="1" t="s">
        <v>811</v>
      </c>
      <c r="G907" s="2">
        <v>45215</v>
      </c>
      <c r="H907" s="3">
        <v>0.81111111111111112</v>
      </c>
      <c r="I907" s="1" t="s">
        <v>1695</v>
      </c>
      <c r="J907" s="1" t="s">
        <v>1695</v>
      </c>
      <c r="K907">
        <v>49</v>
      </c>
    </row>
    <row r="908" spans="1:11" x14ac:dyDescent="0.25">
      <c r="A908" s="1" t="s">
        <v>1408</v>
      </c>
      <c r="B908" s="1" t="s">
        <v>62</v>
      </c>
      <c r="C908" s="1" t="s">
        <v>1420</v>
      </c>
      <c r="D908" s="1" t="s">
        <v>1503</v>
      </c>
      <c r="E908" s="1" t="s">
        <v>1509</v>
      </c>
      <c r="F908" s="1" t="s">
        <v>808</v>
      </c>
      <c r="G908" s="2">
        <v>45205</v>
      </c>
      <c r="H908" s="3">
        <v>0.65069444444444446</v>
      </c>
      <c r="I908" s="1">
        <v>-10.977309</v>
      </c>
      <c r="J908" s="1">
        <v>12.408281000000001</v>
      </c>
      <c r="K908">
        <v>63</v>
      </c>
    </row>
    <row r="909" spans="1:11" x14ac:dyDescent="0.25">
      <c r="A909" s="1" t="s">
        <v>1408</v>
      </c>
      <c r="B909" s="1" t="s">
        <v>51</v>
      </c>
      <c r="C909" s="1" t="s">
        <v>945</v>
      </c>
      <c r="D909" s="1" t="s">
        <v>1508</v>
      </c>
      <c r="E909" s="1" t="s">
        <v>1516</v>
      </c>
      <c r="F909" s="1" t="s">
        <v>813</v>
      </c>
      <c r="G909" s="2">
        <v>45217</v>
      </c>
      <c r="H909" s="3">
        <v>0.4736111111111112</v>
      </c>
      <c r="I909" s="1">
        <v>-8.5675749999999997</v>
      </c>
      <c r="J909" s="1">
        <v>26.994581</v>
      </c>
      <c r="K909">
        <v>37</v>
      </c>
    </row>
    <row r="910" spans="1:11" hidden="1" x14ac:dyDescent="0.25">
      <c r="A910" s="1" t="s">
        <v>1408</v>
      </c>
      <c r="B910" s="1" t="s">
        <v>1695</v>
      </c>
      <c r="C910" s="1" t="s">
        <v>1238</v>
      </c>
      <c r="D910" s="1" t="s">
        <v>1695</v>
      </c>
      <c r="E910" s="1" t="s">
        <v>1695</v>
      </c>
      <c r="F910" s="1" t="s">
        <v>808</v>
      </c>
      <c r="G910" s="2">
        <v>45205</v>
      </c>
      <c r="H910" s="3">
        <v>0.36597222222222214</v>
      </c>
      <c r="I910" s="1" t="s">
        <v>1695</v>
      </c>
      <c r="J910" s="1" t="s">
        <v>1695</v>
      </c>
      <c r="K910">
        <v>32</v>
      </c>
    </row>
    <row r="911" spans="1:11" hidden="1" x14ac:dyDescent="0.25">
      <c r="A911" s="1" t="s">
        <v>1408</v>
      </c>
      <c r="B911" s="1" t="s">
        <v>1695</v>
      </c>
      <c r="C911" s="1" t="s">
        <v>851</v>
      </c>
      <c r="D911" s="1" t="s">
        <v>1695</v>
      </c>
      <c r="E911" s="1" t="s">
        <v>1695</v>
      </c>
      <c r="F911" s="1" t="s">
        <v>813</v>
      </c>
      <c r="G911" s="2">
        <v>45226</v>
      </c>
      <c r="H911" s="3">
        <v>0.92013888888888884</v>
      </c>
      <c r="I911" s="1" t="s">
        <v>1695</v>
      </c>
      <c r="J911" s="1" t="s">
        <v>1695</v>
      </c>
      <c r="K911">
        <v>64</v>
      </c>
    </row>
    <row r="912" spans="1:11" hidden="1" x14ac:dyDescent="0.25">
      <c r="A912" s="1" t="s">
        <v>1408</v>
      </c>
      <c r="B912" s="1" t="s">
        <v>1695</v>
      </c>
      <c r="C912" s="1" t="s">
        <v>1421</v>
      </c>
      <c r="D912" s="1" t="s">
        <v>1695</v>
      </c>
      <c r="E912" s="1" t="s">
        <v>1695</v>
      </c>
      <c r="F912" s="1" t="s">
        <v>808</v>
      </c>
      <c r="G912" s="2">
        <v>45209</v>
      </c>
      <c r="H912" s="3">
        <v>1.6666666666666607E-2</v>
      </c>
      <c r="I912" s="1" t="s">
        <v>1695</v>
      </c>
      <c r="J912" s="1" t="s">
        <v>1695</v>
      </c>
      <c r="K912">
        <v>43</v>
      </c>
    </row>
    <row r="913" spans="1:11" x14ac:dyDescent="0.25">
      <c r="A913" s="1" t="s">
        <v>1408</v>
      </c>
      <c r="B913" s="1" t="s">
        <v>10</v>
      </c>
      <c r="C913" s="1" t="s">
        <v>1145</v>
      </c>
      <c r="D913" s="1" t="s">
        <v>1503</v>
      </c>
      <c r="E913" s="1" t="s">
        <v>1504</v>
      </c>
      <c r="F913" s="1" t="s">
        <v>811</v>
      </c>
      <c r="G913" s="2">
        <v>45201</v>
      </c>
      <c r="H913" s="3">
        <v>0.24583333333333335</v>
      </c>
      <c r="I913" s="1">
        <v>-0.34051900000000002</v>
      </c>
      <c r="J913" s="1">
        <v>17.079799000000001</v>
      </c>
      <c r="K913">
        <v>91</v>
      </c>
    </row>
    <row r="914" spans="1:11" hidden="1" x14ac:dyDescent="0.25">
      <c r="A914" s="1" t="s">
        <v>1408</v>
      </c>
      <c r="B914" s="1" t="s">
        <v>1695</v>
      </c>
      <c r="C914" s="1" t="s">
        <v>1422</v>
      </c>
      <c r="D914" s="1" t="s">
        <v>1695</v>
      </c>
      <c r="E914" s="1" t="s">
        <v>1695</v>
      </c>
      <c r="F914" s="1" t="s">
        <v>813</v>
      </c>
      <c r="G914" s="2">
        <v>45218</v>
      </c>
      <c r="H914" s="3">
        <v>0.28750000000000009</v>
      </c>
      <c r="I914" s="1" t="s">
        <v>1695</v>
      </c>
      <c r="J914" s="1" t="s">
        <v>1695</v>
      </c>
      <c r="K914">
        <v>71</v>
      </c>
    </row>
    <row r="915" spans="1:11" hidden="1" x14ac:dyDescent="0.25">
      <c r="A915" s="1" t="s">
        <v>1423</v>
      </c>
      <c r="B915" s="1" t="s">
        <v>1695</v>
      </c>
      <c r="C915" s="1" t="s">
        <v>1384</v>
      </c>
      <c r="D915" s="1" t="s">
        <v>1695</v>
      </c>
      <c r="E915" s="1" t="s">
        <v>1695</v>
      </c>
      <c r="F915" s="1" t="s">
        <v>808</v>
      </c>
      <c r="G915" s="2">
        <v>45220</v>
      </c>
      <c r="H915" s="3">
        <v>9.3055555555555447E-2</v>
      </c>
      <c r="I915" s="1" t="s">
        <v>1695</v>
      </c>
      <c r="J915" s="1" t="s">
        <v>1695</v>
      </c>
      <c r="K915">
        <v>48</v>
      </c>
    </row>
    <row r="916" spans="1:11" hidden="1" x14ac:dyDescent="0.25">
      <c r="A916" s="1" t="s">
        <v>1423</v>
      </c>
      <c r="B916" s="1" t="s">
        <v>1695</v>
      </c>
      <c r="C916" s="1" t="s">
        <v>1424</v>
      </c>
      <c r="D916" s="1" t="s">
        <v>1695</v>
      </c>
      <c r="E916" s="1" t="s">
        <v>1695</v>
      </c>
      <c r="F916" s="1" t="s">
        <v>813</v>
      </c>
      <c r="G916" s="2">
        <v>45211</v>
      </c>
      <c r="H916" s="3">
        <v>0.32430555555555562</v>
      </c>
      <c r="I916" s="1" t="s">
        <v>1695</v>
      </c>
      <c r="J916" s="1" t="s">
        <v>1695</v>
      </c>
      <c r="K916">
        <v>120</v>
      </c>
    </row>
    <row r="917" spans="1:11" hidden="1" x14ac:dyDescent="0.25">
      <c r="A917" s="1" t="s">
        <v>1423</v>
      </c>
      <c r="B917" s="1" t="s">
        <v>1695</v>
      </c>
      <c r="C917" s="1" t="s">
        <v>1084</v>
      </c>
      <c r="D917" s="1" t="s">
        <v>1695</v>
      </c>
      <c r="E917" s="1" t="s">
        <v>1695</v>
      </c>
      <c r="F917" s="1" t="s">
        <v>808</v>
      </c>
      <c r="G917" s="2">
        <v>45227</v>
      </c>
      <c r="H917" s="3">
        <v>0.39305555555555549</v>
      </c>
      <c r="I917" s="1" t="s">
        <v>1695</v>
      </c>
      <c r="J917" s="1" t="s">
        <v>1695</v>
      </c>
      <c r="K917">
        <v>67</v>
      </c>
    </row>
    <row r="918" spans="1:11" hidden="1" x14ac:dyDescent="0.25">
      <c r="A918" s="1" t="s">
        <v>1423</v>
      </c>
      <c r="B918" s="1" t="s">
        <v>1695</v>
      </c>
      <c r="C918" s="1" t="s">
        <v>980</v>
      </c>
      <c r="D918" s="1" t="s">
        <v>1695</v>
      </c>
      <c r="E918" s="1" t="s">
        <v>1695</v>
      </c>
      <c r="F918" s="1" t="s">
        <v>811</v>
      </c>
      <c r="G918" s="2">
        <v>45225</v>
      </c>
      <c r="H918" s="3">
        <v>0.4326388888888888</v>
      </c>
      <c r="I918" s="1" t="s">
        <v>1695</v>
      </c>
      <c r="J918" s="1" t="s">
        <v>1695</v>
      </c>
      <c r="K918">
        <v>50</v>
      </c>
    </row>
    <row r="919" spans="1:11" hidden="1" x14ac:dyDescent="0.25">
      <c r="A919" s="1" t="s">
        <v>1423</v>
      </c>
      <c r="B919" s="1" t="s">
        <v>1695</v>
      </c>
      <c r="C919" s="1" t="s">
        <v>1425</v>
      </c>
      <c r="D919" s="1" t="s">
        <v>1695</v>
      </c>
      <c r="E919" s="1" t="s">
        <v>1695</v>
      </c>
      <c r="F919" s="1" t="s">
        <v>808</v>
      </c>
      <c r="G919" s="2">
        <v>45208</v>
      </c>
      <c r="H919" s="3">
        <v>0.76249999999999996</v>
      </c>
      <c r="I919" s="1" t="s">
        <v>1695</v>
      </c>
      <c r="J919" s="1" t="s">
        <v>1695</v>
      </c>
      <c r="K919">
        <v>101</v>
      </c>
    </row>
    <row r="920" spans="1:11" hidden="1" x14ac:dyDescent="0.25">
      <c r="A920" s="1" t="s">
        <v>1423</v>
      </c>
      <c r="B920" s="1" t="s">
        <v>1695</v>
      </c>
      <c r="C920" s="1" t="s">
        <v>1057</v>
      </c>
      <c r="D920" s="1" t="s">
        <v>1695</v>
      </c>
      <c r="E920" s="1" t="s">
        <v>1695</v>
      </c>
      <c r="F920" s="1" t="s">
        <v>813</v>
      </c>
      <c r="G920" s="2">
        <v>45214</v>
      </c>
      <c r="H920" s="3">
        <v>0.14583333333333326</v>
      </c>
      <c r="I920" s="1" t="s">
        <v>1695</v>
      </c>
      <c r="J920" s="1" t="s">
        <v>1695</v>
      </c>
      <c r="K920">
        <v>29</v>
      </c>
    </row>
    <row r="921" spans="1:11" hidden="1" x14ac:dyDescent="0.25">
      <c r="A921" s="1" t="s">
        <v>1423</v>
      </c>
      <c r="B921" s="1" t="s">
        <v>1695</v>
      </c>
      <c r="C921" s="1" t="s">
        <v>1426</v>
      </c>
      <c r="D921" s="1" t="s">
        <v>1695</v>
      </c>
      <c r="E921" s="1" t="s">
        <v>1695</v>
      </c>
      <c r="F921" s="1" t="s">
        <v>811</v>
      </c>
      <c r="G921" s="2">
        <v>45201</v>
      </c>
      <c r="H921" s="3">
        <v>0.85902777777777772</v>
      </c>
      <c r="I921" s="1" t="s">
        <v>1695</v>
      </c>
      <c r="J921" s="1" t="s">
        <v>1695</v>
      </c>
      <c r="K921">
        <v>26</v>
      </c>
    </row>
    <row r="922" spans="1:11" hidden="1" x14ac:dyDescent="0.25">
      <c r="A922" s="1" t="s">
        <v>1423</v>
      </c>
      <c r="B922" s="1" t="s">
        <v>1695</v>
      </c>
      <c r="C922" s="1" t="s">
        <v>1427</v>
      </c>
      <c r="D922" s="1" t="s">
        <v>1695</v>
      </c>
      <c r="E922" s="1" t="s">
        <v>1695</v>
      </c>
      <c r="F922" s="1" t="s">
        <v>808</v>
      </c>
      <c r="G922" s="2">
        <v>45218</v>
      </c>
      <c r="H922" s="3">
        <v>0.79444444444444451</v>
      </c>
      <c r="I922" s="1" t="s">
        <v>1695</v>
      </c>
      <c r="J922" s="1" t="s">
        <v>1695</v>
      </c>
      <c r="K922">
        <v>108</v>
      </c>
    </row>
    <row r="923" spans="1:11" hidden="1" x14ac:dyDescent="0.25">
      <c r="A923" s="1" t="s">
        <v>1423</v>
      </c>
      <c r="B923" s="1" t="s">
        <v>1695</v>
      </c>
      <c r="C923" s="1" t="s">
        <v>1428</v>
      </c>
      <c r="D923" s="1" t="s">
        <v>1695</v>
      </c>
      <c r="E923" s="1" t="s">
        <v>1695</v>
      </c>
      <c r="F923" s="1" t="s">
        <v>813</v>
      </c>
      <c r="G923" s="2">
        <v>45215</v>
      </c>
      <c r="H923" s="3">
        <v>0.27222222222222214</v>
      </c>
      <c r="I923" s="1" t="s">
        <v>1695</v>
      </c>
      <c r="J923" s="1" t="s">
        <v>1695</v>
      </c>
      <c r="K923">
        <v>56</v>
      </c>
    </row>
    <row r="924" spans="1:11" hidden="1" x14ac:dyDescent="0.25">
      <c r="A924" s="1" t="s">
        <v>1423</v>
      </c>
      <c r="B924" s="1" t="s">
        <v>1695</v>
      </c>
      <c r="C924" s="1" t="s">
        <v>979</v>
      </c>
      <c r="D924" s="1" t="s">
        <v>1695</v>
      </c>
      <c r="E924" s="1" t="s">
        <v>1695</v>
      </c>
      <c r="F924" s="1" t="s">
        <v>811</v>
      </c>
      <c r="G924" s="2">
        <v>45203</v>
      </c>
      <c r="H924" s="3">
        <v>0.89166666666666661</v>
      </c>
      <c r="I924" s="1" t="s">
        <v>1695</v>
      </c>
      <c r="J924" s="1" t="s">
        <v>1695</v>
      </c>
      <c r="K924">
        <v>7</v>
      </c>
    </row>
    <row r="925" spans="1:11" hidden="1" x14ac:dyDescent="0.25">
      <c r="A925" s="1" t="s">
        <v>1423</v>
      </c>
      <c r="B925" s="1" t="s">
        <v>1695</v>
      </c>
      <c r="C925" s="1" t="s">
        <v>1429</v>
      </c>
      <c r="D925" s="1" t="s">
        <v>1695</v>
      </c>
      <c r="E925" s="1" t="s">
        <v>1695</v>
      </c>
      <c r="F925" s="1" t="s">
        <v>813</v>
      </c>
      <c r="G925" s="2">
        <v>45216</v>
      </c>
      <c r="H925" s="3">
        <v>0.39305555555555549</v>
      </c>
      <c r="I925" s="1" t="s">
        <v>1695</v>
      </c>
      <c r="J925" s="1" t="s">
        <v>1695</v>
      </c>
      <c r="K925">
        <v>34</v>
      </c>
    </row>
    <row r="926" spans="1:11" x14ac:dyDescent="0.25">
      <c r="A926" s="1" t="s">
        <v>1423</v>
      </c>
      <c r="B926" s="1" t="s">
        <v>89</v>
      </c>
      <c r="C926" s="1" t="s">
        <v>1430</v>
      </c>
      <c r="D926" s="1" t="s">
        <v>1503</v>
      </c>
      <c r="E926" s="1" t="s">
        <v>1516</v>
      </c>
      <c r="F926" s="1" t="s">
        <v>813</v>
      </c>
      <c r="G926" s="2">
        <v>45201</v>
      </c>
      <c r="H926" s="3">
        <v>0.17222222222222228</v>
      </c>
      <c r="I926" s="1">
        <v>-7.9987219999999999</v>
      </c>
      <c r="J926" s="1">
        <v>12.779335</v>
      </c>
      <c r="K926">
        <v>33</v>
      </c>
    </row>
    <row r="927" spans="1:11" hidden="1" x14ac:dyDescent="0.25">
      <c r="A927" s="1" t="s">
        <v>1423</v>
      </c>
      <c r="B927" s="1" t="s">
        <v>1695</v>
      </c>
      <c r="C927" s="1" t="s">
        <v>830</v>
      </c>
      <c r="D927" s="1" t="s">
        <v>1695</v>
      </c>
      <c r="E927" s="1" t="s">
        <v>1695</v>
      </c>
      <c r="F927" s="1" t="s">
        <v>808</v>
      </c>
      <c r="G927" s="2">
        <v>45206</v>
      </c>
      <c r="H927" s="3">
        <v>0.43472222222222223</v>
      </c>
      <c r="I927" s="1" t="s">
        <v>1695</v>
      </c>
      <c r="J927" s="1" t="s">
        <v>1695</v>
      </c>
      <c r="K927">
        <v>98</v>
      </c>
    </row>
    <row r="928" spans="1:11" x14ac:dyDescent="0.25">
      <c r="A928" s="1" t="s">
        <v>1423</v>
      </c>
      <c r="B928" s="1" t="s">
        <v>21</v>
      </c>
      <c r="C928" s="1" t="s">
        <v>1324</v>
      </c>
      <c r="D928" s="1" t="s">
        <v>1508</v>
      </c>
      <c r="E928" s="1" t="s">
        <v>1516</v>
      </c>
      <c r="F928" s="1" t="s">
        <v>808</v>
      </c>
      <c r="G928" s="2">
        <v>45218</v>
      </c>
      <c r="H928" s="3">
        <v>0.58958333333333335</v>
      </c>
      <c r="I928" s="1">
        <v>-11.514817000000001</v>
      </c>
      <c r="J928" s="1">
        <v>24.891375</v>
      </c>
      <c r="K928">
        <v>21</v>
      </c>
    </row>
    <row r="929" spans="1:11" hidden="1" x14ac:dyDescent="0.25">
      <c r="A929" s="1" t="s">
        <v>1423</v>
      </c>
      <c r="B929" s="1" t="s">
        <v>1695</v>
      </c>
      <c r="C929" s="1" t="s">
        <v>1431</v>
      </c>
      <c r="D929" s="1" t="s">
        <v>1695</v>
      </c>
      <c r="E929" s="1" t="s">
        <v>1695</v>
      </c>
      <c r="F929" s="1" t="s">
        <v>811</v>
      </c>
      <c r="G929" s="2">
        <v>45210</v>
      </c>
      <c r="H929" s="3">
        <v>0.92430555555555549</v>
      </c>
      <c r="I929" s="1" t="s">
        <v>1695</v>
      </c>
      <c r="J929" s="1" t="s">
        <v>1695</v>
      </c>
      <c r="K929">
        <v>32</v>
      </c>
    </row>
    <row r="930" spans="1:11" x14ac:dyDescent="0.25">
      <c r="A930" s="1" t="s">
        <v>1423</v>
      </c>
      <c r="B930" s="1" t="s">
        <v>37</v>
      </c>
      <c r="C930" s="1" t="s">
        <v>1432</v>
      </c>
      <c r="D930" s="1" t="s">
        <v>1503</v>
      </c>
      <c r="E930" s="1" t="s">
        <v>1509</v>
      </c>
      <c r="F930" s="1" t="s">
        <v>813</v>
      </c>
      <c r="G930" s="2">
        <v>45224</v>
      </c>
      <c r="H930" s="3">
        <v>0.10486111111111107</v>
      </c>
      <c r="I930" s="1">
        <v>-7.0007840000000003</v>
      </c>
      <c r="J930" s="1">
        <v>22.787997000000001</v>
      </c>
      <c r="K930">
        <v>98</v>
      </c>
    </row>
    <row r="931" spans="1:11" hidden="1" x14ac:dyDescent="0.25">
      <c r="A931" s="1" t="s">
        <v>1423</v>
      </c>
      <c r="B931" s="1" t="s">
        <v>1695</v>
      </c>
      <c r="C931" s="1" t="s">
        <v>1012</v>
      </c>
      <c r="D931" s="1" t="s">
        <v>1695</v>
      </c>
      <c r="E931" s="1" t="s">
        <v>1695</v>
      </c>
      <c r="F931" s="1" t="s">
        <v>808</v>
      </c>
      <c r="G931" s="2">
        <v>45210</v>
      </c>
      <c r="H931" s="3">
        <v>0.84097222222222223</v>
      </c>
      <c r="I931" s="1" t="s">
        <v>1695</v>
      </c>
      <c r="J931" s="1" t="s">
        <v>1695</v>
      </c>
      <c r="K931">
        <v>7</v>
      </c>
    </row>
    <row r="932" spans="1:11" x14ac:dyDescent="0.25">
      <c r="A932" s="1" t="s">
        <v>1423</v>
      </c>
      <c r="B932" s="1" t="s">
        <v>24</v>
      </c>
      <c r="C932" s="1" t="s">
        <v>881</v>
      </c>
      <c r="D932" s="1" t="s">
        <v>1508</v>
      </c>
      <c r="E932" s="1" t="s">
        <v>1504</v>
      </c>
      <c r="F932" s="1" t="s">
        <v>811</v>
      </c>
      <c r="G932" s="2">
        <v>45210</v>
      </c>
      <c r="H932" s="3">
        <v>0.8354166666666667</v>
      </c>
      <c r="I932" s="1">
        <v>4.4712560000000003</v>
      </c>
      <c r="J932" s="1">
        <v>27.107028</v>
      </c>
      <c r="K932">
        <v>80</v>
      </c>
    </row>
    <row r="933" spans="1:11" hidden="1" x14ac:dyDescent="0.25">
      <c r="A933" s="1" t="s">
        <v>1423</v>
      </c>
      <c r="B933" s="1" t="s">
        <v>1695</v>
      </c>
      <c r="C933" s="1" t="s">
        <v>1323</v>
      </c>
      <c r="D933" s="1" t="s">
        <v>1695</v>
      </c>
      <c r="E933" s="1" t="s">
        <v>1695</v>
      </c>
      <c r="F933" s="1" t="s">
        <v>813</v>
      </c>
      <c r="G933" s="2">
        <v>45200</v>
      </c>
      <c r="H933" s="3">
        <v>0.59513888888888888</v>
      </c>
      <c r="I933" s="1" t="s">
        <v>1695</v>
      </c>
      <c r="J933" s="1" t="s">
        <v>1695</v>
      </c>
      <c r="K933">
        <v>69</v>
      </c>
    </row>
    <row r="934" spans="1:11" x14ac:dyDescent="0.25">
      <c r="A934" s="1" t="s">
        <v>1423</v>
      </c>
      <c r="B934" s="1" t="s">
        <v>44</v>
      </c>
      <c r="C934" s="1" t="s">
        <v>1433</v>
      </c>
      <c r="D934" s="1" t="s">
        <v>1506</v>
      </c>
      <c r="E934" s="1" t="s">
        <v>1507</v>
      </c>
      <c r="F934" s="1" t="s">
        <v>813</v>
      </c>
      <c r="G934" s="2">
        <v>45206</v>
      </c>
      <c r="H934" s="3">
        <v>0.23333333333333339</v>
      </c>
      <c r="I934" s="1">
        <v>-4.6311460000000002</v>
      </c>
      <c r="J934" s="1">
        <v>25.314723000000001</v>
      </c>
      <c r="K934">
        <v>26</v>
      </c>
    </row>
    <row r="935" spans="1:11" x14ac:dyDescent="0.25">
      <c r="A935" s="1" t="s">
        <v>1423</v>
      </c>
      <c r="B935" s="1" t="s">
        <v>131</v>
      </c>
      <c r="C935" s="1" t="s">
        <v>1434</v>
      </c>
      <c r="D935" s="1" t="s">
        <v>1503</v>
      </c>
      <c r="E935" s="1" t="s">
        <v>1516</v>
      </c>
      <c r="F935" s="1" t="s">
        <v>808</v>
      </c>
      <c r="G935" s="2">
        <v>45224</v>
      </c>
      <c r="H935" s="3">
        <v>0.22986111111111107</v>
      </c>
      <c r="I935" s="1">
        <v>-10.298385</v>
      </c>
      <c r="J935" s="1">
        <v>29.698117</v>
      </c>
      <c r="K935">
        <v>20</v>
      </c>
    </row>
    <row r="936" spans="1:11" hidden="1" x14ac:dyDescent="0.25">
      <c r="A936" s="1" t="s">
        <v>1423</v>
      </c>
      <c r="B936" s="1" t="s">
        <v>1695</v>
      </c>
      <c r="C936" s="1" t="s">
        <v>1435</v>
      </c>
      <c r="D936" s="1" t="s">
        <v>1695</v>
      </c>
      <c r="E936" s="1" t="s">
        <v>1695</v>
      </c>
      <c r="F936" s="1" t="s">
        <v>808</v>
      </c>
      <c r="G936" s="2">
        <v>45225</v>
      </c>
      <c r="H936" s="3">
        <v>8.8888888888888795E-2</v>
      </c>
      <c r="I936" s="1" t="s">
        <v>1695</v>
      </c>
      <c r="J936" s="1" t="s">
        <v>1695</v>
      </c>
      <c r="K936">
        <v>51</v>
      </c>
    </row>
    <row r="937" spans="1:11" x14ac:dyDescent="0.25">
      <c r="A937" s="1" t="s">
        <v>1423</v>
      </c>
      <c r="B937" s="1" t="s">
        <v>62</v>
      </c>
      <c r="C937" s="1" t="s">
        <v>1362</v>
      </c>
      <c r="D937" s="1" t="s">
        <v>1503</v>
      </c>
      <c r="E937" s="1" t="s">
        <v>1504</v>
      </c>
      <c r="F937" s="1" t="s">
        <v>808</v>
      </c>
      <c r="G937" s="2">
        <v>45219</v>
      </c>
      <c r="H937" s="3">
        <v>0.56944444444444442</v>
      </c>
      <c r="I937" s="1">
        <v>-7.1587569999999996</v>
      </c>
      <c r="J937" s="1">
        <v>18.975141000000001</v>
      </c>
      <c r="K937">
        <v>96</v>
      </c>
    </row>
    <row r="938" spans="1:11" x14ac:dyDescent="0.25">
      <c r="A938" s="1" t="s">
        <v>1423</v>
      </c>
      <c r="B938" s="1" t="s">
        <v>67</v>
      </c>
      <c r="C938" s="1" t="s">
        <v>1347</v>
      </c>
      <c r="D938" s="1" t="s">
        <v>1508</v>
      </c>
      <c r="E938" s="1" t="s">
        <v>1507</v>
      </c>
      <c r="F938" s="1" t="s">
        <v>811</v>
      </c>
      <c r="G938" s="2">
        <v>45213</v>
      </c>
      <c r="H938" s="3">
        <v>0.51875000000000004</v>
      </c>
      <c r="I938" s="1">
        <v>4.8265669999999998</v>
      </c>
      <c r="J938" s="1">
        <v>28.535277000000001</v>
      </c>
      <c r="K938">
        <v>88</v>
      </c>
    </row>
    <row r="939" spans="1:11" x14ac:dyDescent="0.25">
      <c r="A939" s="1" t="s">
        <v>1423</v>
      </c>
      <c r="B939" s="1" t="s">
        <v>89</v>
      </c>
      <c r="C939" s="1" t="s">
        <v>1436</v>
      </c>
      <c r="D939" s="1" t="s">
        <v>1503</v>
      </c>
      <c r="E939" s="1" t="s">
        <v>1507</v>
      </c>
      <c r="F939" s="1" t="s">
        <v>808</v>
      </c>
      <c r="G939" s="2">
        <v>45230</v>
      </c>
      <c r="H939" s="3">
        <v>0.64166666666666661</v>
      </c>
      <c r="I939" s="1">
        <v>-6.8149179999999996</v>
      </c>
      <c r="J939" s="1">
        <v>23.258102000000001</v>
      </c>
      <c r="K939">
        <v>106</v>
      </c>
    </row>
    <row r="940" spans="1:11" hidden="1" x14ac:dyDescent="0.25">
      <c r="A940" s="1" t="s">
        <v>1423</v>
      </c>
      <c r="B940" s="1" t="s">
        <v>1695</v>
      </c>
      <c r="C940" s="1" t="s">
        <v>997</v>
      </c>
      <c r="D940" s="1" t="s">
        <v>1695</v>
      </c>
      <c r="E940" s="1" t="s">
        <v>1695</v>
      </c>
      <c r="F940" s="1" t="s">
        <v>808</v>
      </c>
      <c r="G940" s="2">
        <v>45200</v>
      </c>
      <c r="H940" s="3">
        <v>6.5277777777777768E-2</v>
      </c>
      <c r="I940" s="1" t="s">
        <v>1695</v>
      </c>
      <c r="J940" s="1" t="s">
        <v>1695</v>
      </c>
      <c r="K940">
        <v>9</v>
      </c>
    </row>
    <row r="941" spans="1:11" x14ac:dyDescent="0.25">
      <c r="A941" s="1" t="s">
        <v>1423</v>
      </c>
      <c r="B941" s="1" t="s">
        <v>24</v>
      </c>
      <c r="C941" s="1" t="s">
        <v>1437</v>
      </c>
      <c r="D941" s="1" t="s">
        <v>1503</v>
      </c>
      <c r="E941" s="1" t="s">
        <v>1504</v>
      </c>
      <c r="F941" s="1" t="s">
        <v>811</v>
      </c>
      <c r="G941" s="2">
        <v>45206</v>
      </c>
      <c r="H941" s="3">
        <v>0.97430555555555554</v>
      </c>
      <c r="I941" s="1">
        <v>-2.926736</v>
      </c>
      <c r="J941" s="1">
        <v>18.170461</v>
      </c>
      <c r="K941">
        <v>53</v>
      </c>
    </row>
    <row r="942" spans="1:11" x14ac:dyDescent="0.25">
      <c r="A942" s="1" t="s">
        <v>1423</v>
      </c>
      <c r="B942" s="1" t="s">
        <v>62</v>
      </c>
      <c r="C942" s="1" t="s">
        <v>1349</v>
      </c>
      <c r="D942" s="1" t="s">
        <v>1508</v>
      </c>
      <c r="E942" s="1" t="s">
        <v>1516</v>
      </c>
      <c r="F942" s="1" t="s">
        <v>811</v>
      </c>
      <c r="G942" s="2">
        <v>45230</v>
      </c>
      <c r="H942" s="3">
        <v>3.9583333333333304E-2</v>
      </c>
      <c r="I942" s="1">
        <v>1.981107</v>
      </c>
      <c r="J942" s="1">
        <v>23.932569000000001</v>
      </c>
      <c r="K942">
        <v>117</v>
      </c>
    </row>
    <row r="943" spans="1:11" hidden="1" x14ac:dyDescent="0.25">
      <c r="A943" s="1" t="s">
        <v>1423</v>
      </c>
      <c r="B943" s="1" t="s">
        <v>1695</v>
      </c>
      <c r="C943" s="1" t="s">
        <v>1020</v>
      </c>
      <c r="D943" s="1" t="s">
        <v>1695</v>
      </c>
      <c r="E943" s="1" t="s">
        <v>1695</v>
      </c>
      <c r="F943" s="1" t="s">
        <v>813</v>
      </c>
      <c r="G943" s="2">
        <v>45210</v>
      </c>
      <c r="H943" s="3">
        <v>0.67500000000000004</v>
      </c>
      <c r="I943" s="1" t="s">
        <v>1695</v>
      </c>
      <c r="J943" s="1" t="s">
        <v>1695</v>
      </c>
      <c r="K943">
        <v>86</v>
      </c>
    </row>
    <row r="944" spans="1:11" hidden="1" x14ac:dyDescent="0.25">
      <c r="A944" s="1" t="s">
        <v>1423</v>
      </c>
      <c r="B944" s="1" t="s">
        <v>1695</v>
      </c>
      <c r="C944" s="1" t="s">
        <v>912</v>
      </c>
      <c r="D944" s="1" t="s">
        <v>1695</v>
      </c>
      <c r="E944" s="1" t="s">
        <v>1695</v>
      </c>
      <c r="F944" s="1" t="s">
        <v>808</v>
      </c>
      <c r="G944" s="2">
        <v>45220</v>
      </c>
      <c r="H944" s="3">
        <v>0.96875</v>
      </c>
      <c r="I944" s="1" t="s">
        <v>1695</v>
      </c>
      <c r="J944" s="1" t="s">
        <v>1695</v>
      </c>
      <c r="K944">
        <v>103</v>
      </c>
    </row>
    <row r="945" spans="1:11" x14ac:dyDescent="0.25">
      <c r="A945" s="1" t="s">
        <v>1423</v>
      </c>
      <c r="B945" s="1" t="s">
        <v>24</v>
      </c>
      <c r="C945" s="1" t="s">
        <v>1059</v>
      </c>
      <c r="D945" s="1" t="s">
        <v>1503</v>
      </c>
      <c r="E945" s="1" t="s">
        <v>1507</v>
      </c>
      <c r="F945" s="1" t="s">
        <v>811</v>
      </c>
      <c r="G945" s="2">
        <v>45207</v>
      </c>
      <c r="H945" s="3">
        <v>0.95555555555555549</v>
      </c>
      <c r="I945" s="1">
        <v>2.016505</v>
      </c>
      <c r="J945" s="1">
        <v>14.294164</v>
      </c>
      <c r="K945">
        <v>73</v>
      </c>
    </row>
    <row r="946" spans="1:11" hidden="1" x14ac:dyDescent="0.25">
      <c r="A946" s="1" t="s">
        <v>1423</v>
      </c>
      <c r="B946" s="1" t="s">
        <v>1695</v>
      </c>
      <c r="C946" s="1" t="s">
        <v>1438</v>
      </c>
      <c r="D946" s="1" t="s">
        <v>1695</v>
      </c>
      <c r="E946" s="1" t="s">
        <v>1695</v>
      </c>
      <c r="F946" s="1" t="s">
        <v>808</v>
      </c>
      <c r="G946" s="2">
        <v>45211</v>
      </c>
      <c r="H946" s="3">
        <v>0.38055555555555554</v>
      </c>
      <c r="I946" s="1" t="s">
        <v>1695</v>
      </c>
      <c r="J946" s="1" t="s">
        <v>1695</v>
      </c>
      <c r="K946">
        <v>84</v>
      </c>
    </row>
    <row r="947" spans="1:11" x14ac:dyDescent="0.25">
      <c r="A947" s="1" t="s">
        <v>1423</v>
      </c>
      <c r="B947" s="1" t="s">
        <v>51</v>
      </c>
      <c r="C947" s="1" t="s">
        <v>1304</v>
      </c>
      <c r="D947" s="1" t="s">
        <v>1506</v>
      </c>
      <c r="E947" s="1" t="s">
        <v>1507</v>
      </c>
      <c r="F947" s="1" t="s">
        <v>811</v>
      </c>
      <c r="G947" s="2">
        <v>45203</v>
      </c>
      <c r="H947" s="3">
        <v>0.52222222222222214</v>
      </c>
      <c r="I947" s="1">
        <v>-7.402336</v>
      </c>
      <c r="J947" s="1">
        <v>27.376697</v>
      </c>
      <c r="K947">
        <v>11</v>
      </c>
    </row>
    <row r="948" spans="1:11" x14ac:dyDescent="0.25">
      <c r="A948" s="1" t="s">
        <v>1423</v>
      </c>
      <c r="B948" s="1" t="s">
        <v>62</v>
      </c>
      <c r="C948" s="1" t="s">
        <v>815</v>
      </c>
      <c r="D948" s="1" t="s">
        <v>1503</v>
      </c>
      <c r="E948" s="1" t="s">
        <v>1504</v>
      </c>
      <c r="F948" s="1" t="s">
        <v>811</v>
      </c>
      <c r="G948" s="2">
        <v>45218</v>
      </c>
      <c r="H948" s="3">
        <v>0.38194444444444442</v>
      </c>
      <c r="I948" s="1">
        <v>-2.8211520000000001</v>
      </c>
      <c r="J948" s="1">
        <v>20.651419000000001</v>
      </c>
      <c r="K948">
        <v>81</v>
      </c>
    </row>
    <row r="949" spans="1:11" hidden="1" x14ac:dyDescent="0.25">
      <c r="A949" s="1" t="s">
        <v>1423</v>
      </c>
      <c r="B949" s="1" t="s">
        <v>1695</v>
      </c>
      <c r="C949" s="1" t="s">
        <v>1082</v>
      </c>
      <c r="D949" s="1" t="s">
        <v>1695</v>
      </c>
      <c r="E949" s="1" t="s">
        <v>1695</v>
      </c>
      <c r="F949" s="1" t="s">
        <v>808</v>
      </c>
      <c r="G949" s="2">
        <v>45202</v>
      </c>
      <c r="H949" s="3">
        <v>5.4861111111111027E-2</v>
      </c>
      <c r="I949" s="1" t="s">
        <v>1695</v>
      </c>
      <c r="J949" s="1" t="s">
        <v>1695</v>
      </c>
      <c r="K949">
        <v>11</v>
      </c>
    </row>
    <row r="950" spans="1:11" x14ac:dyDescent="0.25">
      <c r="A950" s="1" t="s">
        <v>1423</v>
      </c>
      <c r="B950" s="1" t="s">
        <v>26</v>
      </c>
      <c r="C950" s="1" t="s">
        <v>1439</v>
      </c>
      <c r="D950" s="1" t="s">
        <v>1506</v>
      </c>
      <c r="E950" s="1" t="s">
        <v>1507</v>
      </c>
      <c r="F950" s="1" t="s">
        <v>813</v>
      </c>
      <c r="G950" s="2">
        <v>45230</v>
      </c>
      <c r="H950" s="3">
        <v>0.39513888888888893</v>
      </c>
      <c r="I950" s="1">
        <v>-7.3952039999999997</v>
      </c>
      <c r="J950" s="1">
        <v>21.651043999999999</v>
      </c>
      <c r="K950">
        <v>89</v>
      </c>
    </row>
    <row r="951" spans="1:11" hidden="1" x14ac:dyDescent="0.25">
      <c r="A951" s="1" t="s">
        <v>1423</v>
      </c>
      <c r="B951" s="1" t="s">
        <v>1695</v>
      </c>
      <c r="C951" s="1" t="s">
        <v>1416</v>
      </c>
      <c r="D951" s="1" t="s">
        <v>1695</v>
      </c>
      <c r="E951" s="1" t="s">
        <v>1695</v>
      </c>
      <c r="F951" s="1" t="s">
        <v>811</v>
      </c>
      <c r="G951" s="2">
        <v>45223</v>
      </c>
      <c r="H951" s="3">
        <v>0.69305555555555554</v>
      </c>
      <c r="I951" s="1" t="s">
        <v>1695</v>
      </c>
      <c r="J951" s="1" t="s">
        <v>1695</v>
      </c>
      <c r="K951">
        <v>18</v>
      </c>
    </row>
    <row r="952" spans="1:11" x14ac:dyDescent="0.25">
      <c r="A952" s="1" t="s">
        <v>1423</v>
      </c>
      <c r="B952" s="1" t="s">
        <v>78</v>
      </c>
      <c r="C952" s="1" t="s">
        <v>1275</v>
      </c>
      <c r="D952" s="1" t="s">
        <v>1506</v>
      </c>
      <c r="E952" s="1" t="s">
        <v>1516</v>
      </c>
      <c r="F952" s="1" t="s">
        <v>808</v>
      </c>
      <c r="G952" s="2">
        <v>45216</v>
      </c>
      <c r="H952" s="3">
        <v>0.43541666666666656</v>
      </c>
      <c r="I952" s="1">
        <v>1.938083</v>
      </c>
      <c r="J952" s="1">
        <v>28.25281</v>
      </c>
      <c r="K952">
        <v>88</v>
      </c>
    </row>
    <row r="953" spans="1:11" x14ac:dyDescent="0.25">
      <c r="A953" s="1" t="s">
        <v>1423</v>
      </c>
      <c r="B953" s="1" t="s">
        <v>10</v>
      </c>
      <c r="C953" s="1" t="s">
        <v>1103</v>
      </c>
      <c r="D953" s="1" t="s">
        <v>1508</v>
      </c>
      <c r="E953" s="1" t="s">
        <v>1516</v>
      </c>
      <c r="F953" s="1" t="s">
        <v>813</v>
      </c>
      <c r="G953" s="2">
        <v>45228</v>
      </c>
      <c r="H953" s="3">
        <v>0.88055555555555554</v>
      </c>
      <c r="I953" s="1">
        <v>-4.1250960000000001</v>
      </c>
      <c r="J953" s="1">
        <v>27.799897999999999</v>
      </c>
      <c r="K953">
        <v>112</v>
      </c>
    </row>
    <row r="954" spans="1:11" x14ac:dyDescent="0.25">
      <c r="A954" s="1" t="s">
        <v>1440</v>
      </c>
      <c r="B954" s="1" t="s">
        <v>127</v>
      </c>
      <c r="C954" s="1" t="s">
        <v>1217</v>
      </c>
      <c r="D954" s="1" t="s">
        <v>1503</v>
      </c>
      <c r="E954" s="1" t="s">
        <v>1507</v>
      </c>
      <c r="F954" s="1" t="s">
        <v>811</v>
      </c>
      <c r="G954" s="2">
        <v>45211</v>
      </c>
      <c r="H954" s="3">
        <v>0.88888888888888884</v>
      </c>
      <c r="I954" s="1">
        <v>-7.1483749999999997</v>
      </c>
      <c r="J954" s="1">
        <v>26.014271000000001</v>
      </c>
      <c r="K954">
        <v>87</v>
      </c>
    </row>
    <row r="955" spans="1:11" hidden="1" x14ac:dyDescent="0.25">
      <c r="A955" s="1" t="s">
        <v>1440</v>
      </c>
      <c r="B955" s="1" t="s">
        <v>1695</v>
      </c>
      <c r="C955" s="1" t="s">
        <v>1441</v>
      </c>
      <c r="D955" s="1" t="s">
        <v>1695</v>
      </c>
      <c r="E955" s="1" t="s">
        <v>1695</v>
      </c>
      <c r="F955" s="1" t="s">
        <v>811</v>
      </c>
      <c r="G955" s="2">
        <v>45213</v>
      </c>
      <c r="H955" s="3">
        <v>0.96319444444444446</v>
      </c>
      <c r="I955" s="1" t="s">
        <v>1695</v>
      </c>
      <c r="J955" s="1" t="s">
        <v>1695</v>
      </c>
      <c r="K955">
        <v>25</v>
      </c>
    </row>
    <row r="956" spans="1:11" x14ac:dyDescent="0.25">
      <c r="A956" s="1" t="s">
        <v>1440</v>
      </c>
      <c r="B956" s="1" t="s">
        <v>26</v>
      </c>
      <c r="C956" s="1" t="s">
        <v>1129</v>
      </c>
      <c r="D956" s="1" t="s">
        <v>1506</v>
      </c>
      <c r="E956" s="1" t="s">
        <v>1507</v>
      </c>
      <c r="F956" s="1" t="s">
        <v>813</v>
      </c>
      <c r="G956" s="2">
        <v>45203</v>
      </c>
      <c r="H956" s="3">
        <v>4.1666666666666741E-2</v>
      </c>
      <c r="I956" s="1">
        <v>-2.2876210000000001</v>
      </c>
      <c r="J956" s="1">
        <v>27.582545</v>
      </c>
      <c r="K956">
        <v>69</v>
      </c>
    </row>
    <row r="957" spans="1:11" x14ac:dyDescent="0.25">
      <c r="A957" s="1" t="s">
        <v>1440</v>
      </c>
      <c r="B957" s="1" t="s">
        <v>64</v>
      </c>
      <c r="C957" s="1" t="s">
        <v>983</v>
      </c>
      <c r="D957" s="1" t="s">
        <v>1508</v>
      </c>
      <c r="E957" s="1" t="s">
        <v>1516</v>
      </c>
      <c r="F957" s="1" t="s">
        <v>811</v>
      </c>
      <c r="G957" s="2">
        <v>45227</v>
      </c>
      <c r="H957" s="3">
        <v>0.1958333333333333</v>
      </c>
      <c r="I957" s="1">
        <v>-7.5418399999999997</v>
      </c>
      <c r="J957" s="1">
        <v>16.931206</v>
      </c>
      <c r="K957">
        <v>113</v>
      </c>
    </row>
    <row r="958" spans="1:11" x14ac:dyDescent="0.25">
      <c r="A958" s="1" t="s">
        <v>1440</v>
      </c>
      <c r="B958" s="1" t="s">
        <v>18</v>
      </c>
      <c r="C958" s="1" t="s">
        <v>1348</v>
      </c>
      <c r="D958" s="1" t="s">
        <v>1506</v>
      </c>
      <c r="E958" s="1" t="s">
        <v>1507</v>
      </c>
      <c r="F958" s="1" t="s">
        <v>813</v>
      </c>
      <c r="G958" s="2">
        <v>45220</v>
      </c>
      <c r="H958" s="3">
        <v>0.22291666666666665</v>
      </c>
      <c r="I958" s="1">
        <v>-1.3938550000000001</v>
      </c>
      <c r="J958" s="1">
        <v>15.097554000000001</v>
      </c>
      <c r="K958">
        <v>65</v>
      </c>
    </row>
    <row r="959" spans="1:11" x14ac:dyDescent="0.25">
      <c r="A959" s="1" t="s">
        <v>1440</v>
      </c>
      <c r="B959" s="1" t="s">
        <v>10</v>
      </c>
      <c r="C959" s="1" t="s">
        <v>889</v>
      </c>
      <c r="D959" s="1" t="s">
        <v>1508</v>
      </c>
      <c r="E959" s="1" t="s">
        <v>1516</v>
      </c>
      <c r="F959" s="1" t="s">
        <v>808</v>
      </c>
      <c r="G959" s="2">
        <v>45211</v>
      </c>
      <c r="H959" s="3">
        <v>0.61041666666666661</v>
      </c>
      <c r="I959" s="1">
        <v>-7.0076900000000002</v>
      </c>
      <c r="J959" s="1">
        <v>27.367121999999998</v>
      </c>
      <c r="K959">
        <v>114</v>
      </c>
    </row>
    <row r="960" spans="1:11" x14ac:dyDescent="0.25">
      <c r="A960" s="1" t="s">
        <v>1440</v>
      </c>
      <c r="B960" s="1" t="s">
        <v>26</v>
      </c>
      <c r="C960" s="1" t="s">
        <v>1442</v>
      </c>
      <c r="D960" s="1" t="s">
        <v>1508</v>
      </c>
      <c r="E960" s="1" t="s">
        <v>1516</v>
      </c>
      <c r="F960" s="1" t="s">
        <v>808</v>
      </c>
      <c r="G960" s="2">
        <v>45208</v>
      </c>
      <c r="H960" s="3">
        <v>0.96180555555555558</v>
      </c>
      <c r="I960" s="1">
        <v>-2.3269820000000001</v>
      </c>
      <c r="J960" s="1">
        <v>14.609259</v>
      </c>
      <c r="K960">
        <v>68</v>
      </c>
    </row>
    <row r="961" spans="1:11" x14ac:dyDescent="0.25">
      <c r="A961" s="1" t="s">
        <v>1440</v>
      </c>
      <c r="B961" s="1" t="s">
        <v>131</v>
      </c>
      <c r="C961" s="1" t="s">
        <v>1003</v>
      </c>
      <c r="D961" s="1" t="s">
        <v>1508</v>
      </c>
      <c r="E961" s="1" t="s">
        <v>1509</v>
      </c>
      <c r="F961" s="1" t="s">
        <v>811</v>
      </c>
      <c r="G961" s="2">
        <v>45211</v>
      </c>
      <c r="H961" s="3">
        <v>0.42430555555555549</v>
      </c>
      <c r="I961" s="1">
        <v>-1.8555980000000001</v>
      </c>
      <c r="J961" s="1">
        <v>30.421918000000002</v>
      </c>
      <c r="K961">
        <v>116</v>
      </c>
    </row>
    <row r="962" spans="1:11" x14ac:dyDescent="0.25">
      <c r="A962" s="1" t="s">
        <v>1440</v>
      </c>
      <c r="B962" s="1" t="s">
        <v>89</v>
      </c>
      <c r="C962" s="1" t="s">
        <v>838</v>
      </c>
      <c r="D962" s="1" t="s">
        <v>1506</v>
      </c>
      <c r="E962" s="1" t="s">
        <v>1509</v>
      </c>
      <c r="F962" s="1" t="s">
        <v>808</v>
      </c>
      <c r="G962" s="2">
        <v>45203</v>
      </c>
      <c r="H962" s="3">
        <v>0.51736111111111116</v>
      </c>
      <c r="I962" s="1">
        <v>-8.1437910000000002</v>
      </c>
      <c r="J962" s="1">
        <v>28.946161</v>
      </c>
      <c r="K962">
        <v>26</v>
      </c>
    </row>
    <row r="963" spans="1:11" x14ac:dyDescent="0.25">
      <c r="A963" s="1" t="s">
        <v>1440</v>
      </c>
      <c r="B963" s="1" t="s">
        <v>64</v>
      </c>
      <c r="C963" s="1" t="s">
        <v>1443</v>
      </c>
      <c r="D963" s="1" t="s">
        <v>1503</v>
      </c>
      <c r="E963" s="1" t="s">
        <v>1516</v>
      </c>
      <c r="F963" s="1" t="s">
        <v>808</v>
      </c>
      <c r="G963" s="2">
        <v>45230</v>
      </c>
      <c r="H963" s="3">
        <v>0.59513888888888888</v>
      </c>
      <c r="I963" s="1">
        <v>-7.1079169999999996</v>
      </c>
      <c r="J963" s="1">
        <v>13.636272</v>
      </c>
      <c r="K963">
        <v>14</v>
      </c>
    </row>
    <row r="964" spans="1:11" x14ac:dyDescent="0.25">
      <c r="A964" s="1" t="s">
        <v>1440</v>
      </c>
      <c r="B964" s="1" t="s">
        <v>78</v>
      </c>
      <c r="C964" s="1" t="s">
        <v>1444</v>
      </c>
      <c r="D964" s="1" t="s">
        <v>1506</v>
      </c>
      <c r="E964" s="1" t="s">
        <v>1516</v>
      </c>
      <c r="F964" s="1" t="s">
        <v>813</v>
      </c>
      <c r="G964" s="2">
        <v>45226</v>
      </c>
      <c r="H964" s="3">
        <v>0.53055555555555545</v>
      </c>
      <c r="I964" s="1">
        <v>-10.650321</v>
      </c>
      <c r="J964" s="1">
        <v>15.917044000000001</v>
      </c>
      <c r="K964">
        <v>101</v>
      </c>
    </row>
    <row r="965" spans="1:11" x14ac:dyDescent="0.25">
      <c r="A965" s="1" t="s">
        <v>1440</v>
      </c>
      <c r="B965" s="1" t="s">
        <v>29</v>
      </c>
      <c r="C965" s="1" t="s">
        <v>1144</v>
      </c>
      <c r="D965" s="1" t="s">
        <v>1503</v>
      </c>
      <c r="E965" s="1" t="s">
        <v>1507</v>
      </c>
      <c r="F965" s="1" t="s">
        <v>813</v>
      </c>
      <c r="G965" s="2">
        <v>45227</v>
      </c>
      <c r="H965" s="3">
        <v>0.66041666666666665</v>
      </c>
      <c r="I965" s="1">
        <v>-5.125</v>
      </c>
      <c r="J965" s="1">
        <v>23.513119</v>
      </c>
      <c r="K965">
        <v>67</v>
      </c>
    </row>
    <row r="966" spans="1:11" x14ac:dyDescent="0.25">
      <c r="A966" s="1" t="s">
        <v>1440</v>
      </c>
      <c r="B966" s="1" t="s">
        <v>35</v>
      </c>
      <c r="C966" s="1" t="s">
        <v>1445</v>
      </c>
      <c r="D966" s="1" t="s">
        <v>1503</v>
      </c>
      <c r="E966" s="1" t="s">
        <v>1507</v>
      </c>
      <c r="F966" s="1" t="s">
        <v>811</v>
      </c>
      <c r="G966" s="2">
        <v>45213</v>
      </c>
      <c r="H966" s="3">
        <v>0.87222222222222223</v>
      </c>
      <c r="I966" s="1">
        <v>-7.513261</v>
      </c>
      <c r="J966" s="1">
        <v>24.338812000000001</v>
      </c>
      <c r="K966">
        <v>46</v>
      </c>
    </row>
    <row r="967" spans="1:11" hidden="1" x14ac:dyDescent="0.25">
      <c r="A967" s="1" t="s">
        <v>1440</v>
      </c>
      <c r="B967" s="1" t="s">
        <v>1695</v>
      </c>
      <c r="C967" s="1" t="s">
        <v>1446</v>
      </c>
      <c r="D967" s="1" t="s">
        <v>1695</v>
      </c>
      <c r="E967" s="1" t="s">
        <v>1695</v>
      </c>
      <c r="F967" s="1" t="s">
        <v>813</v>
      </c>
      <c r="G967" s="2">
        <v>45225</v>
      </c>
      <c r="H967" s="3">
        <v>0.21319444444444446</v>
      </c>
      <c r="I967" s="1" t="s">
        <v>1695</v>
      </c>
      <c r="J967" s="1" t="s">
        <v>1695</v>
      </c>
      <c r="K967">
        <v>35</v>
      </c>
    </row>
    <row r="968" spans="1:11" hidden="1" x14ac:dyDescent="0.25">
      <c r="A968" s="1" t="s">
        <v>1440</v>
      </c>
      <c r="B968" s="1" t="s">
        <v>1695</v>
      </c>
      <c r="C968" s="1" t="s">
        <v>1447</v>
      </c>
      <c r="D968" s="1" t="s">
        <v>1695</v>
      </c>
      <c r="E968" s="1" t="s">
        <v>1695</v>
      </c>
      <c r="F968" s="1" t="s">
        <v>811</v>
      </c>
      <c r="G968" s="2">
        <v>45204</v>
      </c>
      <c r="H968" s="3">
        <v>0.94861111111111107</v>
      </c>
      <c r="I968" s="1" t="s">
        <v>1695</v>
      </c>
      <c r="J968" s="1" t="s">
        <v>1695</v>
      </c>
      <c r="K968">
        <v>47</v>
      </c>
    </row>
    <row r="969" spans="1:11" x14ac:dyDescent="0.25">
      <c r="A969" s="1" t="s">
        <v>1440</v>
      </c>
      <c r="B969" s="1" t="s">
        <v>131</v>
      </c>
      <c r="C969" s="1" t="s">
        <v>873</v>
      </c>
      <c r="D969" s="1" t="s">
        <v>1503</v>
      </c>
      <c r="E969" s="1" t="s">
        <v>1509</v>
      </c>
      <c r="F969" s="1" t="s">
        <v>811</v>
      </c>
      <c r="G969" s="2">
        <v>45201</v>
      </c>
      <c r="H969" s="3">
        <v>0.21249999999999991</v>
      </c>
      <c r="I969" s="1">
        <v>0.82868600000000003</v>
      </c>
      <c r="J969" s="1">
        <v>26.958843999999999</v>
      </c>
      <c r="K969">
        <v>40</v>
      </c>
    </row>
    <row r="970" spans="1:11" hidden="1" x14ac:dyDescent="0.25">
      <c r="A970" s="1" t="s">
        <v>1440</v>
      </c>
      <c r="B970" s="1" t="s">
        <v>1695</v>
      </c>
      <c r="C970" s="1" t="s">
        <v>1448</v>
      </c>
      <c r="D970" s="1" t="s">
        <v>1695</v>
      </c>
      <c r="E970" s="1" t="s">
        <v>1695</v>
      </c>
      <c r="F970" s="1" t="s">
        <v>813</v>
      </c>
      <c r="G970" s="2">
        <v>45213</v>
      </c>
      <c r="H970" s="3">
        <v>0.77083333333333326</v>
      </c>
      <c r="I970" s="1" t="s">
        <v>1695</v>
      </c>
      <c r="J970" s="1" t="s">
        <v>1695</v>
      </c>
      <c r="K970">
        <v>11</v>
      </c>
    </row>
    <row r="971" spans="1:11" x14ac:dyDescent="0.25">
      <c r="A971" s="1" t="s">
        <v>1440</v>
      </c>
      <c r="B971" s="1" t="s">
        <v>78</v>
      </c>
      <c r="C971" s="1" t="s">
        <v>1449</v>
      </c>
      <c r="D971" s="1" t="s">
        <v>1506</v>
      </c>
      <c r="E971" s="1" t="s">
        <v>1504</v>
      </c>
      <c r="F971" s="1" t="s">
        <v>808</v>
      </c>
      <c r="G971" s="2">
        <v>45214</v>
      </c>
      <c r="H971" s="3">
        <v>0.23541666666666661</v>
      </c>
      <c r="I971" s="1">
        <v>-10.318835</v>
      </c>
      <c r="J971" s="1">
        <v>21.252382000000001</v>
      </c>
      <c r="K971">
        <v>33</v>
      </c>
    </row>
    <row r="972" spans="1:11" hidden="1" x14ac:dyDescent="0.25">
      <c r="A972" s="1" t="s">
        <v>1440</v>
      </c>
      <c r="B972" s="1" t="s">
        <v>1695</v>
      </c>
      <c r="C972" s="1" t="s">
        <v>1450</v>
      </c>
      <c r="D972" s="1" t="s">
        <v>1695</v>
      </c>
      <c r="E972" s="1" t="s">
        <v>1695</v>
      </c>
      <c r="F972" s="1" t="s">
        <v>808</v>
      </c>
      <c r="G972" s="2">
        <v>45212</v>
      </c>
      <c r="H972" s="3">
        <v>0.48541666666666661</v>
      </c>
      <c r="I972" s="1" t="s">
        <v>1695</v>
      </c>
      <c r="J972" s="1" t="s">
        <v>1695</v>
      </c>
      <c r="K972">
        <v>75</v>
      </c>
    </row>
    <row r="973" spans="1:11" x14ac:dyDescent="0.25">
      <c r="A973" s="1" t="s">
        <v>1440</v>
      </c>
      <c r="B973" s="1" t="s">
        <v>35</v>
      </c>
      <c r="C973" s="1" t="s">
        <v>1451</v>
      </c>
      <c r="D973" s="1" t="s">
        <v>1503</v>
      </c>
      <c r="E973" s="1" t="s">
        <v>1504</v>
      </c>
      <c r="F973" s="1" t="s">
        <v>808</v>
      </c>
      <c r="G973" s="2">
        <v>45200</v>
      </c>
      <c r="H973" s="3">
        <v>0.91388888888888897</v>
      </c>
      <c r="I973" s="1">
        <v>3.175935</v>
      </c>
      <c r="J973" s="1">
        <v>16.862832000000001</v>
      </c>
      <c r="K973">
        <v>87</v>
      </c>
    </row>
    <row r="974" spans="1:11" x14ac:dyDescent="0.25">
      <c r="A974" s="1" t="s">
        <v>1440</v>
      </c>
      <c r="B974" s="1" t="s">
        <v>89</v>
      </c>
      <c r="C974" s="1" t="s">
        <v>1452</v>
      </c>
      <c r="D974" s="1" t="s">
        <v>1506</v>
      </c>
      <c r="E974" s="1" t="s">
        <v>1504</v>
      </c>
      <c r="F974" s="1" t="s">
        <v>813</v>
      </c>
      <c r="G974" s="2">
        <v>45226</v>
      </c>
      <c r="H974" s="3">
        <v>0.99791666666666656</v>
      </c>
      <c r="I974" s="1">
        <v>-7.8373179999999998</v>
      </c>
      <c r="J974" s="1">
        <v>20.527591999999999</v>
      </c>
      <c r="K974">
        <v>53</v>
      </c>
    </row>
    <row r="975" spans="1:11" hidden="1" x14ac:dyDescent="0.25">
      <c r="A975" s="1" t="s">
        <v>1440</v>
      </c>
      <c r="B975" s="1" t="s">
        <v>1695</v>
      </c>
      <c r="C975" s="1" t="s">
        <v>1147</v>
      </c>
      <c r="D975" s="1" t="s">
        <v>1695</v>
      </c>
      <c r="E975" s="1" t="s">
        <v>1695</v>
      </c>
      <c r="F975" s="1" t="s">
        <v>808</v>
      </c>
      <c r="G975" s="2">
        <v>45204</v>
      </c>
      <c r="H975" s="3">
        <v>0.66527777777777786</v>
      </c>
      <c r="I975" s="1" t="s">
        <v>1695</v>
      </c>
      <c r="J975" s="1" t="s">
        <v>1695</v>
      </c>
      <c r="K975">
        <v>56</v>
      </c>
    </row>
    <row r="976" spans="1:11" hidden="1" x14ac:dyDescent="0.25">
      <c r="A976" s="1" t="s">
        <v>1440</v>
      </c>
      <c r="B976" s="1" t="s">
        <v>1695</v>
      </c>
      <c r="C976" s="1" t="s">
        <v>1453</v>
      </c>
      <c r="D976" s="1" t="s">
        <v>1695</v>
      </c>
      <c r="E976" s="1" t="s">
        <v>1695</v>
      </c>
      <c r="F976" s="1" t="s">
        <v>811</v>
      </c>
      <c r="G976" s="2">
        <v>45215</v>
      </c>
      <c r="H976" s="3">
        <v>0.16388888888888897</v>
      </c>
      <c r="I976" s="1" t="s">
        <v>1695</v>
      </c>
      <c r="J976" s="1" t="s">
        <v>1695</v>
      </c>
      <c r="K976">
        <v>109</v>
      </c>
    </row>
    <row r="977" spans="1:11" hidden="1" x14ac:dyDescent="0.25">
      <c r="A977" s="1" t="s">
        <v>1440</v>
      </c>
      <c r="B977" s="1" t="s">
        <v>1695</v>
      </c>
      <c r="C977" s="1" t="s">
        <v>1454</v>
      </c>
      <c r="D977" s="1" t="s">
        <v>1695</v>
      </c>
      <c r="E977" s="1" t="s">
        <v>1695</v>
      </c>
      <c r="F977" s="1" t="s">
        <v>811</v>
      </c>
      <c r="G977" s="2">
        <v>45213</v>
      </c>
      <c r="H977" s="3">
        <v>0.58472222222222214</v>
      </c>
      <c r="I977" s="1" t="s">
        <v>1695</v>
      </c>
      <c r="J977" s="1" t="s">
        <v>1695</v>
      </c>
      <c r="K977">
        <v>35</v>
      </c>
    </row>
    <row r="978" spans="1:11" hidden="1" x14ac:dyDescent="0.25">
      <c r="A978" s="1" t="s">
        <v>1440</v>
      </c>
      <c r="B978" s="1" t="s">
        <v>1695</v>
      </c>
      <c r="C978" s="1" t="s">
        <v>1455</v>
      </c>
      <c r="D978" s="1" t="s">
        <v>1695</v>
      </c>
      <c r="E978" s="1" t="s">
        <v>1695</v>
      </c>
      <c r="F978" s="1" t="s">
        <v>811</v>
      </c>
      <c r="G978" s="2">
        <v>45202</v>
      </c>
      <c r="H978" s="3">
        <v>0.36180555555555549</v>
      </c>
      <c r="I978" s="1" t="s">
        <v>1695</v>
      </c>
      <c r="J978" s="1" t="s">
        <v>1695</v>
      </c>
      <c r="K978">
        <v>15</v>
      </c>
    </row>
    <row r="979" spans="1:11" x14ac:dyDescent="0.25">
      <c r="A979" s="1" t="s">
        <v>1440</v>
      </c>
      <c r="B979" s="1" t="s">
        <v>40</v>
      </c>
      <c r="C979" s="1" t="s">
        <v>1149</v>
      </c>
      <c r="D979" s="1" t="s">
        <v>1503</v>
      </c>
      <c r="E979" s="1" t="s">
        <v>1504</v>
      </c>
      <c r="F979" s="1" t="s">
        <v>813</v>
      </c>
      <c r="G979" s="2">
        <v>45210</v>
      </c>
      <c r="H979" s="3">
        <v>3.125E-2</v>
      </c>
      <c r="I979" s="1">
        <v>-9.0798120000000004</v>
      </c>
      <c r="J979" s="1">
        <v>14.945484</v>
      </c>
      <c r="K979">
        <v>63</v>
      </c>
    </row>
    <row r="980" spans="1:11" x14ac:dyDescent="0.25">
      <c r="A980" s="1" t="s">
        <v>1440</v>
      </c>
      <c r="B980" s="1" t="s">
        <v>64</v>
      </c>
      <c r="C980" s="1" t="s">
        <v>1443</v>
      </c>
      <c r="D980" s="1" t="s">
        <v>1503</v>
      </c>
      <c r="E980" s="1" t="s">
        <v>1516</v>
      </c>
      <c r="F980" s="1" t="s">
        <v>808</v>
      </c>
      <c r="G980" s="2">
        <v>45227</v>
      </c>
      <c r="H980" s="3">
        <v>0.8979166666666667</v>
      </c>
      <c r="I980" s="1">
        <v>-7.1079169999999996</v>
      </c>
      <c r="J980" s="1">
        <v>13.636272</v>
      </c>
      <c r="K980">
        <v>61</v>
      </c>
    </row>
    <row r="981" spans="1:11" x14ac:dyDescent="0.25">
      <c r="A981" s="1" t="s">
        <v>1440</v>
      </c>
      <c r="B981" s="1" t="s">
        <v>44</v>
      </c>
      <c r="C981" s="1" t="s">
        <v>993</v>
      </c>
      <c r="D981" s="1" t="s">
        <v>1506</v>
      </c>
      <c r="E981" s="1" t="s">
        <v>1507</v>
      </c>
      <c r="F981" s="1" t="s">
        <v>813</v>
      </c>
      <c r="G981" s="2">
        <v>45224</v>
      </c>
      <c r="H981" s="3">
        <v>0.98333333333333339</v>
      </c>
      <c r="I981" s="1">
        <v>-9.3652280000000001</v>
      </c>
      <c r="J981" s="1">
        <v>18.674116000000001</v>
      </c>
      <c r="K981">
        <v>107</v>
      </c>
    </row>
    <row r="982" spans="1:11" x14ac:dyDescent="0.25">
      <c r="A982" s="1" t="s">
        <v>1440</v>
      </c>
      <c r="B982" s="1" t="s">
        <v>16</v>
      </c>
      <c r="C982" s="1" t="s">
        <v>1117</v>
      </c>
      <c r="D982" s="1" t="s">
        <v>1503</v>
      </c>
      <c r="E982" s="1" t="s">
        <v>1507</v>
      </c>
      <c r="F982" s="1" t="s">
        <v>811</v>
      </c>
      <c r="G982" s="2">
        <v>45223</v>
      </c>
      <c r="H982" s="3">
        <v>0.75972222222222219</v>
      </c>
      <c r="I982" s="1">
        <v>-5.3762689999999997</v>
      </c>
      <c r="J982" s="1">
        <v>28.189575999999999</v>
      </c>
      <c r="K982">
        <v>78</v>
      </c>
    </row>
    <row r="983" spans="1:11" x14ac:dyDescent="0.25">
      <c r="A983" s="1" t="s">
        <v>1440</v>
      </c>
      <c r="B983" s="1" t="s">
        <v>13</v>
      </c>
      <c r="C983" s="1" t="s">
        <v>1224</v>
      </c>
      <c r="D983" s="1" t="s">
        <v>1506</v>
      </c>
      <c r="E983" s="1" t="s">
        <v>1507</v>
      </c>
      <c r="F983" s="1" t="s">
        <v>808</v>
      </c>
      <c r="G983" s="2">
        <v>45230</v>
      </c>
      <c r="H983" s="3">
        <v>0.91319444444444442</v>
      </c>
      <c r="I983" s="1">
        <v>-1.9540519999999999</v>
      </c>
      <c r="J983" s="1">
        <v>12.667945</v>
      </c>
      <c r="K983">
        <v>62</v>
      </c>
    </row>
    <row r="984" spans="1:11" x14ac:dyDescent="0.25">
      <c r="A984" s="1" t="s">
        <v>1440</v>
      </c>
      <c r="B984" s="1" t="s">
        <v>127</v>
      </c>
      <c r="C984" s="1" t="s">
        <v>1088</v>
      </c>
      <c r="D984" s="1" t="s">
        <v>1503</v>
      </c>
      <c r="E984" s="1" t="s">
        <v>1504</v>
      </c>
      <c r="F984" s="1" t="s">
        <v>808</v>
      </c>
      <c r="G984" s="2">
        <v>45210</v>
      </c>
      <c r="H984" s="3">
        <v>0.68958333333333344</v>
      </c>
      <c r="I984" s="1">
        <v>-4.869434</v>
      </c>
      <c r="J984" s="1">
        <v>22.326522000000001</v>
      </c>
      <c r="K984">
        <v>16</v>
      </c>
    </row>
    <row r="985" spans="1:11" x14ac:dyDescent="0.25">
      <c r="A985" s="1" t="s">
        <v>1440</v>
      </c>
      <c r="B985" s="1" t="s">
        <v>18</v>
      </c>
      <c r="C985" s="1" t="s">
        <v>1456</v>
      </c>
      <c r="D985" s="1" t="s">
        <v>1506</v>
      </c>
      <c r="E985" s="1" t="s">
        <v>1509</v>
      </c>
      <c r="F985" s="1" t="s">
        <v>808</v>
      </c>
      <c r="G985" s="2">
        <v>45222</v>
      </c>
      <c r="H985" s="3">
        <v>0.94375000000000009</v>
      </c>
      <c r="I985" s="1">
        <v>-9.6407190000000007</v>
      </c>
      <c r="J985" s="1">
        <v>21.336704999999998</v>
      </c>
      <c r="K985">
        <v>114</v>
      </c>
    </row>
    <row r="986" spans="1:11" hidden="1" x14ac:dyDescent="0.25">
      <c r="A986" s="1" t="s">
        <v>1440</v>
      </c>
      <c r="B986" s="1" t="s">
        <v>1695</v>
      </c>
      <c r="C986" s="1" t="s">
        <v>1457</v>
      </c>
      <c r="D986" s="1" t="s">
        <v>1695</v>
      </c>
      <c r="E986" s="1" t="s">
        <v>1695</v>
      </c>
      <c r="F986" s="1" t="s">
        <v>813</v>
      </c>
      <c r="G986" s="2">
        <v>45203</v>
      </c>
      <c r="H986" s="3">
        <v>0.5708333333333333</v>
      </c>
      <c r="I986" s="1" t="s">
        <v>1695</v>
      </c>
      <c r="J986" s="1" t="s">
        <v>1695</v>
      </c>
      <c r="K986">
        <v>68</v>
      </c>
    </row>
    <row r="987" spans="1:11" hidden="1" x14ac:dyDescent="0.25">
      <c r="A987" s="1" t="s">
        <v>1440</v>
      </c>
      <c r="B987" s="1" t="s">
        <v>1695</v>
      </c>
      <c r="C987" s="1" t="s">
        <v>1458</v>
      </c>
      <c r="D987" s="1" t="s">
        <v>1695</v>
      </c>
      <c r="E987" s="1" t="s">
        <v>1695</v>
      </c>
      <c r="F987" s="1" t="s">
        <v>808</v>
      </c>
      <c r="G987" s="2">
        <v>45223</v>
      </c>
      <c r="H987" s="3">
        <v>0.3125</v>
      </c>
      <c r="I987" s="1" t="s">
        <v>1695</v>
      </c>
      <c r="J987" s="1" t="s">
        <v>1695</v>
      </c>
      <c r="K987">
        <v>62</v>
      </c>
    </row>
    <row r="988" spans="1:11" x14ac:dyDescent="0.25">
      <c r="A988" s="1" t="s">
        <v>1440</v>
      </c>
      <c r="B988" s="1" t="s">
        <v>31</v>
      </c>
      <c r="C988" s="1" t="s">
        <v>1017</v>
      </c>
      <c r="D988" s="1" t="s">
        <v>1508</v>
      </c>
      <c r="E988" s="1" t="s">
        <v>1504</v>
      </c>
      <c r="F988" s="1" t="s">
        <v>813</v>
      </c>
      <c r="G988" s="2">
        <v>45211</v>
      </c>
      <c r="H988" s="3">
        <v>0.90486111111111112</v>
      </c>
      <c r="I988" s="1">
        <v>-12.342053999999999</v>
      </c>
      <c r="J988" s="1">
        <v>18.756862000000002</v>
      </c>
      <c r="K988">
        <v>45</v>
      </c>
    </row>
    <row r="989" spans="1:11" hidden="1" x14ac:dyDescent="0.25">
      <c r="A989" s="1" t="s">
        <v>1440</v>
      </c>
      <c r="B989" s="1" t="s">
        <v>1695</v>
      </c>
      <c r="C989" s="1" t="s">
        <v>1258</v>
      </c>
      <c r="D989" s="1" t="s">
        <v>1695</v>
      </c>
      <c r="E989" s="1" t="s">
        <v>1695</v>
      </c>
      <c r="F989" s="1" t="s">
        <v>808</v>
      </c>
      <c r="G989" s="2">
        <v>45220</v>
      </c>
      <c r="H989" s="3">
        <v>0.50625000000000009</v>
      </c>
      <c r="I989" s="1" t="s">
        <v>1695</v>
      </c>
      <c r="J989" s="1" t="s">
        <v>1695</v>
      </c>
      <c r="K989">
        <v>20</v>
      </c>
    </row>
    <row r="990" spans="1:11" hidden="1" x14ac:dyDescent="0.25">
      <c r="A990" s="1" t="s">
        <v>1440</v>
      </c>
      <c r="B990" s="1" t="s">
        <v>1695</v>
      </c>
      <c r="C990" s="1" t="s">
        <v>1459</v>
      </c>
      <c r="D990" s="1" t="s">
        <v>1695</v>
      </c>
      <c r="E990" s="1" t="s">
        <v>1695</v>
      </c>
      <c r="F990" s="1" t="s">
        <v>811</v>
      </c>
      <c r="G990" s="2">
        <v>45226</v>
      </c>
      <c r="H990" s="3">
        <v>0.74791666666666656</v>
      </c>
      <c r="I990" s="1" t="s">
        <v>1695</v>
      </c>
      <c r="J990" s="1" t="s">
        <v>1695</v>
      </c>
      <c r="K990">
        <v>68</v>
      </c>
    </row>
    <row r="991" spans="1:11" hidden="1" x14ac:dyDescent="0.25">
      <c r="A991" s="1" t="s">
        <v>1440</v>
      </c>
      <c r="B991" s="1" t="s">
        <v>1695</v>
      </c>
      <c r="C991" s="1" t="s">
        <v>971</v>
      </c>
      <c r="D991" s="1" t="s">
        <v>1695</v>
      </c>
      <c r="E991" s="1" t="s">
        <v>1695</v>
      </c>
      <c r="F991" s="1" t="s">
        <v>813</v>
      </c>
      <c r="G991" s="2">
        <v>45219</v>
      </c>
      <c r="H991" s="3">
        <v>4.1666666666666741E-2</v>
      </c>
      <c r="I991" s="1" t="s">
        <v>1695</v>
      </c>
      <c r="J991" s="1" t="s">
        <v>1695</v>
      </c>
      <c r="K991">
        <v>100</v>
      </c>
    </row>
    <row r="992" spans="1:11" hidden="1" x14ac:dyDescent="0.25">
      <c r="A992" s="1" t="s">
        <v>1440</v>
      </c>
      <c r="B992" s="1" t="s">
        <v>1695</v>
      </c>
      <c r="C992" s="1" t="s">
        <v>1460</v>
      </c>
      <c r="D992" s="1" t="s">
        <v>1695</v>
      </c>
      <c r="E992" s="1" t="s">
        <v>1695</v>
      </c>
      <c r="F992" s="1" t="s">
        <v>811</v>
      </c>
      <c r="G992" s="2">
        <v>45225</v>
      </c>
      <c r="H992" s="3">
        <v>0.77986111111111112</v>
      </c>
      <c r="I992" s="1" t="s">
        <v>1695</v>
      </c>
      <c r="J992" s="1" t="s">
        <v>1695</v>
      </c>
      <c r="K992">
        <v>69</v>
      </c>
    </row>
    <row r="993" spans="1:11" x14ac:dyDescent="0.25">
      <c r="A993" s="1" t="s">
        <v>1461</v>
      </c>
      <c r="B993" s="1" t="s">
        <v>24</v>
      </c>
      <c r="C993" s="1" t="s">
        <v>1462</v>
      </c>
      <c r="D993" s="1" t="s">
        <v>1503</v>
      </c>
      <c r="E993" s="1" t="s">
        <v>1507</v>
      </c>
      <c r="F993" s="1" t="s">
        <v>811</v>
      </c>
      <c r="G993" s="2">
        <v>45203</v>
      </c>
      <c r="H993" s="3">
        <v>0.60347222222222219</v>
      </c>
      <c r="I993" s="1">
        <v>-5.1507670000000001</v>
      </c>
      <c r="J993" s="1">
        <v>28.075324999999999</v>
      </c>
      <c r="K993">
        <v>106</v>
      </c>
    </row>
    <row r="994" spans="1:11" x14ac:dyDescent="0.25">
      <c r="A994" s="1" t="s">
        <v>1461</v>
      </c>
      <c r="B994" s="1" t="s">
        <v>33</v>
      </c>
      <c r="C994" s="1" t="s">
        <v>985</v>
      </c>
      <c r="D994" s="1" t="s">
        <v>1506</v>
      </c>
      <c r="E994" s="1" t="s">
        <v>1504</v>
      </c>
      <c r="F994" s="1" t="s">
        <v>808</v>
      </c>
      <c r="G994" s="2">
        <v>45221</v>
      </c>
      <c r="H994" s="3">
        <v>0.77222222222222214</v>
      </c>
      <c r="I994" s="1">
        <v>-4.4451280000000004</v>
      </c>
      <c r="J994" s="1">
        <v>16.536944999999999</v>
      </c>
      <c r="K994">
        <v>107</v>
      </c>
    </row>
    <row r="995" spans="1:11" x14ac:dyDescent="0.25">
      <c r="A995" s="1" t="s">
        <v>1461</v>
      </c>
      <c r="B995" s="1" t="s">
        <v>26</v>
      </c>
      <c r="C995" s="1" t="s">
        <v>1463</v>
      </c>
      <c r="D995" s="1" t="s">
        <v>1506</v>
      </c>
      <c r="E995" s="1" t="s">
        <v>1507</v>
      </c>
      <c r="F995" s="1" t="s">
        <v>813</v>
      </c>
      <c r="G995" s="2">
        <v>45204</v>
      </c>
      <c r="H995" s="3">
        <v>0.625</v>
      </c>
      <c r="I995" s="1">
        <v>-1.6893210000000001</v>
      </c>
      <c r="J995" s="1">
        <v>30.446543999999999</v>
      </c>
      <c r="K995">
        <v>94</v>
      </c>
    </row>
    <row r="996" spans="1:11" x14ac:dyDescent="0.25">
      <c r="A996" s="1" t="s">
        <v>1461</v>
      </c>
      <c r="B996" s="1" t="s">
        <v>44</v>
      </c>
      <c r="C996" s="1" t="s">
        <v>1464</v>
      </c>
      <c r="D996" s="1" t="s">
        <v>1508</v>
      </c>
      <c r="E996" s="1" t="s">
        <v>1507</v>
      </c>
      <c r="F996" s="1" t="s">
        <v>811</v>
      </c>
      <c r="G996" s="2">
        <v>45216</v>
      </c>
      <c r="H996" s="3">
        <v>0.9604166666666667</v>
      </c>
      <c r="I996" s="1">
        <v>-7.5641280000000002</v>
      </c>
      <c r="J996" s="1">
        <v>18.129529999999999</v>
      </c>
      <c r="K996">
        <v>41</v>
      </c>
    </row>
    <row r="997" spans="1:11" x14ac:dyDescent="0.25">
      <c r="A997" s="1" t="s">
        <v>1461</v>
      </c>
      <c r="B997" s="1" t="s">
        <v>33</v>
      </c>
      <c r="C997" s="1" t="s">
        <v>1465</v>
      </c>
      <c r="D997" s="1" t="s">
        <v>1508</v>
      </c>
      <c r="E997" s="1" t="s">
        <v>1504</v>
      </c>
      <c r="F997" s="1" t="s">
        <v>811</v>
      </c>
      <c r="G997" s="2">
        <v>45217</v>
      </c>
      <c r="H997" s="3">
        <v>0.57847222222222228</v>
      </c>
      <c r="I997" s="1">
        <v>-10.735106</v>
      </c>
      <c r="J997" s="1">
        <v>27.868673999999999</v>
      </c>
      <c r="K997">
        <v>93</v>
      </c>
    </row>
    <row r="998" spans="1:11" hidden="1" x14ac:dyDescent="0.25">
      <c r="A998" s="1" t="s">
        <v>1461</v>
      </c>
      <c r="B998" s="1" t="s">
        <v>1695</v>
      </c>
      <c r="C998" s="1" t="s">
        <v>1466</v>
      </c>
      <c r="D998" s="1" t="s">
        <v>1695</v>
      </c>
      <c r="E998" s="1" t="s">
        <v>1695</v>
      </c>
      <c r="F998" s="1" t="s">
        <v>813</v>
      </c>
      <c r="G998" s="2">
        <v>45218</v>
      </c>
      <c r="H998" s="3">
        <v>0.66597222222222219</v>
      </c>
      <c r="I998" s="1" t="s">
        <v>1695</v>
      </c>
      <c r="J998" s="1" t="s">
        <v>1695</v>
      </c>
      <c r="K998">
        <v>90</v>
      </c>
    </row>
    <row r="999" spans="1:11" hidden="1" x14ac:dyDescent="0.25">
      <c r="A999" s="1" t="s">
        <v>1461</v>
      </c>
      <c r="B999" s="1" t="s">
        <v>1695</v>
      </c>
      <c r="C999" s="1" t="s">
        <v>1467</v>
      </c>
      <c r="D999" s="1" t="s">
        <v>1695</v>
      </c>
      <c r="E999" s="1" t="s">
        <v>1695</v>
      </c>
      <c r="F999" s="1" t="s">
        <v>808</v>
      </c>
      <c r="G999" s="2">
        <v>45216</v>
      </c>
      <c r="H999" s="3">
        <v>0.23888888888888893</v>
      </c>
      <c r="I999" s="1" t="s">
        <v>1695</v>
      </c>
      <c r="J999" s="1" t="s">
        <v>1695</v>
      </c>
      <c r="K999">
        <v>11</v>
      </c>
    </row>
    <row r="1000" spans="1:11" hidden="1" x14ac:dyDescent="0.25">
      <c r="A1000" s="1" t="s">
        <v>1461</v>
      </c>
      <c r="B1000" s="1" t="s">
        <v>1695</v>
      </c>
      <c r="C1000" s="1" t="s">
        <v>943</v>
      </c>
      <c r="D1000" s="1" t="s">
        <v>1695</v>
      </c>
      <c r="E1000" s="1" t="s">
        <v>1695</v>
      </c>
      <c r="F1000" s="1" t="s">
        <v>813</v>
      </c>
      <c r="G1000" s="2">
        <v>45218</v>
      </c>
      <c r="H1000" s="3">
        <v>0.24027777777777781</v>
      </c>
      <c r="I1000" s="1" t="s">
        <v>1695</v>
      </c>
      <c r="J1000" s="1" t="s">
        <v>1695</v>
      </c>
      <c r="K1000">
        <v>53</v>
      </c>
    </row>
    <row r="1001" spans="1:11" x14ac:dyDescent="0.25">
      <c r="A1001" s="1" t="s">
        <v>1461</v>
      </c>
      <c r="B1001" s="1" t="s">
        <v>13</v>
      </c>
      <c r="C1001" s="1" t="s">
        <v>858</v>
      </c>
      <c r="D1001" s="1" t="s">
        <v>1503</v>
      </c>
      <c r="E1001" s="1" t="s">
        <v>1509</v>
      </c>
      <c r="F1001" s="1" t="s">
        <v>808</v>
      </c>
      <c r="G1001" s="2">
        <v>45226</v>
      </c>
      <c r="H1001" s="3">
        <v>0.17083333333333339</v>
      </c>
      <c r="I1001" s="1">
        <v>-5.1030600000000002</v>
      </c>
      <c r="J1001" s="1">
        <v>22.849231</v>
      </c>
      <c r="K1001">
        <v>54</v>
      </c>
    </row>
    <row r="1002" spans="1:11" x14ac:dyDescent="0.25">
      <c r="A1002" s="1" t="s">
        <v>1461</v>
      </c>
      <c r="B1002" s="1" t="s">
        <v>40</v>
      </c>
      <c r="C1002" s="1" t="s">
        <v>872</v>
      </c>
      <c r="D1002" s="1" t="s">
        <v>1506</v>
      </c>
      <c r="E1002" s="1" t="s">
        <v>1507</v>
      </c>
      <c r="F1002" s="1" t="s">
        <v>808</v>
      </c>
      <c r="G1002" s="2">
        <v>45212</v>
      </c>
      <c r="H1002" s="3">
        <v>0.9013888888888888</v>
      </c>
      <c r="I1002" s="1">
        <v>-10.963041</v>
      </c>
      <c r="J1002" s="1">
        <v>12.269857</v>
      </c>
      <c r="K1002">
        <v>58</v>
      </c>
    </row>
    <row r="1003" spans="1:11" x14ac:dyDescent="0.25">
      <c r="A1003" s="1" t="s">
        <v>1461</v>
      </c>
      <c r="B1003" s="1" t="s">
        <v>31</v>
      </c>
      <c r="C1003" s="1" t="s">
        <v>1468</v>
      </c>
      <c r="D1003" s="1" t="s">
        <v>1503</v>
      </c>
      <c r="E1003" s="1" t="s">
        <v>1509</v>
      </c>
      <c r="F1003" s="1" t="s">
        <v>811</v>
      </c>
      <c r="G1003" s="2">
        <v>45219</v>
      </c>
      <c r="H1003" s="3">
        <v>0.43888888888888888</v>
      </c>
      <c r="I1003" s="1">
        <v>-0.54908599999999996</v>
      </c>
      <c r="J1003" s="1">
        <v>14.816867</v>
      </c>
      <c r="K1003">
        <v>105</v>
      </c>
    </row>
    <row r="1004" spans="1:11" hidden="1" x14ac:dyDescent="0.25">
      <c r="A1004" s="1" t="s">
        <v>1461</v>
      </c>
      <c r="B1004" s="1" t="s">
        <v>1695</v>
      </c>
      <c r="C1004" s="1" t="s">
        <v>1410</v>
      </c>
      <c r="D1004" s="1" t="s">
        <v>1695</v>
      </c>
      <c r="E1004" s="1" t="s">
        <v>1695</v>
      </c>
      <c r="F1004" s="1" t="s">
        <v>813</v>
      </c>
      <c r="G1004" s="2">
        <v>45228</v>
      </c>
      <c r="H1004" s="3">
        <v>0.51805555555555549</v>
      </c>
      <c r="I1004" s="1" t="s">
        <v>1695</v>
      </c>
      <c r="J1004" s="1" t="s">
        <v>1695</v>
      </c>
      <c r="K1004">
        <v>92</v>
      </c>
    </row>
    <row r="1005" spans="1:11" hidden="1" x14ac:dyDescent="0.25">
      <c r="A1005" s="1" t="s">
        <v>1461</v>
      </c>
      <c r="B1005" s="1" t="s">
        <v>1695</v>
      </c>
      <c r="C1005" s="1" t="s">
        <v>863</v>
      </c>
      <c r="D1005" s="1" t="s">
        <v>1695</v>
      </c>
      <c r="E1005" s="1" t="s">
        <v>1695</v>
      </c>
      <c r="F1005" s="1" t="s">
        <v>813</v>
      </c>
      <c r="G1005" s="2">
        <v>45219</v>
      </c>
      <c r="H1005" s="3">
        <v>0.95</v>
      </c>
      <c r="I1005" s="1" t="s">
        <v>1695</v>
      </c>
      <c r="J1005" s="1" t="s">
        <v>1695</v>
      </c>
      <c r="K1005">
        <v>45</v>
      </c>
    </row>
    <row r="1006" spans="1:11" hidden="1" x14ac:dyDescent="0.25">
      <c r="A1006" s="1" t="s">
        <v>1461</v>
      </c>
      <c r="B1006" s="1" t="s">
        <v>1695</v>
      </c>
      <c r="C1006" s="1" t="s">
        <v>1469</v>
      </c>
      <c r="D1006" s="1" t="s">
        <v>1695</v>
      </c>
      <c r="E1006" s="1" t="s">
        <v>1695</v>
      </c>
      <c r="F1006" s="1" t="s">
        <v>813</v>
      </c>
      <c r="G1006" s="2">
        <v>45207</v>
      </c>
      <c r="H1006" s="3">
        <v>0.35069444444444442</v>
      </c>
      <c r="I1006" s="1" t="s">
        <v>1695</v>
      </c>
      <c r="J1006" s="1" t="s">
        <v>1695</v>
      </c>
      <c r="K1006">
        <v>75</v>
      </c>
    </row>
    <row r="1007" spans="1:11" x14ac:dyDescent="0.25">
      <c r="A1007" s="1" t="s">
        <v>1461</v>
      </c>
      <c r="B1007" s="1" t="s">
        <v>26</v>
      </c>
      <c r="C1007" s="1" t="s">
        <v>1201</v>
      </c>
      <c r="D1007" s="1" t="s">
        <v>1503</v>
      </c>
      <c r="E1007" s="1" t="s">
        <v>1507</v>
      </c>
      <c r="F1007" s="1" t="s">
        <v>813</v>
      </c>
      <c r="G1007" s="2">
        <v>45230</v>
      </c>
      <c r="H1007" s="3">
        <v>0.4291666666666667</v>
      </c>
      <c r="I1007" s="1">
        <v>-2.8532869999999999</v>
      </c>
      <c r="J1007" s="1">
        <v>22.117896000000002</v>
      </c>
      <c r="K1007">
        <v>11</v>
      </c>
    </row>
    <row r="1008" spans="1:11" x14ac:dyDescent="0.25">
      <c r="A1008" s="1" t="s">
        <v>1461</v>
      </c>
      <c r="B1008" s="1" t="s">
        <v>26</v>
      </c>
      <c r="C1008" s="1" t="s">
        <v>977</v>
      </c>
      <c r="D1008" s="1" t="s">
        <v>1503</v>
      </c>
      <c r="E1008" s="1" t="s">
        <v>1509</v>
      </c>
      <c r="F1008" s="1" t="s">
        <v>808</v>
      </c>
      <c r="G1008" s="2">
        <v>45214</v>
      </c>
      <c r="H1008" s="3">
        <v>0.17222222222222228</v>
      </c>
      <c r="I1008" s="1">
        <v>-3.6945459999999999</v>
      </c>
      <c r="J1008" s="1">
        <v>16.809108999999999</v>
      </c>
      <c r="K1008">
        <v>6</v>
      </c>
    </row>
    <row r="1009" spans="1:11" hidden="1" x14ac:dyDescent="0.25">
      <c r="A1009" s="1" t="s">
        <v>1461</v>
      </c>
      <c r="B1009" s="1" t="s">
        <v>1695</v>
      </c>
      <c r="C1009" s="1" t="s">
        <v>1470</v>
      </c>
      <c r="D1009" s="1" t="s">
        <v>1695</v>
      </c>
      <c r="E1009" s="1" t="s">
        <v>1695</v>
      </c>
      <c r="F1009" s="1" t="s">
        <v>811</v>
      </c>
      <c r="G1009" s="2">
        <v>45213</v>
      </c>
      <c r="H1009" s="3">
        <v>0.82222222222222219</v>
      </c>
      <c r="I1009" s="1" t="s">
        <v>1695</v>
      </c>
      <c r="J1009" s="1" t="s">
        <v>1695</v>
      </c>
      <c r="K1009">
        <v>100</v>
      </c>
    </row>
    <row r="1010" spans="1:11" hidden="1" x14ac:dyDescent="0.25">
      <c r="A1010" s="1" t="s">
        <v>1461</v>
      </c>
      <c r="B1010" s="1" t="s">
        <v>1695</v>
      </c>
      <c r="C1010" s="1" t="s">
        <v>1014</v>
      </c>
      <c r="D1010" s="1" t="s">
        <v>1695</v>
      </c>
      <c r="E1010" s="1" t="s">
        <v>1695</v>
      </c>
      <c r="F1010" s="1" t="s">
        <v>811</v>
      </c>
      <c r="G1010" s="2">
        <v>45228</v>
      </c>
      <c r="H1010" s="3">
        <v>0.98055555555555562</v>
      </c>
      <c r="I1010" s="1" t="s">
        <v>1695</v>
      </c>
      <c r="J1010" s="1" t="s">
        <v>1695</v>
      </c>
      <c r="K1010">
        <v>37</v>
      </c>
    </row>
    <row r="1011" spans="1:11" x14ac:dyDescent="0.25">
      <c r="A1011" s="1" t="s">
        <v>1461</v>
      </c>
      <c r="B1011" s="1" t="s">
        <v>21</v>
      </c>
      <c r="C1011" s="1" t="s">
        <v>1234</v>
      </c>
      <c r="D1011" s="1" t="s">
        <v>1503</v>
      </c>
      <c r="E1011" s="1" t="s">
        <v>1516</v>
      </c>
      <c r="F1011" s="1" t="s">
        <v>811</v>
      </c>
      <c r="G1011" s="2">
        <v>45227</v>
      </c>
      <c r="H1011" s="3">
        <v>0.44791666666666674</v>
      </c>
      <c r="I1011" s="1">
        <v>2.4414509999999998</v>
      </c>
      <c r="J1011" s="1">
        <v>30.167489</v>
      </c>
      <c r="K1011">
        <v>84</v>
      </c>
    </row>
    <row r="1012" spans="1:11" x14ac:dyDescent="0.25">
      <c r="A1012" s="1" t="s">
        <v>1461</v>
      </c>
      <c r="B1012" s="1" t="s">
        <v>24</v>
      </c>
      <c r="C1012" s="1" t="s">
        <v>1024</v>
      </c>
      <c r="D1012" s="1" t="s">
        <v>1503</v>
      </c>
      <c r="E1012" s="1" t="s">
        <v>1507</v>
      </c>
      <c r="F1012" s="1" t="s">
        <v>811</v>
      </c>
      <c r="G1012" s="2">
        <v>45223</v>
      </c>
      <c r="H1012" s="3">
        <v>0.73611111111111116</v>
      </c>
      <c r="I1012" s="1">
        <v>0.16841400000000001</v>
      </c>
      <c r="J1012" s="1">
        <v>30.029876999999999</v>
      </c>
      <c r="K1012">
        <v>116</v>
      </c>
    </row>
    <row r="1013" spans="1:11" hidden="1" x14ac:dyDescent="0.25">
      <c r="A1013" s="1" t="s">
        <v>1461</v>
      </c>
      <c r="B1013" s="1" t="s">
        <v>1695</v>
      </c>
      <c r="C1013" s="1" t="s">
        <v>1471</v>
      </c>
      <c r="D1013" s="1" t="s">
        <v>1695</v>
      </c>
      <c r="E1013" s="1" t="s">
        <v>1695</v>
      </c>
      <c r="F1013" s="1" t="s">
        <v>808</v>
      </c>
      <c r="G1013" s="2">
        <v>45206</v>
      </c>
      <c r="H1013" s="3">
        <v>0.25902777777777786</v>
      </c>
      <c r="I1013" s="1" t="s">
        <v>1695</v>
      </c>
      <c r="J1013" s="1" t="s">
        <v>1695</v>
      </c>
      <c r="K1013">
        <v>104</v>
      </c>
    </row>
    <row r="1014" spans="1:11" hidden="1" x14ac:dyDescent="0.25">
      <c r="A1014" s="1" t="s">
        <v>1461</v>
      </c>
      <c r="B1014" s="1" t="s">
        <v>1695</v>
      </c>
      <c r="C1014" s="1" t="s">
        <v>1472</v>
      </c>
      <c r="D1014" s="1" t="s">
        <v>1695</v>
      </c>
      <c r="E1014" s="1" t="s">
        <v>1695</v>
      </c>
      <c r="F1014" s="1" t="s">
        <v>811</v>
      </c>
      <c r="G1014" s="2">
        <v>45221</v>
      </c>
      <c r="H1014" s="3">
        <v>0.49861111111111112</v>
      </c>
      <c r="I1014" s="1" t="s">
        <v>1695</v>
      </c>
      <c r="J1014" s="1" t="s">
        <v>1695</v>
      </c>
      <c r="K1014">
        <v>116</v>
      </c>
    </row>
    <row r="1015" spans="1:11" x14ac:dyDescent="0.25">
      <c r="A1015" s="1" t="s">
        <v>1461</v>
      </c>
      <c r="B1015" s="1" t="s">
        <v>40</v>
      </c>
      <c r="C1015" s="1" t="s">
        <v>1070</v>
      </c>
      <c r="D1015" s="1" t="s">
        <v>1506</v>
      </c>
      <c r="E1015" s="1" t="s">
        <v>1516</v>
      </c>
      <c r="F1015" s="1" t="s">
        <v>813</v>
      </c>
      <c r="G1015" s="2">
        <v>45221</v>
      </c>
      <c r="H1015" s="3">
        <v>0.19791666666666674</v>
      </c>
      <c r="I1015" s="1">
        <v>-7.5129409999999996</v>
      </c>
      <c r="J1015" s="1">
        <v>18.701522000000001</v>
      </c>
      <c r="K1015">
        <v>61</v>
      </c>
    </row>
    <row r="1016" spans="1:11" hidden="1" x14ac:dyDescent="0.25">
      <c r="A1016" s="1" t="s">
        <v>1461</v>
      </c>
      <c r="B1016" s="1" t="s">
        <v>1695</v>
      </c>
      <c r="C1016" s="1" t="s">
        <v>864</v>
      </c>
      <c r="D1016" s="1" t="s">
        <v>1695</v>
      </c>
      <c r="E1016" s="1" t="s">
        <v>1695</v>
      </c>
      <c r="F1016" s="1" t="s">
        <v>813</v>
      </c>
      <c r="G1016" s="2">
        <v>45220</v>
      </c>
      <c r="H1016" s="3">
        <v>0.23055555555555562</v>
      </c>
      <c r="I1016" s="1" t="s">
        <v>1695</v>
      </c>
      <c r="J1016" s="1" t="s">
        <v>1695</v>
      </c>
      <c r="K1016">
        <v>111</v>
      </c>
    </row>
    <row r="1017" spans="1:11" hidden="1" x14ac:dyDescent="0.25">
      <c r="A1017" s="1" t="s">
        <v>1461</v>
      </c>
      <c r="B1017" s="1" t="s">
        <v>1695</v>
      </c>
      <c r="C1017" s="1" t="s">
        <v>1473</v>
      </c>
      <c r="D1017" s="1" t="s">
        <v>1695</v>
      </c>
      <c r="E1017" s="1" t="s">
        <v>1695</v>
      </c>
      <c r="F1017" s="1" t="s">
        <v>808</v>
      </c>
      <c r="G1017" s="2">
        <v>45217</v>
      </c>
      <c r="H1017" s="3">
        <v>0.94444444444444442</v>
      </c>
      <c r="I1017" s="1" t="s">
        <v>1695</v>
      </c>
      <c r="J1017" s="1" t="s">
        <v>1695</v>
      </c>
      <c r="K1017">
        <v>33</v>
      </c>
    </row>
    <row r="1018" spans="1:11" hidden="1" x14ac:dyDescent="0.25">
      <c r="A1018" s="1" t="s">
        <v>1461</v>
      </c>
      <c r="B1018" s="1" t="s">
        <v>1695</v>
      </c>
      <c r="C1018" s="1" t="s">
        <v>1276</v>
      </c>
      <c r="D1018" s="1" t="s">
        <v>1695</v>
      </c>
      <c r="E1018" s="1" t="s">
        <v>1695</v>
      </c>
      <c r="F1018" s="1" t="s">
        <v>811</v>
      </c>
      <c r="G1018" s="2">
        <v>45210</v>
      </c>
      <c r="H1018" s="3">
        <v>0.92152777777777772</v>
      </c>
      <c r="I1018" s="1" t="s">
        <v>1695</v>
      </c>
      <c r="J1018" s="1" t="s">
        <v>1695</v>
      </c>
      <c r="K1018">
        <v>86</v>
      </c>
    </row>
    <row r="1019" spans="1:11" x14ac:dyDescent="0.25">
      <c r="A1019" s="1" t="s">
        <v>1461</v>
      </c>
      <c r="B1019" s="1" t="s">
        <v>67</v>
      </c>
      <c r="C1019" s="1" t="s">
        <v>824</v>
      </c>
      <c r="D1019" s="1" t="s">
        <v>1508</v>
      </c>
      <c r="E1019" s="1" t="s">
        <v>1516</v>
      </c>
      <c r="F1019" s="1" t="s">
        <v>811</v>
      </c>
      <c r="G1019" s="2">
        <v>45224</v>
      </c>
      <c r="H1019" s="3">
        <v>0.48263888888888884</v>
      </c>
      <c r="I1019" s="1">
        <v>-2.2371569999999998</v>
      </c>
      <c r="J1019" s="1">
        <v>25.926188</v>
      </c>
      <c r="K1019">
        <v>95</v>
      </c>
    </row>
    <row r="1020" spans="1:11" x14ac:dyDescent="0.25">
      <c r="A1020" s="1" t="s">
        <v>1461</v>
      </c>
      <c r="B1020" s="1" t="s">
        <v>73</v>
      </c>
      <c r="C1020" s="1" t="s">
        <v>1171</v>
      </c>
      <c r="D1020" s="1" t="s">
        <v>1508</v>
      </c>
      <c r="E1020" s="1" t="s">
        <v>1504</v>
      </c>
      <c r="F1020" s="1" t="s">
        <v>811</v>
      </c>
      <c r="G1020" s="2">
        <v>45215</v>
      </c>
      <c r="H1020" s="3">
        <v>0.77499999999999991</v>
      </c>
      <c r="I1020" s="1">
        <v>-0.85624699999999998</v>
      </c>
      <c r="J1020" s="1">
        <v>28.624870000000001</v>
      </c>
      <c r="K1020">
        <v>95</v>
      </c>
    </row>
    <row r="1021" spans="1:11" hidden="1" x14ac:dyDescent="0.25">
      <c r="A1021" s="1" t="s">
        <v>1461</v>
      </c>
      <c r="B1021" s="1" t="s">
        <v>1695</v>
      </c>
      <c r="C1021" s="1" t="s">
        <v>1412</v>
      </c>
      <c r="D1021" s="1" t="s">
        <v>1695</v>
      </c>
      <c r="E1021" s="1" t="s">
        <v>1695</v>
      </c>
      <c r="F1021" s="1" t="s">
        <v>808</v>
      </c>
      <c r="G1021" s="2">
        <v>45230</v>
      </c>
      <c r="H1021" s="3">
        <v>0.90625</v>
      </c>
      <c r="I1021" s="1" t="s">
        <v>1695</v>
      </c>
      <c r="J1021" s="1" t="s">
        <v>1695</v>
      </c>
      <c r="K1021">
        <v>87</v>
      </c>
    </row>
    <row r="1022" spans="1:11" x14ac:dyDescent="0.25">
      <c r="A1022" s="1" t="s">
        <v>1461</v>
      </c>
      <c r="B1022" s="1" t="s">
        <v>131</v>
      </c>
      <c r="C1022" s="1" t="s">
        <v>1434</v>
      </c>
      <c r="D1022" s="1" t="s">
        <v>1503</v>
      </c>
      <c r="E1022" s="1" t="s">
        <v>1516</v>
      </c>
      <c r="F1022" s="1" t="s">
        <v>808</v>
      </c>
      <c r="G1022" s="2">
        <v>45213</v>
      </c>
      <c r="H1022" s="3">
        <v>0.90763888888888888</v>
      </c>
      <c r="I1022" s="1">
        <v>-10.298385</v>
      </c>
      <c r="J1022" s="1">
        <v>29.698117</v>
      </c>
      <c r="K1022">
        <v>52</v>
      </c>
    </row>
    <row r="1023" spans="1:11" hidden="1" x14ac:dyDescent="0.25">
      <c r="A1023" s="1" t="s">
        <v>1461</v>
      </c>
      <c r="B1023" s="1" t="s">
        <v>1695</v>
      </c>
      <c r="C1023" s="1" t="s">
        <v>1474</v>
      </c>
      <c r="D1023" s="1" t="s">
        <v>1695</v>
      </c>
      <c r="E1023" s="1" t="s">
        <v>1695</v>
      </c>
      <c r="F1023" s="1" t="s">
        <v>811</v>
      </c>
      <c r="G1023" s="2">
        <v>45228</v>
      </c>
      <c r="H1023" s="3">
        <v>0.72083333333333344</v>
      </c>
      <c r="I1023" s="1" t="s">
        <v>1695</v>
      </c>
      <c r="J1023" s="1" t="s">
        <v>1695</v>
      </c>
      <c r="K1023">
        <v>101</v>
      </c>
    </row>
    <row r="1024" spans="1:11" x14ac:dyDescent="0.25">
      <c r="A1024" s="1" t="s">
        <v>1461</v>
      </c>
      <c r="B1024" s="1" t="s">
        <v>127</v>
      </c>
      <c r="C1024" s="1" t="s">
        <v>957</v>
      </c>
      <c r="D1024" s="1" t="s">
        <v>1508</v>
      </c>
      <c r="E1024" s="1" t="s">
        <v>1507</v>
      </c>
      <c r="F1024" s="1" t="s">
        <v>813</v>
      </c>
      <c r="G1024" s="2">
        <v>45228</v>
      </c>
      <c r="H1024" s="3">
        <v>0.57708333333333339</v>
      </c>
      <c r="I1024" s="1">
        <v>-1.8045979999999999</v>
      </c>
      <c r="J1024" s="1">
        <v>12.511096999999999</v>
      </c>
      <c r="K1024">
        <v>80</v>
      </c>
    </row>
    <row r="1025" spans="1:11" x14ac:dyDescent="0.25">
      <c r="A1025" s="1" t="s">
        <v>1461</v>
      </c>
      <c r="B1025" s="1" t="s">
        <v>10</v>
      </c>
      <c r="C1025" s="1" t="s">
        <v>1475</v>
      </c>
      <c r="D1025" s="1" t="s">
        <v>1506</v>
      </c>
      <c r="E1025" s="1" t="s">
        <v>1509</v>
      </c>
      <c r="F1025" s="1" t="s">
        <v>813</v>
      </c>
      <c r="G1025" s="2">
        <v>45200</v>
      </c>
      <c r="H1025" s="3">
        <v>0.67083333333333339</v>
      </c>
      <c r="I1025" s="1">
        <v>-4.6426759999999998</v>
      </c>
      <c r="J1025" s="1">
        <v>22.124254000000001</v>
      </c>
      <c r="K1025">
        <v>74</v>
      </c>
    </row>
    <row r="1026" spans="1:11" x14ac:dyDescent="0.25">
      <c r="A1026" s="1" t="s">
        <v>1461</v>
      </c>
      <c r="B1026" s="1" t="s">
        <v>24</v>
      </c>
      <c r="C1026" s="1" t="s">
        <v>1305</v>
      </c>
      <c r="D1026" s="1" t="s">
        <v>1506</v>
      </c>
      <c r="E1026" s="1" t="s">
        <v>1504</v>
      </c>
      <c r="F1026" s="1" t="s">
        <v>808</v>
      </c>
      <c r="G1026" s="2">
        <v>45200</v>
      </c>
      <c r="H1026" s="3">
        <v>0.50625000000000009</v>
      </c>
      <c r="I1026" s="1">
        <v>-10.945031</v>
      </c>
      <c r="J1026" s="1">
        <v>27.922274000000002</v>
      </c>
      <c r="K1026">
        <v>99</v>
      </c>
    </row>
    <row r="1027" spans="1:11" x14ac:dyDescent="0.25">
      <c r="A1027" s="1" t="s">
        <v>1461</v>
      </c>
      <c r="B1027" s="1" t="s">
        <v>131</v>
      </c>
      <c r="C1027" s="1" t="s">
        <v>976</v>
      </c>
      <c r="D1027" s="1" t="s">
        <v>1503</v>
      </c>
      <c r="E1027" s="1" t="s">
        <v>1507</v>
      </c>
      <c r="F1027" s="1" t="s">
        <v>813</v>
      </c>
      <c r="G1027" s="2">
        <v>45201</v>
      </c>
      <c r="H1027" s="3">
        <v>0.87708333333333344</v>
      </c>
      <c r="I1027" s="1">
        <v>-12.336202</v>
      </c>
      <c r="J1027" s="1">
        <v>13.693683999999999</v>
      </c>
      <c r="K1027">
        <v>82</v>
      </c>
    </row>
    <row r="1028" spans="1:11" hidden="1" x14ac:dyDescent="0.25">
      <c r="A1028" s="1" t="s">
        <v>1461</v>
      </c>
      <c r="B1028" s="1" t="s">
        <v>1695</v>
      </c>
      <c r="C1028" s="1" t="s">
        <v>1476</v>
      </c>
      <c r="D1028" s="1" t="s">
        <v>1695</v>
      </c>
      <c r="E1028" s="1" t="s">
        <v>1695</v>
      </c>
      <c r="F1028" s="1" t="s">
        <v>813</v>
      </c>
      <c r="G1028" s="2">
        <v>45206</v>
      </c>
      <c r="H1028" s="3">
        <v>0.3666666666666667</v>
      </c>
      <c r="I1028" s="1" t="s">
        <v>1695</v>
      </c>
      <c r="J1028" s="1" t="s">
        <v>1695</v>
      </c>
      <c r="K1028">
        <v>30</v>
      </c>
    </row>
    <row r="1029" spans="1:11" x14ac:dyDescent="0.25">
      <c r="A1029" s="1" t="s">
        <v>1461</v>
      </c>
      <c r="B1029" s="1" t="s">
        <v>33</v>
      </c>
      <c r="C1029" s="1" t="s">
        <v>1477</v>
      </c>
      <c r="D1029" s="1" t="s">
        <v>1503</v>
      </c>
      <c r="E1029" s="1" t="s">
        <v>1507</v>
      </c>
      <c r="F1029" s="1" t="s">
        <v>811</v>
      </c>
      <c r="G1029" s="2">
        <v>45225</v>
      </c>
      <c r="H1029" s="3">
        <v>0.22083333333333344</v>
      </c>
      <c r="I1029" s="1">
        <v>-8.0800809999999998</v>
      </c>
      <c r="J1029" s="1">
        <v>30.147970999999998</v>
      </c>
      <c r="K1029">
        <v>104</v>
      </c>
    </row>
    <row r="1030" spans="1:11" hidden="1" x14ac:dyDescent="0.25">
      <c r="A1030" s="1" t="s">
        <v>1461</v>
      </c>
      <c r="B1030" s="1" t="s">
        <v>1695</v>
      </c>
      <c r="C1030" s="1" t="s">
        <v>1328</v>
      </c>
      <c r="D1030" s="1" t="s">
        <v>1695</v>
      </c>
      <c r="E1030" s="1" t="s">
        <v>1695</v>
      </c>
      <c r="F1030" s="1" t="s">
        <v>811</v>
      </c>
      <c r="G1030" s="2">
        <v>45221</v>
      </c>
      <c r="H1030" s="3">
        <v>0.33958333333333335</v>
      </c>
      <c r="I1030" s="1" t="s">
        <v>1695</v>
      </c>
      <c r="J1030" s="1" t="s">
        <v>1695</v>
      </c>
      <c r="K1030">
        <v>97</v>
      </c>
    </row>
    <row r="1031" spans="1:11" hidden="1" x14ac:dyDescent="0.25">
      <c r="A1031" s="1" t="s">
        <v>1461</v>
      </c>
      <c r="B1031" s="1" t="s">
        <v>1695</v>
      </c>
      <c r="C1031" s="1" t="s">
        <v>1478</v>
      </c>
      <c r="D1031" s="1" t="s">
        <v>1695</v>
      </c>
      <c r="E1031" s="1" t="s">
        <v>1695</v>
      </c>
      <c r="F1031" s="1" t="s">
        <v>813</v>
      </c>
      <c r="G1031" s="2">
        <v>45226</v>
      </c>
      <c r="H1031" s="3">
        <v>7.2222222222222188E-2</v>
      </c>
      <c r="I1031" s="1" t="s">
        <v>1695</v>
      </c>
      <c r="J1031" s="1" t="s">
        <v>1695</v>
      </c>
      <c r="K1031">
        <v>29</v>
      </c>
    </row>
    <row r="1032" spans="1:11" hidden="1" x14ac:dyDescent="0.25">
      <c r="A1032" s="1" t="s">
        <v>1461</v>
      </c>
      <c r="B1032" s="1" t="s">
        <v>1695</v>
      </c>
      <c r="C1032" s="1" t="s">
        <v>1367</v>
      </c>
      <c r="D1032" s="1" t="s">
        <v>1695</v>
      </c>
      <c r="E1032" s="1" t="s">
        <v>1695</v>
      </c>
      <c r="F1032" s="1" t="s">
        <v>808</v>
      </c>
      <c r="G1032" s="2">
        <v>45225</v>
      </c>
      <c r="H1032" s="3">
        <v>0.38402777777777786</v>
      </c>
      <c r="I1032" s="1" t="s">
        <v>1695</v>
      </c>
      <c r="J1032" s="1" t="s">
        <v>1695</v>
      </c>
      <c r="K1032">
        <v>42</v>
      </c>
    </row>
    <row r="1033" spans="1:11" hidden="1" x14ac:dyDescent="0.25">
      <c r="A1033" s="1" t="s">
        <v>1461</v>
      </c>
      <c r="B1033" s="1" t="s">
        <v>1695</v>
      </c>
      <c r="C1033" s="1" t="s">
        <v>1479</v>
      </c>
      <c r="D1033" s="1" t="s">
        <v>1695</v>
      </c>
      <c r="E1033" s="1" t="s">
        <v>1695</v>
      </c>
      <c r="F1033" s="1" t="s">
        <v>811</v>
      </c>
      <c r="G1033" s="2">
        <v>45224</v>
      </c>
      <c r="H1033" s="3">
        <v>0.70972222222222214</v>
      </c>
      <c r="I1033" s="1" t="s">
        <v>1695</v>
      </c>
      <c r="J1033" s="1" t="s">
        <v>1695</v>
      </c>
      <c r="K1033">
        <v>62</v>
      </c>
    </row>
    <row r="1034" spans="1:11" x14ac:dyDescent="0.25">
      <c r="A1034" s="1" t="s">
        <v>1461</v>
      </c>
      <c r="B1034" s="1" t="s">
        <v>60</v>
      </c>
      <c r="C1034" s="1" t="s">
        <v>1480</v>
      </c>
      <c r="D1034" s="1" t="s">
        <v>1508</v>
      </c>
      <c r="E1034" s="1" t="s">
        <v>1504</v>
      </c>
      <c r="F1034" s="1" t="s">
        <v>813</v>
      </c>
      <c r="G1034" s="2">
        <v>45211</v>
      </c>
      <c r="H1034" s="3">
        <v>0.58749999999999991</v>
      </c>
      <c r="I1034" s="1">
        <v>-7.8215969999999997</v>
      </c>
      <c r="J1034" s="1">
        <v>26.797349000000001</v>
      </c>
      <c r="K1034">
        <v>27</v>
      </c>
    </row>
    <row r="1035" spans="1:11" hidden="1" x14ac:dyDescent="0.25">
      <c r="A1035" s="1" t="s">
        <v>1461</v>
      </c>
      <c r="B1035" s="1" t="s">
        <v>1695</v>
      </c>
      <c r="C1035" s="1" t="s">
        <v>1481</v>
      </c>
      <c r="D1035" s="1" t="s">
        <v>1695</v>
      </c>
      <c r="E1035" s="1" t="s">
        <v>1695</v>
      </c>
      <c r="F1035" s="1" t="s">
        <v>811</v>
      </c>
      <c r="G1035" s="2">
        <v>45219</v>
      </c>
      <c r="H1035" s="3">
        <v>0.90763888888888888</v>
      </c>
      <c r="I1035" s="1" t="s">
        <v>1695</v>
      </c>
      <c r="J1035" s="1" t="s">
        <v>1695</v>
      </c>
      <c r="K1035">
        <v>92</v>
      </c>
    </row>
    <row r="1036" spans="1:11" hidden="1" x14ac:dyDescent="0.25">
      <c r="A1036" s="1" t="s">
        <v>1461</v>
      </c>
      <c r="B1036" s="1" t="s">
        <v>1695</v>
      </c>
      <c r="C1036" s="1" t="s">
        <v>1482</v>
      </c>
      <c r="D1036" s="1" t="s">
        <v>1695</v>
      </c>
      <c r="E1036" s="1" t="s">
        <v>1695</v>
      </c>
      <c r="F1036" s="1" t="s">
        <v>811</v>
      </c>
      <c r="G1036" s="2">
        <v>45217</v>
      </c>
      <c r="H1036" s="3">
        <v>0.32430555555555562</v>
      </c>
      <c r="I1036" s="1" t="s">
        <v>1695</v>
      </c>
      <c r="J1036" s="1" t="s">
        <v>1695</v>
      </c>
      <c r="K1036">
        <v>14</v>
      </c>
    </row>
    <row r="1037" spans="1:11" x14ac:dyDescent="0.25">
      <c r="A1037" s="1" t="s">
        <v>1461</v>
      </c>
      <c r="B1037" s="1" t="s">
        <v>37</v>
      </c>
      <c r="C1037" s="1" t="s">
        <v>928</v>
      </c>
      <c r="D1037" s="1" t="s">
        <v>1503</v>
      </c>
      <c r="E1037" s="1" t="s">
        <v>1507</v>
      </c>
      <c r="F1037" s="1" t="s">
        <v>813</v>
      </c>
      <c r="G1037" s="2">
        <v>45220</v>
      </c>
      <c r="H1037" s="3">
        <v>0.72500000000000009</v>
      </c>
      <c r="I1037" s="1">
        <v>-9.002459</v>
      </c>
      <c r="J1037" s="1">
        <v>25.182109000000001</v>
      </c>
      <c r="K1037">
        <v>28</v>
      </c>
    </row>
    <row r="1038" spans="1:11" x14ac:dyDescent="0.25">
      <c r="A1038" s="1" t="s">
        <v>1461</v>
      </c>
      <c r="B1038" s="1" t="s">
        <v>35</v>
      </c>
      <c r="C1038" s="1" t="s">
        <v>1483</v>
      </c>
      <c r="D1038" s="1" t="s">
        <v>1506</v>
      </c>
      <c r="E1038" s="1" t="s">
        <v>1516</v>
      </c>
      <c r="F1038" s="1" t="s">
        <v>813</v>
      </c>
      <c r="G1038" s="2">
        <v>45207</v>
      </c>
      <c r="H1038" s="3">
        <v>0.70138888888888884</v>
      </c>
      <c r="I1038" s="1">
        <v>-10.764815</v>
      </c>
      <c r="J1038" s="1">
        <v>14.602039</v>
      </c>
      <c r="K1038">
        <v>27</v>
      </c>
    </row>
    <row r="1039" spans="1:11" hidden="1" x14ac:dyDescent="0.25">
      <c r="A1039" s="1" t="s">
        <v>1461</v>
      </c>
      <c r="B1039" s="1" t="s">
        <v>1695</v>
      </c>
      <c r="C1039" s="1" t="s">
        <v>1484</v>
      </c>
      <c r="D1039" s="1" t="s">
        <v>1695</v>
      </c>
      <c r="E1039" s="1" t="s">
        <v>1695</v>
      </c>
      <c r="F1039" s="1" t="s">
        <v>808</v>
      </c>
      <c r="G1039" s="2">
        <v>45219</v>
      </c>
      <c r="H1039" s="3">
        <v>0.9291666666666667</v>
      </c>
      <c r="I1039" s="1" t="s">
        <v>1695</v>
      </c>
      <c r="J1039" s="1" t="s">
        <v>1695</v>
      </c>
      <c r="K1039">
        <v>115</v>
      </c>
    </row>
    <row r="1040" spans="1:11" hidden="1" x14ac:dyDescent="0.25">
      <c r="A1040" s="1" t="s">
        <v>1485</v>
      </c>
      <c r="B1040" s="1" t="s">
        <v>1695</v>
      </c>
      <c r="C1040" s="1" t="s">
        <v>1106</v>
      </c>
      <c r="D1040" s="1" t="s">
        <v>1695</v>
      </c>
      <c r="E1040" s="1" t="s">
        <v>1695</v>
      </c>
      <c r="F1040" s="1" t="s">
        <v>808</v>
      </c>
      <c r="G1040" s="2">
        <v>45230</v>
      </c>
      <c r="H1040" s="3">
        <v>0.73194444444444451</v>
      </c>
      <c r="I1040" s="1" t="s">
        <v>1695</v>
      </c>
      <c r="J1040" s="1" t="s">
        <v>1695</v>
      </c>
      <c r="K1040">
        <v>52</v>
      </c>
    </row>
    <row r="1041" spans="1:11" hidden="1" x14ac:dyDescent="0.25">
      <c r="A1041" s="1" t="s">
        <v>1485</v>
      </c>
      <c r="B1041" s="1" t="s">
        <v>1695</v>
      </c>
      <c r="C1041" s="1" t="s">
        <v>1074</v>
      </c>
      <c r="D1041" s="1" t="s">
        <v>1695</v>
      </c>
      <c r="E1041" s="1" t="s">
        <v>1695</v>
      </c>
      <c r="F1041" s="1" t="s">
        <v>808</v>
      </c>
      <c r="G1041" s="2">
        <v>45200</v>
      </c>
      <c r="H1041" s="3">
        <v>0.83611111111111103</v>
      </c>
      <c r="I1041" s="1" t="s">
        <v>1695</v>
      </c>
      <c r="J1041" s="1" t="s">
        <v>1695</v>
      </c>
      <c r="K1041">
        <v>6</v>
      </c>
    </row>
    <row r="1042" spans="1:11" hidden="1" x14ac:dyDescent="0.25">
      <c r="A1042" s="1" t="s">
        <v>1485</v>
      </c>
      <c r="B1042" s="1" t="s">
        <v>1695</v>
      </c>
      <c r="C1042" s="1" t="s">
        <v>1486</v>
      </c>
      <c r="D1042" s="1" t="s">
        <v>1695</v>
      </c>
      <c r="E1042" s="1" t="s">
        <v>1695</v>
      </c>
      <c r="F1042" s="1" t="s">
        <v>813</v>
      </c>
      <c r="G1042" s="2">
        <v>45206</v>
      </c>
      <c r="H1042" s="3">
        <v>0.90277777777777768</v>
      </c>
      <c r="I1042" s="1" t="s">
        <v>1695</v>
      </c>
      <c r="J1042" s="1" t="s">
        <v>1695</v>
      </c>
      <c r="K1042">
        <v>75</v>
      </c>
    </row>
    <row r="1043" spans="1:11" hidden="1" x14ac:dyDescent="0.25">
      <c r="A1043" s="1" t="s">
        <v>1485</v>
      </c>
      <c r="B1043" s="1" t="s">
        <v>1695</v>
      </c>
      <c r="C1043" s="1" t="s">
        <v>1147</v>
      </c>
      <c r="D1043" s="1" t="s">
        <v>1695</v>
      </c>
      <c r="E1043" s="1" t="s">
        <v>1695</v>
      </c>
      <c r="F1043" s="1" t="s">
        <v>813</v>
      </c>
      <c r="G1043" s="2">
        <v>45224</v>
      </c>
      <c r="H1043" s="3">
        <v>0.28819444444444442</v>
      </c>
      <c r="I1043" s="1" t="s">
        <v>1695</v>
      </c>
      <c r="J1043" s="1" t="s">
        <v>1695</v>
      </c>
      <c r="K1043">
        <v>116</v>
      </c>
    </row>
    <row r="1044" spans="1:11" hidden="1" x14ac:dyDescent="0.25">
      <c r="A1044" s="1" t="s">
        <v>1485</v>
      </c>
      <c r="B1044" s="1" t="s">
        <v>1695</v>
      </c>
      <c r="C1044" s="1" t="s">
        <v>1013</v>
      </c>
      <c r="D1044" s="1" t="s">
        <v>1695</v>
      </c>
      <c r="E1044" s="1" t="s">
        <v>1695</v>
      </c>
      <c r="F1044" s="1" t="s">
        <v>813</v>
      </c>
      <c r="G1044" s="2">
        <v>45221</v>
      </c>
      <c r="H1044" s="3">
        <v>0.57847222222222228</v>
      </c>
      <c r="I1044" s="1" t="s">
        <v>1695</v>
      </c>
      <c r="J1044" s="1" t="s">
        <v>1695</v>
      </c>
      <c r="K1044">
        <v>76</v>
      </c>
    </row>
    <row r="1045" spans="1:11" hidden="1" x14ac:dyDescent="0.25">
      <c r="A1045" s="1" t="s">
        <v>1485</v>
      </c>
      <c r="B1045" s="1" t="s">
        <v>1695</v>
      </c>
      <c r="C1045" s="1" t="s">
        <v>852</v>
      </c>
      <c r="D1045" s="1" t="s">
        <v>1695</v>
      </c>
      <c r="E1045" s="1" t="s">
        <v>1695</v>
      </c>
      <c r="F1045" s="1" t="s">
        <v>813</v>
      </c>
      <c r="G1045" s="2">
        <v>45203</v>
      </c>
      <c r="H1045" s="3">
        <v>0.27361111111111103</v>
      </c>
      <c r="I1045" s="1" t="s">
        <v>1695</v>
      </c>
      <c r="J1045" s="1" t="s">
        <v>1695</v>
      </c>
      <c r="K1045">
        <v>23</v>
      </c>
    </row>
    <row r="1046" spans="1:11" hidden="1" x14ac:dyDescent="0.25">
      <c r="A1046" s="1" t="s">
        <v>1485</v>
      </c>
      <c r="B1046" s="1" t="s">
        <v>1695</v>
      </c>
      <c r="C1046" s="1" t="s">
        <v>1487</v>
      </c>
      <c r="D1046" s="1" t="s">
        <v>1695</v>
      </c>
      <c r="E1046" s="1" t="s">
        <v>1695</v>
      </c>
      <c r="F1046" s="1" t="s">
        <v>811</v>
      </c>
      <c r="G1046" s="2">
        <v>45226</v>
      </c>
      <c r="H1046" s="3">
        <v>0.95555555555555549</v>
      </c>
      <c r="I1046" s="1" t="s">
        <v>1695</v>
      </c>
      <c r="J1046" s="1" t="s">
        <v>1695</v>
      </c>
      <c r="K1046">
        <v>20</v>
      </c>
    </row>
    <row r="1047" spans="1:11" x14ac:dyDescent="0.25">
      <c r="A1047" s="1" t="s">
        <v>1485</v>
      </c>
      <c r="B1047" s="1" t="s">
        <v>44</v>
      </c>
      <c r="C1047" s="1" t="s">
        <v>993</v>
      </c>
      <c r="D1047" s="1" t="s">
        <v>1506</v>
      </c>
      <c r="E1047" s="1" t="s">
        <v>1507</v>
      </c>
      <c r="F1047" s="1" t="s">
        <v>811</v>
      </c>
      <c r="G1047" s="2">
        <v>45223</v>
      </c>
      <c r="H1047" s="3">
        <v>0.57013888888888897</v>
      </c>
      <c r="I1047" s="1">
        <v>-9.3652280000000001</v>
      </c>
      <c r="J1047" s="1">
        <v>18.674116000000001</v>
      </c>
      <c r="K1047">
        <v>10</v>
      </c>
    </row>
    <row r="1048" spans="1:11" x14ac:dyDescent="0.25">
      <c r="A1048" s="1" t="s">
        <v>1485</v>
      </c>
      <c r="B1048" s="1" t="s">
        <v>57</v>
      </c>
      <c r="C1048" s="1" t="s">
        <v>1131</v>
      </c>
      <c r="D1048" s="1" t="s">
        <v>1503</v>
      </c>
      <c r="E1048" s="1" t="s">
        <v>1509</v>
      </c>
      <c r="F1048" s="1" t="s">
        <v>813</v>
      </c>
      <c r="G1048" s="2">
        <v>45226</v>
      </c>
      <c r="H1048" s="3">
        <v>0.11597222222222214</v>
      </c>
      <c r="I1048" s="1">
        <v>2.486888</v>
      </c>
      <c r="J1048" s="1">
        <v>23.798074</v>
      </c>
      <c r="K1048">
        <v>5</v>
      </c>
    </row>
    <row r="1049" spans="1:11" x14ac:dyDescent="0.25">
      <c r="A1049" s="1" t="s">
        <v>1485</v>
      </c>
      <c r="B1049" s="1" t="s">
        <v>51</v>
      </c>
      <c r="C1049" s="1" t="s">
        <v>923</v>
      </c>
      <c r="D1049" s="1" t="s">
        <v>1506</v>
      </c>
      <c r="E1049" s="1" t="s">
        <v>1504</v>
      </c>
      <c r="F1049" s="1" t="s">
        <v>811</v>
      </c>
      <c r="G1049" s="2">
        <v>45221</v>
      </c>
      <c r="H1049" s="3">
        <v>0.16736111111111107</v>
      </c>
      <c r="I1049" s="1">
        <v>2.4741019999999998</v>
      </c>
      <c r="J1049" s="1">
        <v>29.297391000000001</v>
      </c>
      <c r="K1049">
        <v>78</v>
      </c>
    </row>
    <row r="1050" spans="1:11" hidden="1" x14ac:dyDescent="0.25">
      <c r="A1050" s="1" t="s">
        <v>1485</v>
      </c>
      <c r="B1050" s="1" t="s">
        <v>1695</v>
      </c>
      <c r="C1050" s="1" t="s">
        <v>1276</v>
      </c>
      <c r="D1050" s="1" t="s">
        <v>1695</v>
      </c>
      <c r="E1050" s="1" t="s">
        <v>1695</v>
      </c>
      <c r="F1050" s="1" t="s">
        <v>811</v>
      </c>
      <c r="G1050" s="2">
        <v>45214</v>
      </c>
      <c r="H1050" s="3">
        <v>0.93124999999999991</v>
      </c>
      <c r="I1050" s="1" t="s">
        <v>1695</v>
      </c>
      <c r="J1050" s="1" t="s">
        <v>1695</v>
      </c>
      <c r="K1050">
        <v>81</v>
      </c>
    </row>
    <row r="1051" spans="1:11" x14ac:dyDescent="0.25">
      <c r="A1051" s="1" t="s">
        <v>1485</v>
      </c>
      <c r="B1051" s="1" t="s">
        <v>131</v>
      </c>
      <c r="C1051" s="1" t="s">
        <v>1003</v>
      </c>
      <c r="D1051" s="1" t="s">
        <v>1508</v>
      </c>
      <c r="E1051" s="1" t="s">
        <v>1509</v>
      </c>
      <c r="F1051" s="1" t="s">
        <v>808</v>
      </c>
      <c r="G1051" s="2">
        <v>45201</v>
      </c>
      <c r="H1051" s="3">
        <v>8.6111111111111027E-2</v>
      </c>
      <c r="I1051" s="1">
        <v>-1.8555980000000001</v>
      </c>
      <c r="J1051" s="1">
        <v>30.421918000000002</v>
      </c>
      <c r="K1051">
        <v>55</v>
      </c>
    </row>
    <row r="1052" spans="1:11" hidden="1" x14ac:dyDescent="0.25">
      <c r="A1052" s="1" t="s">
        <v>1485</v>
      </c>
      <c r="B1052" s="1" t="s">
        <v>1695</v>
      </c>
      <c r="C1052" s="1" t="s">
        <v>1110</v>
      </c>
      <c r="D1052" s="1" t="s">
        <v>1695</v>
      </c>
      <c r="E1052" s="1" t="s">
        <v>1695</v>
      </c>
      <c r="F1052" s="1" t="s">
        <v>811</v>
      </c>
      <c r="G1052" s="2">
        <v>45201</v>
      </c>
      <c r="H1052" s="3">
        <v>0.24305555555555558</v>
      </c>
      <c r="I1052" s="1" t="s">
        <v>1695</v>
      </c>
      <c r="J1052" s="1" t="s">
        <v>1695</v>
      </c>
      <c r="K1052">
        <v>73</v>
      </c>
    </row>
    <row r="1053" spans="1:11" hidden="1" x14ac:dyDescent="0.25">
      <c r="A1053" s="1" t="s">
        <v>1485</v>
      </c>
      <c r="B1053" s="1" t="s">
        <v>1695</v>
      </c>
      <c r="C1053" s="1" t="s">
        <v>1162</v>
      </c>
      <c r="D1053" s="1" t="s">
        <v>1695</v>
      </c>
      <c r="E1053" s="1" t="s">
        <v>1695</v>
      </c>
      <c r="F1053" s="1" t="s">
        <v>811</v>
      </c>
      <c r="G1053" s="2">
        <v>45208</v>
      </c>
      <c r="H1053" s="3">
        <v>0.71111111111111103</v>
      </c>
      <c r="I1053" s="1" t="s">
        <v>1695</v>
      </c>
      <c r="J1053" s="1" t="s">
        <v>1695</v>
      </c>
      <c r="K1053">
        <v>75</v>
      </c>
    </row>
    <row r="1054" spans="1:11" x14ac:dyDescent="0.25">
      <c r="A1054" s="1" t="s">
        <v>1485</v>
      </c>
      <c r="B1054" s="1" t="s">
        <v>131</v>
      </c>
      <c r="C1054" s="1" t="s">
        <v>1003</v>
      </c>
      <c r="D1054" s="1" t="s">
        <v>1508</v>
      </c>
      <c r="E1054" s="1" t="s">
        <v>1509</v>
      </c>
      <c r="F1054" s="1" t="s">
        <v>813</v>
      </c>
      <c r="G1054" s="2">
        <v>45218</v>
      </c>
      <c r="H1054" s="3">
        <v>0.33194444444444438</v>
      </c>
      <c r="I1054" s="1">
        <v>-1.8555980000000001</v>
      </c>
      <c r="J1054" s="1">
        <v>30.421918000000002</v>
      </c>
      <c r="K1054">
        <v>15</v>
      </c>
    </row>
    <row r="1055" spans="1:11" x14ac:dyDescent="0.25">
      <c r="A1055" s="1" t="s">
        <v>1485</v>
      </c>
      <c r="B1055" s="1" t="s">
        <v>33</v>
      </c>
      <c r="C1055" s="1" t="s">
        <v>1477</v>
      </c>
      <c r="D1055" s="1" t="s">
        <v>1503</v>
      </c>
      <c r="E1055" s="1" t="s">
        <v>1507</v>
      </c>
      <c r="F1055" s="1" t="s">
        <v>813</v>
      </c>
      <c r="G1055" s="2">
        <v>45208</v>
      </c>
      <c r="H1055" s="3">
        <v>0.55833333333333335</v>
      </c>
      <c r="I1055" s="1">
        <v>-8.0800809999999998</v>
      </c>
      <c r="J1055" s="1">
        <v>30.147970999999998</v>
      </c>
      <c r="K1055">
        <v>44</v>
      </c>
    </row>
    <row r="1056" spans="1:11" x14ac:dyDescent="0.25">
      <c r="A1056" s="1" t="s">
        <v>1485</v>
      </c>
      <c r="B1056" s="1" t="s">
        <v>57</v>
      </c>
      <c r="C1056" s="1" t="s">
        <v>1167</v>
      </c>
      <c r="D1056" s="1" t="s">
        <v>1508</v>
      </c>
      <c r="E1056" s="1" t="s">
        <v>1504</v>
      </c>
      <c r="F1056" s="1" t="s">
        <v>813</v>
      </c>
      <c r="G1056" s="2">
        <v>45214</v>
      </c>
      <c r="H1056" s="3">
        <v>0.85069444444444442</v>
      </c>
      <c r="I1056" s="1">
        <v>-5.4073029999999997</v>
      </c>
      <c r="J1056" s="1">
        <v>29.762294000000001</v>
      </c>
      <c r="K1056">
        <v>31</v>
      </c>
    </row>
    <row r="1057" spans="1:11" hidden="1" x14ac:dyDescent="0.25">
      <c r="A1057" s="1" t="s">
        <v>1485</v>
      </c>
      <c r="B1057" s="1" t="s">
        <v>1695</v>
      </c>
      <c r="C1057" s="1" t="s">
        <v>1147</v>
      </c>
      <c r="D1057" s="1" t="s">
        <v>1695</v>
      </c>
      <c r="E1057" s="1" t="s">
        <v>1695</v>
      </c>
      <c r="F1057" s="1" t="s">
        <v>808</v>
      </c>
      <c r="G1057" s="2">
        <v>45213</v>
      </c>
      <c r="H1057" s="3">
        <v>0.41736111111111107</v>
      </c>
      <c r="I1057" s="1" t="s">
        <v>1695</v>
      </c>
      <c r="J1057" s="1" t="s">
        <v>1695</v>
      </c>
      <c r="K1057">
        <v>100</v>
      </c>
    </row>
    <row r="1058" spans="1:11" hidden="1" x14ac:dyDescent="0.25">
      <c r="A1058" s="1" t="s">
        <v>1485</v>
      </c>
      <c r="B1058" s="1" t="s">
        <v>1695</v>
      </c>
      <c r="C1058" s="1" t="s">
        <v>1160</v>
      </c>
      <c r="D1058" s="1" t="s">
        <v>1695</v>
      </c>
      <c r="E1058" s="1" t="s">
        <v>1695</v>
      </c>
      <c r="F1058" s="1" t="s">
        <v>808</v>
      </c>
      <c r="G1058" s="2">
        <v>45212</v>
      </c>
      <c r="H1058" s="3">
        <v>0.8798611111111112</v>
      </c>
      <c r="I1058" s="1" t="s">
        <v>1695</v>
      </c>
      <c r="J1058" s="1" t="s">
        <v>1695</v>
      </c>
      <c r="K1058">
        <v>99</v>
      </c>
    </row>
    <row r="1059" spans="1:11" x14ac:dyDescent="0.25">
      <c r="A1059" s="1" t="s">
        <v>1485</v>
      </c>
      <c r="B1059" s="1" t="s">
        <v>21</v>
      </c>
      <c r="C1059" s="1" t="s">
        <v>1121</v>
      </c>
      <c r="D1059" s="1" t="s">
        <v>1508</v>
      </c>
      <c r="E1059" s="1" t="s">
        <v>1516</v>
      </c>
      <c r="F1059" s="1" t="s">
        <v>813</v>
      </c>
      <c r="G1059" s="2">
        <v>45217</v>
      </c>
      <c r="H1059" s="3">
        <v>2.8472222222222232E-2</v>
      </c>
      <c r="I1059" s="1">
        <v>-4.1694589999999998</v>
      </c>
      <c r="J1059" s="1">
        <v>23.376487000000001</v>
      </c>
      <c r="K1059">
        <v>120</v>
      </c>
    </row>
    <row r="1060" spans="1:11" x14ac:dyDescent="0.25">
      <c r="A1060" s="1" t="s">
        <v>1485</v>
      </c>
      <c r="B1060" s="1" t="s">
        <v>127</v>
      </c>
      <c r="C1060" s="1" t="s">
        <v>1488</v>
      </c>
      <c r="D1060" s="1" t="s">
        <v>1506</v>
      </c>
      <c r="E1060" s="1" t="s">
        <v>1516</v>
      </c>
      <c r="F1060" s="1" t="s">
        <v>808</v>
      </c>
      <c r="G1060" s="2">
        <v>45223</v>
      </c>
      <c r="H1060" s="3">
        <v>0.79444444444444451</v>
      </c>
      <c r="I1060" s="1">
        <v>1.0134879999999999</v>
      </c>
      <c r="J1060" s="1">
        <v>20.363515</v>
      </c>
      <c r="K1060">
        <v>97</v>
      </c>
    </row>
    <row r="1061" spans="1:11" hidden="1" x14ac:dyDescent="0.25">
      <c r="A1061" s="1" t="s">
        <v>1485</v>
      </c>
      <c r="B1061" s="1" t="s">
        <v>1695</v>
      </c>
      <c r="C1061" s="1" t="s">
        <v>1489</v>
      </c>
      <c r="D1061" s="1" t="s">
        <v>1695</v>
      </c>
      <c r="E1061" s="1" t="s">
        <v>1695</v>
      </c>
      <c r="F1061" s="1" t="s">
        <v>808</v>
      </c>
      <c r="G1061" s="2">
        <v>45224</v>
      </c>
      <c r="H1061" s="3">
        <v>0.98402777777777772</v>
      </c>
      <c r="I1061" s="1" t="s">
        <v>1695</v>
      </c>
      <c r="J1061" s="1" t="s">
        <v>1695</v>
      </c>
      <c r="K1061">
        <v>49</v>
      </c>
    </row>
    <row r="1062" spans="1:11" hidden="1" x14ac:dyDescent="0.25">
      <c r="A1062" s="1" t="s">
        <v>1485</v>
      </c>
      <c r="B1062" s="1" t="s">
        <v>1695</v>
      </c>
      <c r="C1062" s="1" t="s">
        <v>1490</v>
      </c>
      <c r="D1062" s="1" t="s">
        <v>1695</v>
      </c>
      <c r="E1062" s="1" t="s">
        <v>1695</v>
      </c>
      <c r="F1062" s="1" t="s">
        <v>811</v>
      </c>
      <c r="G1062" s="2">
        <v>45201</v>
      </c>
      <c r="H1062" s="3">
        <v>0.95416666666666661</v>
      </c>
      <c r="I1062" s="1" t="s">
        <v>1695</v>
      </c>
      <c r="J1062" s="1" t="s">
        <v>1695</v>
      </c>
      <c r="K1062">
        <v>32</v>
      </c>
    </row>
    <row r="1063" spans="1:11" hidden="1" x14ac:dyDescent="0.25">
      <c r="A1063" s="1" t="s">
        <v>1485</v>
      </c>
      <c r="B1063" s="1" t="s">
        <v>1695</v>
      </c>
      <c r="C1063" s="1" t="s">
        <v>1355</v>
      </c>
      <c r="D1063" s="1" t="s">
        <v>1695</v>
      </c>
      <c r="E1063" s="1" t="s">
        <v>1695</v>
      </c>
      <c r="F1063" s="1" t="s">
        <v>811</v>
      </c>
      <c r="G1063" s="2">
        <v>45202</v>
      </c>
      <c r="H1063" s="3">
        <v>0.49930555555555545</v>
      </c>
      <c r="I1063" s="1" t="s">
        <v>1695</v>
      </c>
      <c r="J1063" s="1" t="s">
        <v>1695</v>
      </c>
      <c r="K1063">
        <v>57</v>
      </c>
    </row>
    <row r="1064" spans="1:11" x14ac:dyDescent="0.25">
      <c r="A1064" s="1" t="s">
        <v>1485</v>
      </c>
      <c r="B1064" s="1" t="s">
        <v>16</v>
      </c>
      <c r="C1064" s="1" t="s">
        <v>1491</v>
      </c>
      <c r="D1064" s="1" t="s">
        <v>1503</v>
      </c>
      <c r="E1064" s="1" t="s">
        <v>1504</v>
      </c>
      <c r="F1064" s="1" t="s">
        <v>811</v>
      </c>
      <c r="G1064" s="2">
        <v>45216</v>
      </c>
      <c r="H1064" s="3">
        <v>0.13749999999999996</v>
      </c>
      <c r="I1064" s="1">
        <v>-7.2267089999999996</v>
      </c>
      <c r="J1064" s="1">
        <v>28.421362999999999</v>
      </c>
      <c r="K1064">
        <v>120</v>
      </c>
    </row>
    <row r="1065" spans="1:11" x14ac:dyDescent="0.25">
      <c r="A1065" s="1" t="s">
        <v>1485</v>
      </c>
      <c r="B1065" s="1" t="s">
        <v>18</v>
      </c>
      <c r="C1065" s="1" t="s">
        <v>1492</v>
      </c>
      <c r="D1065" s="1" t="s">
        <v>1503</v>
      </c>
      <c r="E1065" s="1" t="s">
        <v>1507</v>
      </c>
      <c r="F1065" s="1" t="s">
        <v>813</v>
      </c>
      <c r="G1065" s="2">
        <v>45225</v>
      </c>
      <c r="H1065" s="3">
        <v>0.88819444444444451</v>
      </c>
      <c r="I1065" s="1">
        <v>-5.8145569999999998</v>
      </c>
      <c r="J1065" s="1">
        <v>21.942052</v>
      </c>
      <c r="K1065">
        <v>87</v>
      </c>
    </row>
    <row r="1066" spans="1:11" x14ac:dyDescent="0.25">
      <c r="A1066" s="1" t="s">
        <v>1485</v>
      </c>
      <c r="B1066" s="1" t="s">
        <v>26</v>
      </c>
      <c r="C1066" s="1" t="s">
        <v>977</v>
      </c>
      <c r="D1066" s="1" t="s">
        <v>1503</v>
      </c>
      <c r="E1066" s="1" t="s">
        <v>1509</v>
      </c>
      <c r="F1066" s="1" t="s">
        <v>813</v>
      </c>
      <c r="G1066" s="2">
        <v>45219</v>
      </c>
      <c r="H1066" s="3">
        <v>9.5833333333333437E-2</v>
      </c>
      <c r="I1066" s="1">
        <v>-3.6945459999999999</v>
      </c>
      <c r="J1066" s="1">
        <v>16.809108999999999</v>
      </c>
      <c r="K1066">
        <v>113</v>
      </c>
    </row>
    <row r="1067" spans="1:11" hidden="1" x14ac:dyDescent="0.25">
      <c r="A1067" s="1" t="s">
        <v>1485</v>
      </c>
      <c r="B1067" s="1" t="s">
        <v>1695</v>
      </c>
      <c r="C1067" s="1" t="s">
        <v>1493</v>
      </c>
      <c r="D1067" s="1" t="s">
        <v>1695</v>
      </c>
      <c r="E1067" s="1" t="s">
        <v>1695</v>
      </c>
      <c r="F1067" s="1" t="s">
        <v>813</v>
      </c>
      <c r="G1067" s="2">
        <v>45224</v>
      </c>
      <c r="H1067" s="3">
        <v>0.60000000000000009</v>
      </c>
      <c r="I1067" s="1" t="s">
        <v>1695</v>
      </c>
      <c r="J1067" s="1" t="s">
        <v>1695</v>
      </c>
      <c r="K1067">
        <v>70</v>
      </c>
    </row>
    <row r="1068" spans="1:11" x14ac:dyDescent="0.25">
      <c r="A1068" s="1" t="s">
        <v>1485</v>
      </c>
      <c r="B1068" s="1" t="s">
        <v>51</v>
      </c>
      <c r="C1068" s="1" t="s">
        <v>1494</v>
      </c>
      <c r="D1068" s="1" t="s">
        <v>1508</v>
      </c>
      <c r="E1068" s="1" t="s">
        <v>1516</v>
      </c>
      <c r="F1068" s="1" t="s">
        <v>808</v>
      </c>
      <c r="G1068" s="2">
        <v>45212</v>
      </c>
      <c r="H1068" s="3">
        <v>0.87569444444444455</v>
      </c>
      <c r="I1068" s="1">
        <v>1.2691650000000001</v>
      </c>
      <c r="J1068" s="1">
        <v>18.789956</v>
      </c>
      <c r="K1068">
        <v>23</v>
      </c>
    </row>
    <row r="1069" spans="1:11" hidden="1" x14ac:dyDescent="0.25">
      <c r="A1069" s="1" t="s">
        <v>1485</v>
      </c>
      <c r="B1069" s="1" t="s">
        <v>1695</v>
      </c>
      <c r="C1069" s="1" t="s">
        <v>1147</v>
      </c>
      <c r="D1069" s="1" t="s">
        <v>1695</v>
      </c>
      <c r="E1069" s="1" t="s">
        <v>1695</v>
      </c>
      <c r="F1069" s="1" t="s">
        <v>811</v>
      </c>
      <c r="G1069" s="2">
        <v>45215</v>
      </c>
      <c r="H1069" s="3">
        <v>0.23194444444444451</v>
      </c>
      <c r="I1069" s="1" t="s">
        <v>1695</v>
      </c>
      <c r="J1069" s="1" t="s">
        <v>1695</v>
      </c>
      <c r="K1069">
        <v>25</v>
      </c>
    </row>
    <row r="1070" spans="1:11" hidden="1" x14ac:dyDescent="0.25">
      <c r="A1070" s="1" t="s">
        <v>1485</v>
      </c>
      <c r="B1070" s="1" t="s">
        <v>1695</v>
      </c>
      <c r="C1070" s="1" t="s">
        <v>1419</v>
      </c>
      <c r="D1070" s="1" t="s">
        <v>1695</v>
      </c>
      <c r="E1070" s="1" t="s">
        <v>1695</v>
      </c>
      <c r="F1070" s="1" t="s">
        <v>811</v>
      </c>
      <c r="G1070" s="2">
        <v>45207</v>
      </c>
      <c r="H1070" s="3">
        <v>0.19930555555555562</v>
      </c>
      <c r="I1070" s="1" t="s">
        <v>1695</v>
      </c>
      <c r="J1070" s="1" t="s">
        <v>1695</v>
      </c>
      <c r="K1070">
        <v>28</v>
      </c>
    </row>
    <row r="1071" spans="1:11" x14ac:dyDescent="0.25">
      <c r="A1071" s="1" t="s">
        <v>1485</v>
      </c>
      <c r="B1071" s="1" t="s">
        <v>13</v>
      </c>
      <c r="C1071" s="1" t="s">
        <v>1495</v>
      </c>
      <c r="D1071" s="1" t="s">
        <v>1503</v>
      </c>
      <c r="E1071" s="1" t="s">
        <v>1504</v>
      </c>
      <c r="F1071" s="1" t="s">
        <v>813</v>
      </c>
      <c r="G1071" s="2">
        <v>45212</v>
      </c>
      <c r="H1071" s="3">
        <v>0.72083333333333344</v>
      </c>
      <c r="I1071" s="1">
        <v>-5.7957599999999996</v>
      </c>
      <c r="J1071" s="1">
        <v>14.078258</v>
      </c>
      <c r="K1071">
        <v>33</v>
      </c>
    </row>
    <row r="1072" spans="1:11" x14ac:dyDescent="0.25">
      <c r="A1072" s="1" t="s">
        <v>1485</v>
      </c>
      <c r="B1072" s="1" t="s">
        <v>60</v>
      </c>
      <c r="C1072" s="1" t="s">
        <v>1198</v>
      </c>
      <c r="D1072" s="1" t="s">
        <v>1503</v>
      </c>
      <c r="E1072" s="1" t="s">
        <v>1507</v>
      </c>
      <c r="F1072" s="1" t="s">
        <v>813</v>
      </c>
      <c r="G1072" s="2">
        <v>45230</v>
      </c>
      <c r="H1072" s="3">
        <v>0.83958333333333335</v>
      </c>
      <c r="I1072" s="1">
        <v>-0.79459900000000006</v>
      </c>
      <c r="J1072" s="1">
        <v>26.775570999999999</v>
      </c>
      <c r="K1072">
        <v>83</v>
      </c>
    </row>
    <row r="1073" spans="1:11" x14ac:dyDescent="0.25">
      <c r="A1073" s="1" t="s">
        <v>1485</v>
      </c>
      <c r="B1073" s="1" t="s">
        <v>26</v>
      </c>
      <c r="C1073" s="1" t="s">
        <v>1133</v>
      </c>
      <c r="D1073" s="1" t="s">
        <v>1508</v>
      </c>
      <c r="E1073" s="1" t="s">
        <v>1504</v>
      </c>
      <c r="F1073" s="1" t="s">
        <v>813</v>
      </c>
      <c r="G1073" s="2">
        <v>45209</v>
      </c>
      <c r="H1073" s="3">
        <v>0.91388888888888897</v>
      </c>
      <c r="I1073" s="1">
        <v>-6.4197189999999997</v>
      </c>
      <c r="J1073" s="1">
        <v>22.287264</v>
      </c>
      <c r="K1073">
        <v>111</v>
      </c>
    </row>
    <row r="1074" spans="1:11" hidden="1" x14ac:dyDescent="0.25">
      <c r="A1074" s="1" t="s">
        <v>1485</v>
      </c>
      <c r="B1074" s="1" t="s">
        <v>1695</v>
      </c>
      <c r="C1074" s="1" t="s">
        <v>1258</v>
      </c>
      <c r="D1074" s="1" t="s">
        <v>1695</v>
      </c>
      <c r="E1074" s="1" t="s">
        <v>1695</v>
      </c>
      <c r="F1074" s="1" t="s">
        <v>813</v>
      </c>
      <c r="G1074" s="2">
        <v>45229</v>
      </c>
      <c r="H1074" s="3">
        <v>0.98680555555555549</v>
      </c>
      <c r="I1074" s="1" t="s">
        <v>1695</v>
      </c>
      <c r="J1074" s="1" t="s">
        <v>1695</v>
      </c>
      <c r="K1074">
        <v>37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BD49C-28F5-4B64-A0F5-E2C74C8738E4}">
  <dimension ref="A1:G499"/>
  <sheetViews>
    <sheetView topLeftCell="A480" workbookViewId="0">
      <selection activeCell="C1" sqref="C1:G1"/>
    </sheetView>
  </sheetViews>
  <sheetFormatPr baseColWidth="10" defaultRowHeight="15" x14ac:dyDescent="0.25"/>
  <cols>
    <col min="1" max="1" width="32" bestFit="1" customWidth="1"/>
    <col min="2" max="2" width="13.7109375" bestFit="1" customWidth="1"/>
    <col min="3" max="3" width="16.140625" bestFit="1" customWidth="1"/>
    <col min="4" max="4" width="10.7109375" bestFit="1" customWidth="1"/>
    <col min="5" max="5" width="12.28515625" bestFit="1" customWidth="1"/>
    <col min="6" max="6" width="14.28515625" bestFit="1" customWidth="1"/>
    <col min="7" max="7" width="16.7109375" bestFit="1" customWidth="1"/>
  </cols>
  <sheetData>
    <row r="1" spans="1:7" x14ac:dyDescent="0.25">
      <c r="A1" t="s">
        <v>0</v>
      </c>
      <c r="B1" t="s">
        <v>1496</v>
      </c>
      <c r="C1" t="s">
        <v>1497</v>
      </c>
      <c r="D1" t="s">
        <v>1498</v>
      </c>
      <c r="E1" t="s">
        <v>1499</v>
      </c>
      <c r="F1" t="s">
        <v>1500</v>
      </c>
      <c r="G1" t="s">
        <v>1501</v>
      </c>
    </row>
    <row r="2" spans="1:7" x14ac:dyDescent="0.25">
      <c r="A2" s="1" t="s">
        <v>1502</v>
      </c>
      <c r="B2" s="1" t="s">
        <v>1325</v>
      </c>
      <c r="C2" s="1" t="s">
        <v>127</v>
      </c>
      <c r="D2">
        <v>-3.003879</v>
      </c>
      <c r="E2">
        <v>23.633893</v>
      </c>
      <c r="F2" s="1" t="s">
        <v>1503</v>
      </c>
      <c r="G2" s="1" t="s">
        <v>1504</v>
      </c>
    </row>
    <row r="3" spans="1:7" x14ac:dyDescent="0.25">
      <c r="A3" s="1" t="s">
        <v>1502</v>
      </c>
      <c r="B3" s="1" t="s">
        <v>1505</v>
      </c>
      <c r="C3" s="1" t="s">
        <v>51</v>
      </c>
      <c r="D3">
        <v>2.413557</v>
      </c>
      <c r="E3">
        <v>19.690681999999999</v>
      </c>
      <c r="F3" s="1" t="s">
        <v>1506</v>
      </c>
      <c r="G3" s="1" t="s">
        <v>1507</v>
      </c>
    </row>
    <row r="4" spans="1:7" x14ac:dyDescent="0.25">
      <c r="A4" s="1" t="s">
        <v>1502</v>
      </c>
      <c r="B4" s="1" t="s">
        <v>826</v>
      </c>
      <c r="C4" s="1" t="s">
        <v>37</v>
      </c>
      <c r="D4">
        <v>-9.4708620000000003</v>
      </c>
      <c r="E4">
        <v>29.234387999999999</v>
      </c>
      <c r="F4" s="1" t="s">
        <v>1508</v>
      </c>
      <c r="G4" s="1" t="s">
        <v>1509</v>
      </c>
    </row>
    <row r="5" spans="1:7" x14ac:dyDescent="0.25">
      <c r="A5" s="1" t="s">
        <v>1502</v>
      </c>
      <c r="B5" s="1" t="s">
        <v>1296</v>
      </c>
      <c r="C5" s="1" t="s">
        <v>73</v>
      </c>
      <c r="D5">
        <v>1.400674</v>
      </c>
      <c r="E5">
        <v>13.503126999999999</v>
      </c>
      <c r="F5" s="1" t="s">
        <v>1503</v>
      </c>
      <c r="G5" s="1" t="s">
        <v>1509</v>
      </c>
    </row>
    <row r="6" spans="1:7" x14ac:dyDescent="0.25">
      <c r="A6" s="1" t="s">
        <v>1502</v>
      </c>
      <c r="B6" s="1" t="s">
        <v>1510</v>
      </c>
      <c r="C6" s="1" t="s">
        <v>127</v>
      </c>
      <c r="D6">
        <v>0.29375600000000002</v>
      </c>
      <c r="E6">
        <v>18.528884000000001</v>
      </c>
      <c r="F6" s="1" t="s">
        <v>1503</v>
      </c>
      <c r="G6" s="1" t="s">
        <v>1509</v>
      </c>
    </row>
    <row r="7" spans="1:7" x14ac:dyDescent="0.25">
      <c r="A7" s="1" t="s">
        <v>1502</v>
      </c>
      <c r="B7" s="1" t="s">
        <v>1511</v>
      </c>
      <c r="C7" s="1" t="s">
        <v>78</v>
      </c>
      <c r="D7">
        <v>-4.4862339999999996</v>
      </c>
      <c r="E7">
        <v>17.956159</v>
      </c>
      <c r="F7" s="1" t="s">
        <v>1508</v>
      </c>
      <c r="G7" s="1" t="s">
        <v>1507</v>
      </c>
    </row>
    <row r="8" spans="1:7" x14ac:dyDescent="0.25">
      <c r="A8" s="1" t="s">
        <v>1502</v>
      </c>
      <c r="B8" s="1" t="s">
        <v>1512</v>
      </c>
      <c r="C8" s="1" t="s">
        <v>37</v>
      </c>
      <c r="D8">
        <v>-12.824638999999999</v>
      </c>
      <c r="E8">
        <v>24.407249</v>
      </c>
      <c r="F8" s="1" t="s">
        <v>1503</v>
      </c>
      <c r="G8" s="1" t="s">
        <v>1507</v>
      </c>
    </row>
    <row r="9" spans="1:7" x14ac:dyDescent="0.25">
      <c r="A9" s="1" t="s">
        <v>1502</v>
      </c>
      <c r="B9" s="1" t="s">
        <v>905</v>
      </c>
      <c r="C9" s="1" t="s">
        <v>64</v>
      </c>
      <c r="D9">
        <v>-5.4126279999999998</v>
      </c>
      <c r="E9">
        <v>25.498235999999999</v>
      </c>
      <c r="F9" s="1" t="s">
        <v>1503</v>
      </c>
      <c r="G9" s="1" t="s">
        <v>1509</v>
      </c>
    </row>
    <row r="10" spans="1:7" x14ac:dyDescent="0.25">
      <c r="A10" s="1" t="s">
        <v>1502</v>
      </c>
      <c r="B10" s="1" t="s">
        <v>1513</v>
      </c>
      <c r="C10" s="1" t="s">
        <v>64</v>
      </c>
      <c r="D10">
        <v>-10.579510000000001</v>
      </c>
      <c r="E10">
        <v>23.502313999999998</v>
      </c>
      <c r="F10" s="1" t="s">
        <v>1506</v>
      </c>
      <c r="G10" s="1" t="s">
        <v>1509</v>
      </c>
    </row>
    <row r="11" spans="1:7" x14ac:dyDescent="0.25">
      <c r="A11" s="1" t="s">
        <v>1502</v>
      </c>
      <c r="B11" s="1" t="s">
        <v>1514</v>
      </c>
      <c r="C11" s="1" t="s">
        <v>13</v>
      </c>
      <c r="D11">
        <v>3.0788669999999998</v>
      </c>
      <c r="E11">
        <v>19.513650999999999</v>
      </c>
      <c r="F11" s="1" t="s">
        <v>1503</v>
      </c>
      <c r="G11" s="1" t="s">
        <v>1507</v>
      </c>
    </row>
    <row r="12" spans="1:7" x14ac:dyDescent="0.25">
      <c r="A12" s="1" t="s">
        <v>1502</v>
      </c>
      <c r="B12" s="1" t="s">
        <v>816</v>
      </c>
      <c r="C12" s="1" t="s">
        <v>33</v>
      </c>
      <c r="D12">
        <v>-1.648264</v>
      </c>
      <c r="E12">
        <v>28.866143999999998</v>
      </c>
      <c r="F12" s="1" t="s">
        <v>1503</v>
      </c>
      <c r="G12" s="1" t="s">
        <v>1504</v>
      </c>
    </row>
    <row r="13" spans="1:7" x14ac:dyDescent="0.25">
      <c r="A13" s="1" t="s">
        <v>1502</v>
      </c>
      <c r="B13" s="1" t="s">
        <v>1515</v>
      </c>
      <c r="C13" s="1" t="s">
        <v>131</v>
      </c>
      <c r="D13">
        <v>-3.3883130000000001</v>
      </c>
      <c r="E13">
        <v>26.838507</v>
      </c>
      <c r="F13" s="1" t="s">
        <v>1503</v>
      </c>
      <c r="G13" s="1" t="s">
        <v>1516</v>
      </c>
    </row>
    <row r="14" spans="1:7" x14ac:dyDescent="0.25">
      <c r="A14" s="1" t="s">
        <v>1502</v>
      </c>
      <c r="B14" s="1" t="s">
        <v>1517</v>
      </c>
      <c r="C14" s="1" t="s">
        <v>89</v>
      </c>
      <c r="D14">
        <v>-7.31691</v>
      </c>
      <c r="E14">
        <v>29.836627</v>
      </c>
      <c r="F14" s="1" t="s">
        <v>1503</v>
      </c>
      <c r="G14" s="1" t="s">
        <v>1509</v>
      </c>
    </row>
    <row r="15" spans="1:7" x14ac:dyDescent="0.25">
      <c r="A15" s="1" t="s">
        <v>1502</v>
      </c>
      <c r="B15" s="1" t="s">
        <v>930</v>
      </c>
      <c r="C15" s="1" t="s">
        <v>51</v>
      </c>
      <c r="D15">
        <v>-4.2408359999999998</v>
      </c>
      <c r="E15">
        <v>26.210014000000001</v>
      </c>
      <c r="F15" s="1" t="s">
        <v>1506</v>
      </c>
      <c r="G15" s="1" t="s">
        <v>1507</v>
      </c>
    </row>
    <row r="16" spans="1:7" x14ac:dyDescent="0.25">
      <c r="A16" s="1" t="s">
        <v>1502</v>
      </c>
      <c r="B16" s="1" t="s">
        <v>1098</v>
      </c>
      <c r="C16" s="1" t="s">
        <v>78</v>
      </c>
      <c r="D16">
        <v>-8.4824669999999998</v>
      </c>
      <c r="E16">
        <v>21.897777999999999</v>
      </c>
      <c r="F16" s="1" t="s">
        <v>1503</v>
      </c>
      <c r="G16" s="1" t="s">
        <v>1504</v>
      </c>
    </row>
    <row r="17" spans="1:7" x14ac:dyDescent="0.25">
      <c r="A17" s="1" t="s">
        <v>1502</v>
      </c>
      <c r="B17" s="1" t="s">
        <v>1283</v>
      </c>
      <c r="C17" s="1" t="s">
        <v>21</v>
      </c>
      <c r="D17">
        <v>2.453036</v>
      </c>
      <c r="E17">
        <v>20.555484</v>
      </c>
      <c r="F17" s="1" t="s">
        <v>1503</v>
      </c>
      <c r="G17" s="1" t="s">
        <v>1504</v>
      </c>
    </row>
    <row r="18" spans="1:7" x14ac:dyDescent="0.25">
      <c r="A18" s="1" t="s">
        <v>1502</v>
      </c>
      <c r="B18" s="1" t="s">
        <v>882</v>
      </c>
      <c r="C18" s="1" t="s">
        <v>31</v>
      </c>
      <c r="D18">
        <v>-12.141233</v>
      </c>
      <c r="E18">
        <v>15.179043999999999</v>
      </c>
      <c r="F18" s="1" t="s">
        <v>1503</v>
      </c>
      <c r="G18" s="1" t="s">
        <v>1504</v>
      </c>
    </row>
    <row r="19" spans="1:7" x14ac:dyDescent="0.25">
      <c r="A19" s="1" t="s">
        <v>1502</v>
      </c>
      <c r="B19" s="1" t="s">
        <v>909</v>
      </c>
      <c r="C19" s="1" t="s">
        <v>67</v>
      </c>
      <c r="D19">
        <v>-11.218453999999999</v>
      </c>
      <c r="E19">
        <v>28.230025000000001</v>
      </c>
      <c r="F19" s="1" t="s">
        <v>1503</v>
      </c>
      <c r="G19" s="1" t="s">
        <v>1509</v>
      </c>
    </row>
    <row r="20" spans="1:7" x14ac:dyDescent="0.25">
      <c r="A20" s="1" t="s">
        <v>1502</v>
      </c>
      <c r="B20" s="1" t="s">
        <v>842</v>
      </c>
      <c r="C20" s="1" t="s">
        <v>29</v>
      </c>
      <c r="D20">
        <v>-10.059846</v>
      </c>
      <c r="E20">
        <v>14.375757999999999</v>
      </c>
      <c r="F20" s="1" t="s">
        <v>1506</v>
      </c>
      <c r="G20" s="1" t="s">
        <v>1507</v>
      </c>
    </row>
    <row r="21" spans="1:7" x14ac:dyDescent="0.25">
      <c r="A21" s="1" t="s">
        <v>1502</v>
      </c>
      <c r="B21" s="1" t="s">
        <v>1157</v>
      </c>
      <c r="C21" s="1" t="s">
        <v>60</v>
      </c>
      <c r="D21">
        <v>-9.1215879999999991</v>
      </c>
      <c r="E21">
        <v>16.457916999999998</v>
      </c>
      <c r="F21" s="1" t="s">
        <v>1506</v>
      </c>
      <c r="G21" s="1" t="s">
        <v>1516</v>
      </c>
    </row>
    <row r="22" spans="1:7" x14ac:dyDescent="0.25">
      <c r="A22" s="1" t="s">
        <v>1502</v>
      </c>
      <c r="B22" s="1" t="s">
        <v>821</v>
      </c>
      <c r="C22" s="1" t="s">
        <v>67</v>
      </c>
      <c r="D22">
        <v>-8.4227860000000003</v>
      </c>
      <c r="E22">
        <v>16.781293000000002</v>
      </c>
      <c r="F22" s="1" t="s">
        <v>1506</v>
      </c>
      <c r="G22" s="1" t="s">
        <v>1507</v>
      </c>
    </row>
    <row r="23" spans="1:7" x14ac:dyDescent="0.25">
      <c r="A23" s="1" t="s">
        <v>1502</v>
      </c>
      <c r="B23" s="1" t="s">
        <v>1518</v>
      </c>
      <c r="C23" s="1" t="s">
        <v>57</v>
      </c>
      <c r="D23">
        <v>2.1014910000000002</v>
      </c>
      <c r="E23">
        <v>26.133631999999999</v>
      </c>
      <c r="F23" s="1" t="s">
        <v>1503</v>
      </c>
      <c r="G23" s="1" t="s">
        <v>1507</v>
      </c>
    </row>
    <row r="24" spans="1:7" x14ac:dyDescent="0.25">
      <c r="A24" s="1" t="s">
        <v>1502</v>
      </c>
      <c r="B24" s="1" t="s">
        <v>1155</v>
      </c>
      <c r="C24" s="1" t="s">
        <v>67</v>
      </c>
      <c r="D24">
        <v>-11.266565999999999</v>
      </c>
      <c r="E24">
        <v>26.245055000000001</v>
      </c>
      <c r="F24" s="1" t="s">
        <v>1508</v>
      </c>
      <c r="G24" s="1" t="s">
        <v>1504</v>
      </c>
    </row>
    <row r="25" spans="1:7" x14ac:dyDescent="0.25">
      <c r="A25" s="1" t="s">
        <v>1502</v>
      </c>
      <c r="B25" s="1" t="s">
        <v>1250</v>
      </c>
      <c r="C25" s="1" t="s">
        <v>26</v>
      </c>
      <c r="D25">
        <v>0.40267799999999998</v>
      </c>
      <c r="E25">
        <v>16.000858000000001</v>
      </c>
      <c r="F25" s="1" t="s">
        <v>1508</v>
      </c>
      <c r="G25" s="1" t="s">
        <v>1516</v>
      </c>
    </row>
    <row r="26" spans="1:7" x14ac:dyDescent="0.25">
      <c r="A26" s="1" t="s">
        <v>1502</v>
      </c>
      <c r="B26" s="1" t="s">
        <v>969</v>
      </c>
      <c r="C26" s="1" t="s">
        <v>31</v>
      </c>
      <c r="D26">
        <v>-8.3241560000000003</v>
      </c>
      <c r="E26">
        <v>19.543866000000001</v>
      </c>
      <c r="F26" s="1" t="s">
        <v>1506</v>
      </c>
      <c r="G26" s="1" t="s">
        <v>1509</v>
      </c>
    </row>
    <row r="27" spans="1:7" x14ac:dyDescent="0.25">
      <c r="A27" s="1" t="s">
        <v>1502</v>
      </c>
      <c r="B27" s="1" t="s">
        <v>1519</v>
      </c>
      <c r="C27" s="1" t="s">
        <v>78</v>
      </c>
      <c r="D27">
        <v>-6.5144820000000001</v>
      </c>
      <c r="E27">
        <v>13.815521</v>
      </c>
      <c r="F27" s="1" t="s">
        <v>1506</v>
      </c>
      <c r="G27" s="1" t="s">
        <v>1509</v>
      </c>
    </row>
    <row r="28" spans="1:7" x14ac:dyDescent="0.25">
      <c r="A28" s="1" t="s">
        <v>1502</v>
      </c>
      <c r="B28" s="1" t="s">
        <v>964</v>
      </c>
      <c r="C28" s="1" t="s">
        <v>21</v>
      </c>
      <c r="D28">
        <v>-2.9651529999999999</v>
      </c>
      <c r="E28">
        <v>29.79908</v>
      </c>
      <c r="F28" s="1" t="s">
        <v>1506</v>
      </c>
      <c r="G28" s="1" t="s">
        <v>1504</v>
      </c>
    </row>
    <row r="29" spans="1:7" x14ac:dyDescent="0.25">
      <c r="A29" s="1" t="s">
        <v>1502</v>
      </c>
      <c r="B29" s="1" t="s">
        <v>1111</v>
      </c>
      <c r="C29" s="1" t="s">
        <v>29</v>
      </c>
      <c r="D29">
        <v>1.5802860000000001</v>
      </c>
      <c r="E29">
        <v>20.99053</v>
      </c>
      <c r="F29" s="1" t="s">
        <v>1506</v>
      </c>
      <c r="G29" s="1" t="s">
        <v>1509</v>
      </c>
    </row>
    <row r="30" spans="1:7" x14ac:dyDescent="0.25">
      <c r="A30" s="1" t="s">
        <v>1502</v>
      </c>
      <c r="B30" s="1" t="s">
        <v>1520</v>
      </c>
      <c r="C30" s="1" t="s">
        <v>26</v>
      </c>
      <c r="D30">
        <v>-6.8054750000000004</v>
      </c>
      <c r="E30">
        <v>13.022683000000001</v>
      </c>
      <c r="F30" s="1" t="s">
        <v>1506</v>
      </c>
      <c r="G30" s="1" t="s">
        <v>1507</v>
      </c>
    </row>
    <row r="31" spans="1:7" x14ac:dyDescent="0.25">
      <c r="A31" s="1" t="s">
        <v>1502</v>
      </c>
      <c r="B31" s="1" t="s">
        <v>1521</v>
      </c>
      <c r="C31" s="1" t="s">
        <v>10</v>
      </c>
      <c r="D31">
        <v>-5.5883039999999999</v>
      </c>
      <c r="E31">
        <v>26.647739999999999</v>
      </c>
      <c r="F31" s="1" t="s">
        <v>1508</v>
      </c>
      <c r="G31" s="1" t="s">
        <v>1504</v>
      </c>
    </row>
    <row r="32" spans="1:7" x14ac:dyDescent="0.25">
      <c r="A32" s="1" t="s">
        <v>1502</v>
      </c>
      <c r="B32" s="1" t="s">
        <v>913</v>
      </c>
      <c r="C32" s="1" t="s">
        <v>33</v>
      </c>
      <c r="D32">
        <v>-6.6803710000000001</v>
      </c>
      <c r="E32">
        <v>21.955673000000001</v>
      </c>
      <c r="F32" s="1" t="s">
        <v>1506</v>
      </c>
      <c r="G32" s="1" t="s">
        <v>1516</v>
      </c>
    </row>
    <row r="33" spans="1:7" x14ac:dyDescent="0.25">
      <c r="A33" s="1" t="s">
        <v>1502</v>
      </c>
      <c r="B33" s="1" t="s">
        <v>1522</v>
      </c>
      <c r="C33" s="1" t="s">
        <v>10</v>
      </c>
      <c r="D33">
        <v>-0.767455</v>
      </c>
      <c r="E33">
        <v>30.924261000000001</v>
      </c>
      <c r="F33" s="1" t="s">
        <v>1508</v>
      </c>
      <c r="G33" s="1" t="s">
        <v>1507</v>
      </c>
    </row>
    <row r="34" spans="1:7" x14ac:dyDescent="0.25">
      <c r="A34" s="1" t="s">
        <v>1502</v>
      </c>
      <c r="B34" s="1" t="s">
        <v>877</v>
      </c>
      <c r="C34" s="1" t="s">
        <v>37</v>
      </c>
      <c r="D34">
        <v>-2.099631</v>
      </c>
      <c r="E34">
        <v>13.974640000000001</v>
      </c>
      <c r="F34" s="1" t="s">
        <v>1508</v>
      </c>
      <c r="G34" s="1" t="s">
        <v>1516</v>
      </c>
    </row>
    <row r="35" spans="1:7" x14ac:dyDescent="0.25">
      <c r="A35" s="1" t="s">
        <v>1502</v>
      </c>
      <c r="B35" s="1" t="s">
        <v>1523</v>
      </c>
      <c r="C35" s="1" t="s">
        <v>137</v>
      </c>
      <c r="D35">
        <v>-2.6166320000000001</v>
      </c>
      <c r="E35">
        <v>23.743941</v>
      </c>
      <c r="F35" s="1" t="s">
        <v>1503</v>
      </c>
      <c r="G35" s="1" t="s">
        <v>1516</v>
      </c>
    </row>
    <row r="36" spans="1:7" x14ac:dyDescent="0.25">
      <c r="A36" s="1" t="s">
        <v>1502</v>
      </c>
      <c r="B36" s="1" t="s">
        <v>1308</v>
      </c>
      <c r="C36" s="1" t="s">
        <v>21</v>
      </c>
      <c r="D36">
        <v>-1.3024210000000001</v>
      </c>
      <c r="E36">
        <v>13.601914000000001</v>
      </c>
      <c r="F36" s="1" t="s">
        <v>1508</v>
      </c>
      <c r="G36" s="1" t="s">
        <v>1507</v>
      </c>
    </row>
    <row r="37" spans="1:7" x14ac:dyDescent="0.25">
      <c r="A37" s="1" t="s">
        <v>1502</v>
      </c>
      <c r="B37" s="1" t="s">
        <v>1524</v>
      </c>
      <c r="C37" s="1" t="s">
        <v>21</v>
      </c>
      <c r="D37">
        <v>-3.3081109999999998</v>
      </c>
      <c r="E37">
        <v>29.700202000000001</v>
      </c>
      <c r="F37" s="1" t="s">
        <v>1506</v>
      </c>
      <c r="G37" s="1" t="s">
        <v>1516</v>
      </c>
    </row>
    <row r="38" spans="1:7" x14ac:dyDescent="0.25">
      <c r="A38" s="1" t="s">
        <v>1502</v>
      </c>
      <c r="B38" s="1" t="s">
        <v>833</v>
      </c>
      <c r="C38" s="1" t="s">
        <v>131</v>
      </c>
      <c r="D38">
        <v>4.6287159999999998</v>
      </c>
      <c r="E38">
        <v>19.407077999999998</v>
      </c>
      <c r="F38" s="1" t="s">
        <v>1506</v>
      </c>
      <c r="G38" s="1" t="s">
        <v>1504</v>
      </c>
    </row>
    <row r="39" spans="1:7" x14ac:dyDescent="0.25">
      <c r="A39" s="1" t="s">
        <v>1502</v>
      </c>
      <c r="B39" s="1" t="s">
        <v>1200</v>
      </c>
      <c r="C39" s="1" t="s">
        <v>67</v>
      </c>
      <c r="D39">
        <v>-7.8770429999999996</v>
      </c>
      <c r="E39">
        <v>16.357762999999998</v>
      </c>
      <c r="F39" s="1" t="s">
        <v>1506</v>
      </c>
      <c r="G39" s="1" t="s">
        <v>1504</v>
      </c>
    </row>
    <row r="40" spans="1:7" x14ac:dyDescent="0.25">
      <c r="A40" s="1" t="s">
        <v>1502</v>
      </c>
      <c r="B40" s="1" t="s">
        <v>1217</v>
      </c>
      <c r="C40" s="1" t="s">
        <v>127</v>
      </c>
      <c r="D40">
        <v>-7.1483749999999997</v>
      </c>
      <c r="E40">
        <v>26.014271000000001</v>
      </c>
      <c r="F40" s="1" t="s">
        <v>1503</v>
      </c>
      <c r="G40" s="1" t="s">
        <v>1507</v>
      </c>
    </row>
    <row r="41" spans="1:7" x14ac:dyDescent="0.25">
      <c r="A41" s="1" t="s">
        <v>1502</v>
      </c>
      <c r="B41" s="1" t="s">
        <v>1307</v>
      </c>
      <c r="C41" s="1" t="s">
        <v>29</v>
      </c>
      <c r="D41">
        <v>-3.8119990000000001</v>
      </c>
      <c r="E41">
        <v>20.420048000000001</v>
      </c>
      <c r="F41" s="1" t="s">
        <v>1508</v>
      </c>
      <c r="G41" s="1" t="s">
        <v>1509</v>
      </c>
    </row>
    <row r="42" spans="1:7" x14ac:dyDescent="0.25">
      <c r="A42" s="1" t="s">
        <v>1502</v>
      </c>
      <c r="B42" s="1" t="s">
        <v>887</v>
      </c>
      <c r="C42" s="1" t="s">
        <v>89</v>
      </c>
      <c r="D42">
        <v>0.94539899999999999</v>
      </c>
      <c r="E42">
        <v>14.401821999999999</v>
      </c>
      <c r="F42" s="1" t="s">
        <v>1503</v>
      </c>
      <c r="G42" s="1" t="s">
        <v>1516</v>
      </c>
    </row>
    <row r="43" spans="1:7" x14ac:dyDescent="0.25">
      <c r="A43" s="1" t="s">
        <v>1502</v>
      </c>
      <c r="B43" s="1" t="s">
        <v>1044</v>
      </c>
      <c r="C43" s="1" t="s">
        <v>44</v>
      </c>
      <c r="D43">
        <v>-4.9552579999999997</v>
      </c>
      <c r="E43">
        <v>22.008103999999999</v>
      </c>
      <c r="F43" s="1" t="s">
        <v>1506</v>
      </c>
      <c r="G43" s="1" t="s">
        <v>1507</v>
      </c>
    </row>
    <row r="44" spans="1:7" x14ac:dyDescent="0.25">
      <c r="A44" s="1" t="s">
        <v>1502</v>
      </c>
      <c r="B44" s="1" t="s">
        <v>1327</v>
      </c>
      <c r="C44" s="1" t="s">
        <v>89</v>
      </c>
      <c r="D44">
        <v>-11.588665000000001</v>
      </c>
      <c r="E44">
        <v>15.241552</v>
      </c>
      <c r="F44" s="1" t="s">
        <v>1506</v>
      </c>
      <c r="G44" s="1" t="s">
        <v>1516</v>
      </c>
    </row>
    <row r="45" spans="1:7" x14ac:dyDescent="0.25">
      <c r="A45" s="1" t="s">
        <v>1502</v>
      </c>
      <c r="B45" s="1" t="s">
        <v>1224</v>
      </c>
      <c r="C45" s="1" t="s">
        <v>13</v>
      </c>
      <c r="D45">
        <v>-1.9540519999999999</v>
      </c>
      <c r="E45">
        <v>12.667945</v>
      </c>
      <c r="F45" s="1" t="s">
        <v>1506</v>
      </c>
      <c r="G45" s="1" t="s">
        <v>1507</v>
      </c>
    </row>
    <row r="46" spans="1:7" x14ac:dyDescent="0.25">
      <c r="A46" s="1" t="s">
        <v>1502</v>
      </c>
      <c r="B46" s="1" t="s">
        <v>1525</v>
      </c>
      <c r="C46" s="1" t="s">
        <v>57</v>
      </c>
      <c r="D46">
        <v>-4.652463</v>
      </c>
      <c r="E46">
        <v>18.779983999999999</v>
      </c>
      <c r="F46" s="1" t="s">
        <v>1508</v>
      </c>
      <c r="G46" s="1" t="s">
        <v>1516</v>
      </c>
    </row>
    <row r="47" spans="1:7" x14ac:dyDescent="0.25">
      <c r="A47" s="1" t="s">
        <v>1502</v>
      </c>
      <c r="B47" s="1" t="s">
        <v>1526</v>
      </c>
      <c r="C47" s="1" t="s">
        <v>51</v>
      </c>
      <c r="D47">
        <v>4.2187000000000001</v>
      </c>
      <c r="E47">
        <v>29.390174999999999</v>
      </c>
      <c r="F47" s="1" t="s">
        <v>1506</v>
      </c>
      <c r="G47" s="1" t="s">
        <v>1509</v>
      </c>
    </row>
    <row r="48" spans="1:7" x14ac:dyDescent="0.25">
      <c r="A48" s="1" t="s">
        <v>1502</v>
      </c>
      <c r="B48" s="1" t="s">
        <v>1090</v>
      </c>
      <c r="C48" s="1" t="s">
        <v>18</v>
      </c>
      <c r="D48">
        <v>2.628638</v>
      </c>
      <c r="E48">
        <v>28.420582</v>
      </c>
      <c r="F48" s="1" t="s">
        <v>1506</v>
      </c>
      <c r="G48" s="1" t="s">
        <v>1507</v>
      </c>
    </row>
    <row r="49" spans="1:7" x14ac:dyDescent="0.25">
      <c r="A49" s="1" t="s">
        <v>1502</v>
      </c>
      <c r="B49" s="1" t="s">
        <v>1527</v>
      </c>
      <c r="C49" s="1" t="s">
        <v>67</v>
      </c>
      <c r="D49">
        <v>-1.4695480000000001</v>
      </c>
      <c r="E49">
        <v>20.876676</v>
      </c>
      <c r="F49" s="1" t="s">
        <v>1503</v>
      </c>
      <c r="G49" s="1" t="s">
        <v>1504</v>
      </c>
    </row>
    <row r="50" spans="1:7" x14ac:dyDescent="0.25">
      <c r="A50" s="1" t="s">
        <v>1502</v>
      </c>
      <c r="B50" s="1" t="s">
        <v>1528</v>
      </c>
      <c r="C50" s="1" t="s">
        <v>24</v>
      </c>
      <c r="D50">
        <v>3.7141999999999999</v>
      </c>
      <c r="E50">
        <v>28.547066999999998</v>
      </c>
      <c r="F50" s="1" t="s">
        <v>1508</v>
      </c>
      <c r="G50" s="1" t="s">
        <v>1509</v>
      </c>
    </row>
    <row r="51" spans="1:7" x14ac:dyDescent="0.25">
      <c r="A51" s="1" t="s">
        <v>1502</v>
      </c>
      <c r="B51" s="1" t="s">
        <v>1167</v>
      </c>
      <c r="C51" s="1" t="s">
        <v>57</v>
      </c>
      <c r="D51">
        <v>-5.4073029999999997</v>
      </c>
      <c r="E51">
        <v>29.762294000000001</v>
      </c>
      <c r="F51" s="1" t="s">
        <v>1508</v>
      </c>
      <c r="G51" s="1" t="s">
        <v>1504</v>
      </c>
    </row>
    <row r="52" spans="1:7" x14ac:dyDescent="0.25">
      <c r="A52" s="1" t="s">
        <v>1529</v>
      </c>
      <c r="B52" s="1" t="s">
        <v>1530</v>
      </c>
      <c r="C52" s="1" t="s">
        <v>21</v>
      </c>
      <c r="D52">
        <v>-3.6233270000000002</v>
      </c>
      <c r="E52">
        <v>25.915645999999999</v>
      </c>
      <c r="F52" s="1" t="s">
        <v>1508</v>
      </c>
      <c r="G52" s="1" t="s">
        <v>1507</v>
      </c>
    </row>
    <row r="53" spans="1:7" x14ac:dyDescent="0.25">
      <c r="A53" s="1" t="s">
        <v>1529</v>
      </c>
      <c r="B53" s="1" t="s">
        <v>1531</v>
      </c>
      <c r="C53" s="1" t="s">
        <v>127</v>
      </c>
      <c r="D53">
        <v>-8.4403710000000007</v>
      </c>
      <c r="E53">
        <v>17.231165000000001</v>
      </c>
      <c r="F53" s="1" t="s">
        <v>1506</v>
      </c>
      <c r="G53" s="1" t="s">
        <v>1507</v>
      </c>
    </row>
    <row r="54" spans="1:7" x14ac:dyDescent="0.25">
      <c r="A54" s="1" t="s">
        <v>1529</v>
      </c>
      <c r="B54" s="1" t="s">
        <v>1045</v>
      </c>
      <c r="C54" s="1" t="s">
        <v>37</v>
      </c>
      <c r="D54">
        <v>-1.50664</v>
      </c>
      <c r="E54">
        <v>27.795642000000001</v>
      </c>
      <c r="F54" s="1" t="s">
        <v>1503</v>
      </c>
      <c r="G54" s="1" t="s">
        <v>1509</v>
      </c>
    </row>
    <row r="55" spans="1:7" x14ac:dyDescent="0.25">
      <c r="A55" s="1" t="s">
        <v>1529</v>
      </c>
      <c r="B55" s="1" t="s">
        <v>1099</v>
      </c>
      <c r="C55" s="1" t="s">
        <v>24</v>
      </c>
      <c r="D55">
        <v>-9.4229749999999992</v>
      </c>
      <c r="E55">
        <v>29.375005999999999</v>
      </c>
      <c r="F55" s="1" t="s">
        <v>1508</v>
      </c>
      <c r="G55" s="1" t="s">
        <v>1504</v>
      </c>
    </row>
    <row r="56" spans="1:7" x14ac:dyDescent="0.25">
      <c r="A56" s="1" t="s">
        <v>1529</v>
      </c>
      <c r="B56" s="1" t="s">
        <v>1032</v>
      </c>
      <c r="C56" s="1" t="s">
        <v>62</v>
      </c>
      <c r="D56">
        <v>2.975352</v>
      </c>
      <c r="E56">
        <v>22.535886000000001</v>
      </c>
      <c r="F56" s="1" t="s">
        <v>1506</v>
      </c>
      <c r="G56" s="1" t="s">
        <v>1507</v>
      </c>
    </row>
    <row r="57" spans="1:7" x14ac:dyDescent="0.25">
      <c r="A57" s="1" t="s">
        <v>1529</v>
      </c>
      <c r="B57" s="1" t="s">
        <v>1262</v>
      </c>
      <c r="C57" s="1" t="s">
        <v>78</v>
      </c>
      <c r="D57">
        <v>2.5458379999999998</v>
      </c>
      <c r="E57">
        <v>13.308655</v>
      </c>
      <c r="F57" s="1" t="s">
        <v>1503</v>
      </c>
      <c r="G57" s="1" t="s">
        <v>1509</v>
      </c>
    </row>
    <row r="58" spans="1:7" x14ac:dyDescent="0.25">
      <c r="A58" s="1" t="s">
        <v>1529</v>
      </c>
      <c r="B58" s="1" t="s">
        <v>1149</v>
      </c>
      <c r="C58" s="1" t="s">
        <v>40</v>
      </c>
      <c r="D58">
        <v>-9.0798120000000004</v>
      </c>
      <c r="E58">
        <v>14.945484</v>
      </c>
      <c r="F58" s="1" t="s">
        <v>1503</v>
      </c>
      <c r="G58" s="1" t="s">
        <v>1504</v>
      </c>
    </row>
    <row r="59" spans="1:7" x14ac:dyDescent="0.25">
      <c r="A59" s="1" t="s">
        <v>1529</v>
      </c>
      <c r="B59" s="1" t="s">
        <v>1114</v>
      </c>
      <c r="C59" s="1" t="s">
        <v>137</v>
      </c>
      <c r="D59">
        <v>-10.967288</v>
      </c>
      <c r="E59">
        <v>17.617781000000001</v>
      </c>
      <c r="F59" s="1" t="s">
        <v>1506</v>
      </c>
      <c r="G59" s="1" t="s">
        <v>1504</v>
      </c>
    </row>
    <row r="60" spans="1:7" x14ac:dyDescent="0.25">
      <c r="A60" s="1" t="s">
        <v>1529</v>
      </c>
      <c r="B60" s="1" t="s">
        <v>944</v>
      </c>
      <c r="C60" s="1" t="s">
        <v>44</v>
      </c>
      <c r="D60">
        <v>-1.607639</v>
      </c>
      <c r="E60">
        <v>17.003636</v>
      </c>
      <c r="F60" s="1" t="s">
        <v>1506</v>
      </c>
      <c r="G60" s="1" t="s">
        <v>1504</v>
      </c>
    </row>
    <row r="61" spans="1:7" x14ac:dyDescent="0.25">
      <c r="A61" s="1" t="s">
        <v>1529</v>
      </c>
      <c r="B61" s="1" t="s">
        <v>1362</v>
      </c>
      <c r="C61" s="1" t="s">
        <v>62</v>
      </c>
      <c r="D61">
        <v>-7.1587569999999996</v>
      </c>
      <c r="E61">
        <v>18.975141000000001</v>
      </c>
      <c r="F61" s="1" t="s">
        <v>1503</v>
      </c>
      <c r="G61" s="1" t="s">
        <v>1504</v>
      </c>
    </row>
    <row r="62" spans="1:7" x14ac:dyDescent="0.25">
      <c r="A62" s="1" t="s">
        <v>1529</v>
      </c>
      <c r="B62" s="1" t="s">
        <v>931</v>
      </c>
      <c r="C62" s="1" t="s">
        <v>67</v>
      </c>
      <c r="D62">
        <v>-9.9875139999999991</v>
      </c>
      <c r="E62">
        <v>12.013676999999999</v>
      </c>
      <c r="F62" s="1" t="s">
        <v>1508</v>
      </c>
      <c r="G62" s="1" t="s">
        <v>1509</v>
      </c>
    </row>
    <row r="63" spans="1:7" x14ac:dyDescent="0.25">
      <c r="A63" s="1" t="s">
        <v>1529</v>
      </c>
      <c r="B63" s="1" t="s">
        <v>1270</v>
      </c>
      <c r="C63" s="1" t="s">
        <v>137</v>
      </c>
      <c r="D63">
        <v>-8.0301989999999996</v>
      </c>
      <c r="E63">
        <v>24.122495000000001</v>
      </c>
      <c r="F63" s="1" t="s">
        <v>1503</v>
      </c>
      <c r="G63" s="1" t="s">
        <v>1509</v>
      </c>
    </row>
    <row r="64" spans="1:7" x14ac:dyDescent="0.25">
      <c r="A64" s="1" t="s">
        <v>1529</v>
      </c>
      <c r="B64" s="1" t="s">
        <v>1053</v>
      </c>
      <c r="C64" s="1" t="s">
        <v>131</v>
      </c>
      <c r="D64">
        <v>-10.846306999999999</v>
      </c>
      <c r="E64">
        <v>19.201827999999999</v>
      </c>
      <c r="F64" s="1" t="s">
        <v>1506</v>
      </c>
      <c r="G64" s="1" t="s">
        <v>1504</v>
      </c>
    </row>
    <row r="65" spans="1:7" x14ac:dyDescent="0.25">
      <c r="A65" s="1" t="s">
        <v>1529</v>
      </c>
      <c r="B65" s="1" t="s">
        <v>1532</v>
      </c>
      <c r="C65" s="1" t="s">
        <v>40</v>
      </c>
      <c r="D65">
        <v>1.204588</v>
      </c>
      <c r="E65">
        <v>15.525152</v>
      </c>
      <c r="F65" s="1" t="s">
        <v>1503</v>
      </c>
      <c r="G65" s="1" t="s">
        <v>1507</v>
      </c>
    </row>
    <row r="66" spans="1:7" x14ac:dyDescent="0.25">
      <c r="A66" s="1" t="s">
        <v>1529</v>
      </c>
      <c r="B66" s="1" t="s">
        <v>1268</v>
      </c>
      <c r="C66" s="1" t="s">
        <v>60</v>
      </c>
      <c r="D66">
        <v>-12.839263000000001</v>
      </c>
      <c r="E66">
        <v>12.355677</v>
      </c>
      <c r="F66" s="1" t="s">
        <v>1508</v>
      </c>
      <c r="G66" s="1" t="s">
        <v>1507</v>
      </c>
    </row>
    <row r="67" spans="1:7" x14ac:dyDescent="0.25">
      <c r="A67" s="1" t="s">
        <v>1529</v>
      </c>
      <c r="B67" s="1" t="s">
        <v>1533</v>
      </c>
      <c r="C67" s="1" t="s">
        <v>26</v>
      </c>
      <c r="D67">
        <v>-12.244119</v>
      </c>
      <c r="E67">
        <v>28.279755999999999</v>
      </c>
      <c r="F67" s="1" t="s">
        <v>1503</v>
      </c>
      <c r="G67" s="1" t="s">
        <v>1509</v>
      </c>
    </row>
    <row r="68" spans="1:7" x14ac:dyDescent="0.25">
      <c r="A68" s="1" t="s">
        <v>1529</v>
      </c>
      <c r="B68" s="1" t="s">
        <v>1534</v>
      </c>
      <c r="C68" s="1" t="s">
        <v>29</v>
      </c>
      <c r="D68">
        <v>1.102554</v>
      </c>
      <c r="E68">
        <v>26.744315</v>
      </c>
      <c r="F68" s="1" t="s">
        <v>1508</v>
      </c>
      <c r="G68" s="1" t="s">
        <v>1504</v>
      </c>
    </row>
    <row r="69" spans="1:7" x14ac:dyDescent="0.25">
      <c r="A69" s="1" t="s">
        <v>1529</v>
      </c>
      <c r="B69" s="1" t="s">
        <v>985</v>
      </c>
      <c r="C69" s="1" t="s">
        <v>33</v>
      </c>
      <c r="D69">
        <v>-4.4451280000000004</v>
      </c>
      <c r="E69">
        <v>16.536944999999999</v>
      </c>
      <c r="F69" s="1" t="s">
        <v>1506</v>
      </c>
      <c r="G69" s="1" t="s">
        <v>1504</v>
      </c>
    </row>
    <row r="70" spans="1:7" x14ac:dyDescent="0.25">
      <c r="A70" s="1" t="s">
        <v>1529</v>
      </c>
      <c r="B70" s="1" t="s">
        <v>981</v>
      </c>
      <c r="C70" s="1" t="s">
        <v>67</v>
      </c>
      <c r="D70">
        <v>-2.2681789999999999</v>
      </c>
      <c r="E70">
        <v>25.699068</v>
      </c>
      <c r="F70" s="1" t="s">
        <v>1508</v>
      </c>
      <c r="G70" s="1" t="s">
        <v>1509</v>
      </c>
    </row>
    <row r="71" spans="1:7" x14ac:dyDescent="0.25">
      <c r="A71" s="1" t="s">
        <v>1529</v>
      </c>
      <c r="B71" s="1" t="s">
        <v>915</v>
      </c>
      <c r="C71" s="1" t="s">
        <v>131</v>
      </c>
      <c r="D71">
        <v>-6.3148239999999998</v>
      </c>
      <c r="E71">
        <v>24.507498999999999</v>
      </c>
      <c r="F71" s="1" t="s">
        <v>1508</v>
      </c>
      <c r="G71" s="1" t="s">
        <v>1509</v>
      </c>
    </row>
    <row r="72" spans="1:7" x14ac:dyDescent="0.25">
      <c r="A72" s="1" t="s">
        <v>1529</v>
      </c>
      <c r="B72" s="1" t="s">
        <v>1153</v>
      </c>
      <c r="C72" s="1" t="s">
        <v>64</v>
      </c>
      <c r="D72">
        <v>-11.389362</v>
      </c>
      <c r="E72">
        <v>22.240174</v>
      </c>
      <c r="F72" s="1" t="s">
        <v>1503</v>
      </c>
      <c r="G72" s="1" t="s">
        <v>1509</v>
      </c>
    </row>
    <row r="73" spans="1:7" x14ac:dyDescent="0.25">
      <c r="A73" s="1" t="s">
        <v>1529</v>
      </c>
      <c r="B73" s="1" t="s">
        <v>1254</v>
      </c>
      <c r="C73" s="1" t="s">
        <v>51</v>
      </c>
      <c r="D73">
        <v>-10.161428000000001</v>
      </c>
      <c r="E73">
        <v>19.362325999999999</v>
      </c>
      <c r="F73" s="1" t="s">
        <v>1508</v>
      </c>
      <c r="G73" s="1" t="s">
        <v>1516</v>
      </c>
    </row>
    <row r="74" spans="1:7" x14ac:dyDescent="0.25">
      <c r="A74" s="1" t="s">
        <v>1529</v>
      </c>
      <c r="B74" s="1" t="s">
        <v>1301</v>
      </c>
      <c r="C74" s="1" t="s">
        <v>137</v>
      </c>
      <c r="D74">
        <v>-11.354772000000001</v>
      </c>
      <c r="E74">
        <v>21.957325999999998</v>
      </c>
      <c r="F74" s="1" t="s">
        <v>1508</v>
      </c>
      <c r="G74" s="1" t="s">
        <v>1516</v>
      </c>
    </row>
    <row r="75" spans="1:7" x14ac:dyDescent="0.25">
      <c r="A75" s="1" t="s">
        <v>1529</v>
      </c>
      <c r="B75" s="1" t="s">
        <v>861</v>
      </c>
      <c r="C75" s="1" t="s">
        <v>37</v>
      </c>
      <c r="D75">
        <v>-1.864393</v>
      </c>
      <c r="E75">
        <v>21.453434000000001</v>
      </c>
      <c r="F75" s="1" t="s">
        <v>1503</v>
      </c>
      <c r="G75" s="1" t="s">
        <v>1504</v>
      </c>
    </row>
    <row r="76" spans="1:7" x14ac:dyDescent="0.25">
      <c r="A76" s="1" t="s">
        <v>1529</v>
      </c>
      <c r="B76" s="1" t="s">
        <v>1535</v>
      </c>
      <c r="C76" s="1" t="s">
        <v>57</v>
      </c>
      <c r="D76">
        <v>3.7552780000000001</v>
      </c>
      <c r="E76">
        <v>22.477888</v>
      </c>
      <c r="F76" s="1" t="s">
        <v>1508</v>
      </c>
      <c r="G76" s="1" t="s">
        <v>1516</v>
      </c>
    </row>
    <row r="77" spans="1:7" x14ac:dyDescent="0.25">
      <c r="A77" s="1" t="s">
        <v>1529</v>
      </c>
      <c r="B77" s="1" t="s">
        <v>1120</v>
      </c>
      <c r="C77" s="1" t="s">
        <v>131</v>
      </c>
      <c r="D77">
        <v>4.9455159999999996</v>
      </c>
      <c r="E77">
        <v>23.647746000000001</v>
      </c>
      <c r="F77" s="1" t="s">
        <v>1503</v>
      </c>
      <c r="G77" s="1" t="s">
        <v>1507</v>
      </c>
    </row>
    <row r="78" spans="1:7" x14ac:dyDescent="0.25">
      <c r="A78" s="1" t="s">
        <v>1529</v>
      </c>
      <c r="B78" s="1" t="s">
        <v>1536</v>
      </c>
      <c r="C78" s="1" t="s">
        <v>137</v>
      </c>
      <c r="D78">
        <v>-1.7476179999999999</v>
      </c>
      <c r="E78">
        <v>18.129401000000001</v>
      </c>
      <c r="F78" s="1" t="s">
        <v>1506</v>
      </c>
      <c r="G78" s="1" t="s">
        <v>1504</v>
      </c>
    </row>
    <row r="79" spans="1:7" x14ac:dyDescent="0.25">
      <c r="A79" s="1" t="s">
        <v>1529</v>
      </c>
      <c r="B79" s="1" t="s">
        <v>1314</v>
      </c>
      <c r="C79" s="1" t="s">
        <v>127</v>
      </c>
      <c r="D79">
        <v>-11.924048000000001</v>
      </c>
      <c r="E79">
        <v>24.177174999999998</v>
      </c>
      <c r="F79" s="1" t="s">
        <v>1508</v>
      </c>
      <c r="G79" s="1" t="s">
        <v>1516</v>
      </c>
    </row>
    <row r="80" spans="1:7" x14ac:dyDescent="0.25">
      <c r="A80" s="1" t="s">
        <v>1529</v>
      </c>
      <c r="B80" s="1" t="s">
        <v>1031</v>
      </c>
      <c r="C80" s="1" t="s">
        <v>57</v>
      </c>
      <c r="D80">
        <v>-1.3976519999999999</v>
      </c>
      <c r="E80">
        <v>14.098819000000001</v>
      </c>
      <c r="F80" s="1" t="s">
        <v>1508</v>
      </c>
      <c r="G80" s="1" t="s">
        <v>1504</v>
      </c>
    </row>
    <row r="81" spans="1:7" x14ac:dyDescent="0.25">
      <c r="A81" s="1" t="s">
        <v>1529</v>
      </c>
      <c r="B81" s="1" t="s">
        <v>1537</v>
      </c>
      <c r="C81" s="1" t="s">
        <v>18</v>
      </c>
      <c r="D81">
        <v>-0.37609300000000001</v>
      </c>
      <c r="E81">
        <v>21.940809999999999</v>
      </c>
      <c r="F81" s="1" t="s">
        <v>1503</v>
      </c>
      <c r="G81" s="1" t="s">
        <v>1507</v>
      </c>
    </row>
    <row r="82" spans="1:7" x14ac:dyDescent="0.25">
      <c r="A82" s="1" t="s">
        <v>1529</v>
      </c>
      <c r="B82" s="1" t="s">
        <v>1369</v>
      </c>
      <c r="C82" s="1" t="s">
        <v>62</v>
      </c>
      <c r="D82">
        <v>1.2463919999999999</v>
      </c>
      <c r="E82">
        <v>13.266916999999999</v>
      </c>
      <c r="F82" s="1" t="s">
        <v>1503</v>
      </c>
      <c r="G82" s="1" t="s">
        <v>1507</v>
      </c>
    </row>
    <row r="83" spans="1:7" x14ac:dyDescent="0.25">
      <c r="A83" s="1" t="s">
        <v>1529</v>
      </c>
      <c r="B83" s="1" t="s">
        <v>1465</v>
      </c>
      <c r="C83" s="1" t="s">
        <v>33</v>
      </c>
      <c r="D83">
        <v>-10.735106</v>
      </c>
      <c r="E83">
        <v>27.868673999999999</v>
      </c>
      <c r="F83" s="1" t="s">
        <v>1508</v>
      </c>
      <c r="G83" s="1" t="s">
        <v>1504</v>
      </c>
    </row>
    <row r="84" spans="1:7" x14ac:dyDescent="0.25">
      <c r="A84" s="1" t="s">
        <v>1529</v>
      </c>
      <c r="B84" s="1" t="s">
        <v>1383</v>
      </c>
      <c r="C84" s="1" t="s">
        <v>127</v>
      </c>
      <c r="D84">
        <v>-8.8118569999999998</v>
      </c>
      <c r="E84">
        <v>14.465711000000001</v>
      </c>
      <c r="F84" s="1" t="s">
        <v>1503</v>
      </c>
      <c r="G84" s="1" t="s">
        <v>1516</v>
      </c>
    </row>
    <row r="85" spans="1:7" x14ac:dyDescent="0.25">
      <c r="A85" s="1" t="s">
        <v>1529</v>
      </c>
      <c r="B85" s="1" t="s">
        <v>1538</v>
      </c>
      <c r="C85" s="1" t="s">
        <v>18</v>
      </c>
      <c r="D85">
        <v>4.6701629999999996</v>
      </c>
      <c r="E85">
        <v>28.596363</v>
      </c>
      <c r="F85" s="1" t="s">
        <v>1503</v>
      </c>
      <c r="G85" s="1" t="s">
        <v>1504</v>
      </c>
    </row>
    <row r="86" spans="1:7" x14ac:dyDescent="0.25">
      <c r="A86" s="1" t="s">
        <v>1529</v>
      </c>
      <c r="B86" s="1" t="s">
        <v>1539</v>
      </c>
      <c r="C86" s="1" t="s">
        <v>137</v>
      </c>
      <c r="D86">
        <v>1.194113</v>
      </c>
      <c r="E86">
        <v>15.839502</v>
      </c>
      <c r="F86" s="1" t="s">
        <v>1508</v>
      </c>
      <c r="G86" s="1" t="s">
        <v>1507</v>
      </c>
    </row>
    <row r="87" spans="1:7" x14ac:dyDescent="0.25">
      <c r="A87" s="1" t="s">
        <v>1529</v>
      </c>
      <c r="B87" s="1" t="s">
        <v>1213</v>
      </c>
      <c r="C87" s="1" t="s">
        <v>51</v>
      </c>
      <c r="D87">
        <v>0.62055499999999997</v>
      </c>
      <c r="E87">
        <v>21.222035000000002</v>
      </c>
      <c r="F87" s="1" t="s">
        <v>1503</v>
      </c>
      <c r="G87" s="1" t="s">
        <v>1516</v>
      </c>
    </row>
    <row r="88" spans="1:7" x14ac:dyDescent="0.25">
      <c r="A88" s="1" t="s">
        <v>1529</v>
      </c>
      <c r="B88" s="1" t="s">
        <v>1540</v>
      </c>
      <c r="C88" s="1" t="s">
        <v>73</v>
      </c>
      <c r="D88">
        <v>1.499457</v>
      </c>
      <c r="E88">
        <v>13.876317999999999</v>
      </c>
      <c r="F88" s="1" t="s">
        <v>1503</v>
      </c>
      <c r="G88" s="1" t="s">
        <v>1516</v>
      </c>
    </row>
    <row r="89" spans="1:7" x14ac:dyDescent="0.25">
      <c r="A89" s="1" t="s">
        <v>1529</v>
      </c>
      <c r="B89" s="1" t="s">
        <v>858</v>
      </c>
      <c r="C89" s="1" t="s">
        <v>13</v>
      </c>
      <c r="D89">
        <v>-5.1030600000000002</v>
      </c>
      <c r="E89">
        <v>22.849231</v>
      </c>
      <c r="F89" s="1" t="s">
        <v>1503</v>
      </c>
      <c r="G89" s="1" t="s">
        <v>1509</v>
      </c>
    </row>
    <row r="90" spans="1:7" x14ac:dyDescent="0.25">
      <c r="A90" s="1" t="s">
        <v>1529</v>
      </c>
      <c r="B90" s="1" t="s">
        <v>891</v>
      </c>
      <c r="C90" s="1" t="s">
        <v>33</v>
      </c>
      <c r="D90">
        <v>-9.5266249999999992</v>
      </c>
      <c r="E90">
        <v>27.889690999999999</v>
      </c>
      <c r="F90" s="1" t="s">
        <v>1506</v>
      </c>
      <c r="G90" s="1" t="s">
        <v>1504</v>
      </c>
    </row>
    <row r="91" spans="1:7" x14ac:dyDescent="0.25">
      <c r="A91" s="1" t="s">
        <v>1529</v>
      </c>
      <c r="B91" s="1" t="s">
        <v>1541</v>
      </c>
      <c r="C91" s="1" t="s">
        <v>26</v>
      </c>
      <c r="D91">
        <v>-0.59350000000000003</v>
      </c>
      <c r="E91">
        <v>24.500503999999999</v>
      </c>
      <c r="F91" s="1" t="s">
        <v>1503</v>
      </c>
      <c r="G91" s="1" t="s">
        <v>1507</v>
      </c>
    </row>
    <row r="92" spans="1:7" x14ac:dyDescent="0.25">
      <c r="A92" s="1" t="s">
        <v>1529</v>
      </c>
      <c r="B92" s="1" t="s">
        <v>1138</v>
      </c>
      <c r="C92" s="1" t="s">
        <v>131</v>
      </c>
      <c r="D92">
        <v>-6.5529849999999996</v>
      </c>
      <c r="E92">
        <v>21.990606</v>
      </c>
      <c r="F92" s="1" t="s">
        <v>1508</v>
      </c>
      <c r="G92" s="1" t="s">
        <v>1507</v>
      </c>
    </row>
    <row r="93" spans="1:7" x14ac:dyDescent="0.25">
      <c r="A93" s="1" t="s">
        <v>1529</v>
      </c>
      <c r="B93" s="1" t="s">
        <v>1391</v>
      </c>
      <c r="C93" s="1" t="s">
        <v>13</v>
      </c>
      <c r="D93">
        <v>-10.574821</v>
      </c>
      <c r="E93">
        <v>25.324966</v>
      </c>
      <c r="F93" s="1" t="s">
        <v>1503</v>
      </c>
      <c r="G93" s="1" t="s">
        <v>1504</v>
      </c>
    </row>
    <row r="94" spans="1:7" x14ac:dyDescent="0.25">
      <c r="A94" s="1" t="s">
        <v>1529</v>
      </c>
      <c r="B94" s="1" t="s">
        <v>1451</v>
      </c>
      <c r="C94" s="1" t="s">
        <v>35</v>
      </c>
      <c r="D94">
        <v>3.175935</v>
      </c>
      <c r="E94">
        <v>16.862832000000001</v>
      </c>
      <c r="F94" s="1" t="s">
        <v>1503</v>
      </c>
      <c r="G94" s="1" t="s">
        <v>1504</v>
      </c>
    </row>
    <row r="95" spans="1:7" x14ac:dyDescent="0.25">
      <c r="A95" s="1" t="s">
        <v>1529</v>
      </c>
      <c r="B95" s="1" t="s">
        <v>995</v>
      </c>
      <c r="C95" s="1" t="s">
        <v>78</v>
      </c>
      <c r="D95">
        <v>-4.2645619999999997</v>
      </c>
      <c r="E95">
        <v>18.960726000000001</v>
      </c>
      <c r="F95" s="1" t="s">
        <v>1506</v>
      </c>
      <c r="G95" s="1" t="s">
        <v>1507</v>
      </c>
    </row>
    <row r="96" spans="1:7" x14ac:dyDescent="0.25">
      <c r="A96" s="1" t="s">
        <v>1529</v>
      </c>
      <c r="B96" s="1" t="s">
        <v>1144</v>
      </c>
      <c r="C96" s="1" t="s">
        <v>29</v>
      </c>
      <c r="D96">
        <v>-5.125</v>
      </c>
      <c r="E96">
        <v>23.513119</v>
      </c>
      <c r="F96" s="1" t="s">
        <v>1503</v>
      </c>
      <c r="G96" s="1" t="s">
        <v>1507</v>
      </c>
    </row>
    <row r="97" spans="1:7" x14ac:dyDescent="0.25">
      <c r="A97" s="1" t="s">
        <v>1529</v>
      </c>
      <c r="B97" s="1" t="s">
        <v>1336</v>
      </c>
      <c r="C97" s="1" t="s">
        <v>16</v>
      </c>
      <c r="D97">
        <v>-7.6951369999999999</v>
      </c>
      <c r="E97">
        <v>13.346605</v>
      </c>
      <c r="F97" s="1" t="s">
        <v>1506</v>
      </c>
      <c r="G97" s="1" t="s">
        <v>1504</v>
      </c>
    </row>
    <row r="98" spans="1:7" x14ac:dyDescent="0.25">
      <c r="A98" s="1" t="s">
        <v>1529</v>
      </c>
      <c r="B98" s="1" t="s">
        <v>1542</v>
      </c>
      <c r="C98" s="1" t="s">
        <v>18</v>
      </c>
      <c r="D98">
        <v>-0.45332</v>
      </c>
      <c r="E98">
        <v>29.674009999999999</v>
      </c>
      <c r="F98" s="1" t="s">
        <v>1503</v>
      </c>
      <c r="G98" s="1" t="s">
        <v>1504</v>
      </c>
    </row>
    <row r="99" spans="1:7" x14ac:dyDescent="0.25">
      <c r="A99" s="1" t="s">
        <v>1529</v>
      </c>
      <c r="B99" s="1" t="s">
        <v>1104</v>
      </c>
      <c r="C99" s="1" t="s">
        <v>62</v>
      </c>
      <c r="D99">
        <v>-9.5840350000000001</v>
      </c>
      <c r="E99">
        <v>15.966024000000001</v>
      </c>
      <c r="F99" s="1" t="s">
        <v>1503</v>
      </c>
      <c r="G99" s="1" t="s">
        <v>1516</v>
      </c>
    </row>
    <row r="100" spans="1:7" x14ac:dyDescent="0.25">
      <c r="A100" s="1" t="s">
        <v>1529</v>
      </c>
      <c r="B100" s="1" t="s">
        <v>1456</v>
      </c>
      <c r="C100" s="1" t="s">
        <v>18</v>
      </c>
      <c r="D100">
        <v>-9.6407190000000007</v>
      </c>
      <c r="E100">
        <v>21.336704999999998</v>
      </c>
      <c r="F100" s="1" t="s">
        <v>1506</v>
      </c>
      <c r="G100" s="1" t="s">
        <v>1509</v>
      </c>
    </row>
    <row r="101" spans="1:7" x14ac:dyDescent="0.25">
      <c r="A101" s="1" t="s">
        <v>1529</v>
      </c>
      <c r="B101" s="1" t="s">
        <v>1543</v>
      </c>
      <c r="C101" s="1" t="s">
        <v>60</v>
      </c>
      <c r="D101">
        <v>-6.7420359999999997</v>
      </c>
      <c r="E101">
        <v>28.905578999999999</v>
      </c>
      <c r="F101" s="1" t="s">
        <v>1508</v>
      </c>
      <c r="G101" s="1" t="s">
        <v>1507</v>
      </c>
    </row>
    <row r="102" spans="1:7" x14ac:dyDescent="0.25">
      <c r="A102" s="1" t="s">
        <v>1544</v>
      </c>
      <c r="B102" s="1" t="s">
        <v>1024</v>
      </c>
      <c r="C102" s="1" t="s">
        <v>24</v>
      </c>
      <c r="D102">
        <v>0.16841400000000001</v>
      </c>
      <c r="E102">
        <v>30.029876999999999</v>
      </c>
      <c r="F102" s="1" t="s">
        <v>1503</v>
      </c>
      <c r="G102" s="1" t="s">
        <v>1507</v>
      </c>
    </row>
    <row r="103" spans="1:7" x14ac:dyDescent="0.25">
      <c r="A103" s="1" t="s">
        <v>1544</v>
      </c>
      <c r="B103" s="1" t="s">
        <v>1545</v>
      </c>
      <c r="C103" s="1" t="s">
        <v>26</v>
      </c>
      <c r="D103">
        <v>-5.9281110000000004</v>
      </c>
      <c r="E103">
        <v>29.607863999999999</v>
      </c>
      <c r="F103" s="1" t="s">
        <v>1506</v>
      </c>
      <c r="G103" s="1" t="s">
        <v>1507</v>
      </c>
    </row>
    <row r="104" spans="1:7" x14ac:dyDescent="0.25">
      <c r="A104" s="1" t="s">
        <v>1544</v>
      </c>
      <c r="B104" s="1" t="s">
        <v>840</v>
      </c>
      <c r="C104" s="1" t="s">
        <v>29</v>
      </c>
      <c r="D104">
        <v>-4.9789079999999997</v>
      </c>
      <c r="E104">
        <v>28.506295000000001</v>
      </c>
      <c r="F104" s="1" t="s">
        <v>1506</v>
      </c>
      <c r="G104" s="1" t="s">
        <v>1507</v>
      </c>
    </row>
    <row r="105" spans="1:7" x14ac:dyDescent="0.25">
      <c r="A105" s="1" t="s">
        <v>1544</v>
      </c>
      <c r="B105" s="1" t="s">
        <v>1129</v>
      </c>
      <c r="C105" s="1" t="s">
        <v>26</v>
      </c>
      <c r="D105">
        <v>-2.2876210000000001</v>
      </c>
      <c r="E105">
        <v>27.582545</v>
      </c>
      <c r="F105" s="1" t="s">
        <v>1506</v>
      </c>
      <c r="G105" s="1" t="s">
        <v>1507</v>
      </c>
    </row>
    <row r="106" spans="1:7" x14ac:dyDescent="0.25">
      <c r="A106" s="1" t="s">
        <v>1544</v>
      </c>
      <c r="B106" s="1" t="s">
        <v>1372</v>
      </c>
      <c r="C106" s="1" t="s">
        <v>37</v>
      </c>
      <c r="D106">
        <v>-3.9148719999999999</v>
      </c>
      <c r="E106">
        <v>12.260933</v>
      </c>
      <c r="F106" s="1" t="s">
        <v>1506</v>
      </c>
      <c r="G106" s="1" t="s">
        <v>1504</v>
      </c>
    </row>
    <row r="107" spans="1:7" x14ac:dyDescent="0.25">
      <c r="A107" s="1" t="s">
        <v>1544</v>
      </c>
      <c r="B107" s="1" t="s">
        <v>928</v>
      </c>
      <c r="C107" s="1" t="s">
        <v>37</v>
      </c>
      <c r="D107">
        <v>-9.002459</v>
      </c>
      <c r="E107">
        <v>25.182109000000001</v>
      </c>
      <c r="F107" s="1" t="s">
        <v>1503</v>
      </c>
      <c r="G107" s="1" t="s">
        <v>1507</v>
      </c>
    </row>
    <row r="108" spans="1:7" x14ac:dyDescent="0.25">
      <c r="A108" s="1" t="s">
        <v>1544</v>
      </c>
      <c r="B108" s="1" t="s">
        <v>1066</v>
      </c>
      <c r="C108" s="1" t="s">
        <v>89</v>
      </c>
      <c r="D108">
        <v>-7.7839049999999999</v>
      </c>
      <c r="E108">
        <v>14.114281999999999</v>
      </c>
      <c r="F108" s="1" t="s">
        <v>1508</v>
      </c>
      <c r="G108" s="1" t="s">
        <v>1509</v>
      </c>
    </row>
    <row r="109" spans="1:7" x14ac:dyDescent="0.25">
      <c r="A109" s="1" t="s">
        <v>1544</v>
      </c>
      <c r="B109" s="1" t="s">
        <v>867</v>
      </c>
      <c r="C109" s="1" t="s">
        <v>51</v>
      </c>
      <c r="D109">
        <v>-5.9021970000000001</v>
      </c>
      <c r="E109">
        <v>20.551169999999999</v>
      </c>
      <c r="F109" s="1" t="s">
        <v>1508</v>
      </c>
      <c r="G109" s="1" t="s">
        <v>1507</v>
      </c>
    </row>
    <row r="110" spans="1:7" x14ac:dyDescent="0.25">
      <c r="A110" s="1" t="s">
        <v>1544</v>
      </c>
      <c r="B110" s="1" t="s">
        <v>1546</v>
      </c>
      <c r="C110" s="1" t="s">
        <v>31</v>
      </c>
      <c r="D110">
        <v>-10.620597</v>
      </c>
      <c r="E110">
        <v>12.432214</v>
      </c>
      <c r="F110" s="1" t="s">
        <v>1506</v>
      </c>
      <c r="G110" s="1" t="s">
        <v>1507</v>
      </c>
    </row>
    <row r="111" spans="1:7" x14ac:dyDescent="0.25">
      <c r="A111" s="1" t="s">
        <v>1544</v>
      </c>
      <c r="B111" s="1" t="s">
        <v>890</v>
      </c>
      <c r="C111" s="1" t="s">
        <v>16</v>
      </c>
      <c r="D111">
        <v>-11.514188000000001</v>
      </c>
      <c r="E111">
        <v>15.971181</v>
      </c>
      <c r="F111" s="1" t="s">
        <v>1503</v>
      </c>
      <c r="G111" s="1" t="s">
        <v>1504</v>
      </c>
    </row>
    <row r="112" spans="1:7" x14ac:dyDescent="0.25">
      <c r="A112" s="1" t="s">
        <v>1544</v>
      </c>
      <c r="B112" s="1" t="s">
        <v>875</v>
      </c>
      <c r="C112" s="1" t="s">
        <v>35</v>
      </c>
      <c r="D112">
        <v>-2.7140689999999998</v>
      </c>
      <c r="E112">
        <v>22.222104000000002</v>
      </c>
      <c r="F112" s="1" t="s">
        <v>1506</v>
      </c>
      <c r="G112" s="1" t="s">
        <v>1516</v>
      </c>
    </row>
    <row r="113" spans="1:7" x14ac:dyDescent="0.25">
      <c r="A113" s="1" t="s">
        <v>1544</v>
      </c>
      <c r="B113" s="1" t="s">
        <v>1079</v>
      </c>
      <c r="C113" s="1" t="s">
        <v>62</v>
      </c>
      <c r="D113">
        <v>-12.112399999999999</v>
      </c>
      <c r="E113">
        <v>15.872226</v>
      </c>
      <c r="F113" s="1" t="s">
        <v>1506</v>
      </c>
      <c r="G113" s="1" t="s">
        <v>1516</v>
      </c>
    </row>
    <row r="114" spans="1:7" x14ac:dyDescent="0.25">
      <c r="A114" s="1" t="s">
        <v>1544</v>
      </c>
      <c r="B114" s="1" t="s">
        <v>1492</v>
      </c>
      <c r="C114" s="1" t="s">
        <v>18</v>
      </c>
      <c r="D114">
        <v>-5.8145569999999998</v>
      </c>
      <c r="E114">
        <v>21.942052</v>
      </c>
      <c r="F114" s="1" t="s">
        <v>1503</v>
      </c>
      <c r="G114" s="1" t="s">
        <v>1507</v>
      </c>
    </row>
    <row r="115" spans="1:7" x14ac:dyDescent="0.25">
      <c r="A115" s="1" t="s">
        <v>1544</v>
      </c>
      <c r="B115" s="1" t="s">
        <v>1227</v>
      </c>
      <c r="C115" s="1" t="s">
        <v>24</v>
      </c>
      <c r="D115">
        <v>-11.468578000000001</v>
      </c>
      <c r="E115">
        <v>16.914501999999999</v>
      </c>
      <c r="F115" s="1" t="s">
        <v>1506</v>
      </c>
      <c r="G115" s="1" t="s">
        <v>1504</v>
      </c>
    </row>
    <row r="116" spans="1:7" x14ac:dyDescent="0.25">
      <c r="A116" s="1" t="s">
        <v>1544</v>
      </c>
      <c r="B116" s="1" t="s">
        <v>1547</v>
      </c>
      <c r="C116" s="1" t="s">
        <v>89</v>
      </c>
      <c r="D116">
        <v>-3.967184</v>
      </c>
      <c r="E116">
        <v>21.177499999999998</v>
      </c>
      <c r="F116" s="1" t="s">
        <v>1508</v>
      </c>
      <c r="G116" s="1" t="s">
        <v>1507</v>
      </c>
    </row>
    <row r="117" spans="1:7" x14ac:dyDescent="0.25">
      <c r="A117" s="1" t="s">
        <v>1544</v>
      </c>
      <c r="B117" s="1" t="s">
        <v>1548</v>
      </c>
      <c r="C117" s="1" t="s">
        <v>131</v>
      </c>
      <c r="D117">
        <v>0.92885200000000001</v>
      </c>
      <c r="E117">
        <v>25.868548000000001</v>
      </c>
      <c r="F117" s="1" t="s">
        <v>1503</v>
      </c>
      <c r="G117" s="1" t="s">
        <v>1516</v>
      </c>
    </row>
    <row r="118" spans="1:7" x14ac:dyDescent="0.25">
      <c r="A118" s="1" t="s">
        <v>1544</v>
      </c>
      <c r="B118" s="1" t="s">
        <v>1273</v>
      </c>
      <c r="C118" s="1" t="s">
        <v>40</v>
      </c>
      <c r="D118">
        <v>-10.653247</v>
      </c>
      <c r="E118">
        <v>14.685601</v>
      </c>
      <c r="F118" s="1" t="s">
        <v>1506</v>
      </c>
      <c r="G118" s="1" t="s">
        <v>1504</v>
      </c>
    </row>
    <row r="119" spans="1:7" x14ac:dyDescent="0.25">
      <c r="A119" s="1" t="s">
        <v>1544</v>
      </c>
      <c r="B119" s="1" t="s">
        <v>1549</v>
      </c>
      <c r="C119" s="1" t="s">
        <v>137</v>
      </c>
      <c r="D119">
        <v>-10.572326</v>
      </c>
      <c r="E119">
        <v>25.276349</v>
      </c>
      <c r="F119" s="1" t="s">
        <v>1508</v>
      </c>
      <c r="G119" s="1" t="s">
        <v>1509</v>
      </c>
    </row>
    <row r="120" spans="1:7" x14ac:dyDescent="0.25">
      <c r="A120" s="1" t="s">
        <v>1544</v>
      </c>
      <c r="B120" s="1" t="s">
        <v>1550</v>
      </c>
      <c r="C120" s="1" t="s">
        <v>62</v>
      </c>
      <c r="D120">
        <v>-2.9326690000000002</v>
      </c>
      <c r="E120">
        <v>12.349382</v>
      </c>
      <c r="F120" s="1" t="s">
        <v>1503</v>
      </c>
      <c r="G120" s="1" t="s">
        <v>1509</v>
      </c>
    </row>
    <row r="121" spans="1:7" x14ac:dyDescent="0.25">
      <c r="A121" s="1" t="s">
        <v>1544</v>
      </c>
      <c r="B121" s="1" t="s">
        <v>1399</v>
      </c>
      <c r="C121" s="1" t="s">
        <v>137</v>
      </c>
      <c r="D121">
        <v>-4.2184999999999997</v>
      </c>
      <c r="E121">
        <v>23.077093999999999</v>
      </c>
      <c r="F121" s="1" t="s">
        <v>1506</v>
      </c>
      <c r="G121" s="1" t="s">
        <v>1504</v>
      </c>
    </row>
    <row r="122" spans="1:7" x14ac:dyDescent="0.25">
      <c r="A122" s="1" t="s">
        <v>1544</v>
      </c>
      <c r="B122" s="1" t="s">
        <v>1551</v>
      </c>
      <c r="C122" s="1" t="s">
        <v>78</v>
      </c>
      <c r="D122">
        <v>-1.259528</v>
      </c>
      <c r="E122">
        <v>24.607037999999999</v>
      </c>
      <c r="F122" s="1" t="s">
        <v>1506</v>
      </c>
      <c r="G122" s="1" t="s">
        <v>1509</v>
      </c>
    </row>
    <row r="123" spans="1:7" x14ac:dyDescent="0.25">
      <c r="A123" s="1" t="s">
        <v>1544</v>
      </c>
      <c r="B123" s="1" t="s">
        <v>919</v>
      </c>
      <c r="C123" s="1" t="s">
        <v>21</v>
      </c>
      <c r="D123">
        <v>-9.4702129999999993</v>
      </c>
      <c r="E123">
        <v>12.826158</v>
      </c>
      <c r="F123" s="1" t="s">
        <v>1508</v>
      </c>
      <c r="G123" s="1" t="s">
        <v>1504</v>
      </c>
    </row>
    <row r="124" spans="1:7" x14ac:dyDescent="0.25">
      <c r="A124" s="1" t="s">
        <v>1544</v>
      </c>
      <c r="B124" s="1" t="s">
        <v>1105</v>
      </c>
      <c r="C124" s="1" t="s">
        <v>10</v>
      </c>
      <c r="D124">
        <v>-1.9120569999999999</v>
      </c>
      <c r="E124">
        <v>15.236072999999999</v>
      </c>
      <c r="F124" s="1" t="s">
        <v>1503</v>
      </c>
      <c r="G124" s="1" t="s">
        <v>1507</v>
      </c>
    </row>
    <row r="125" spans="1:7" x14ac:dyDescent="0.25">
      <c r="A125" s="1" t="s">
        <v>1544</v>
      </c>
      <c r="B125" s="1" t="s">
        <v>934</v>
      </c>
      <c r="C125" s="1" t="s">
        <v>10</v>
      </c>
      <c r="D125">
        <v>0.24202000000000001</v>
      </c>
      <c r="E125">
        <v>17.396256999999999</v>
      </c>
      <c r="F125" s="1" t="s">
        <v>1506</v>
      </c>
      <c r="G125" s="1" t="s">
        <v>1507</v>
      </c>
    </row>
    <row r="126" spans="1:7" x14ac:dyDescent="0.25">
      <c r="A126" s="1" t="s">
        <v>1544</v>
      </c>
      <c r="B126" s="1" t="s">
        <v>945</v>
      </c>
      <c r="C126" s="1" t="s">
        <v>51</v>
      </c>
      <c r="D126">
        <v>-8.5675749999999997</v>
      </c>
      <c r="E126">
        <v>26.994581</v>
      </c>
      <c r="F126" s="1" t="s">
        <v>1508</v>
      </c>
      <c r="G126" s="1" t="s">
        <v>1516</v>
      </c>
    </row>
    <row r="127" spans="1:7" x14ac:dyDescent="0.25">
      <c r="A127" s="1" t="s">
        <v>1544</v>
      </c>
      <c r="B127" s="1" t="s">
        <v>860</v>
      </c>
      <c r="C127" s="1" t="s">
        <v>137</v>
      </c>
      <c r="D127">
        <v>-11.710407999999999</v>
      </c>
      <c r="E127">
        <v>23.741330999999999</v>
      </c>
      <c r="F127" s="1" t="s">
        <v>1508</v>
      </c>
      <c r="G127" s="1" t="s">
        <v>1507</v>
      </c>
    </row>
    <row r="128" spans="1:7" x14ac:dyDescent="0.25">
      <c r="A128" s="1" t="s">
        <v>1544</v>
      </c>
      <c r="B128" s="1" t="s">
        <v>1552</v>
      </c>
      <c r="C128" s="1" t="s">
        <v>57</v>
      </c>
      <c r="D128">
        <v>0.98189400000000004</v>
      </c>
      <c r="E128">
        <v>13.008620000000001</v>
      </c>
      <c r="F128" s="1" t="s">
        <v>1506</v>
      </c>
      <c r="G128" s="1" t="s">
        <v>1507</v>
      </c>
    </row>
    <row r="129" spans="1:7" x14ac:dyDescent="0.25">
      <c r="A129" s="1" t="s">
        <v>1544</v>
      </c>
      <c r="B129" s="1" t="s">
        <v>1128</v>
      </c>
      <c r="C129" s="1" t="s">
        <v>18</v>
      </c>
      <c r="D129">
        <v>-7.1785899999999998</v>
      </c>
      <c r="E129">
        <v>24.4404</v>
      </c>
      <c r="F129" s="1" t="s">
        <v>1506</v>
      </c>
      <c r="G129" s="1" t="s">
        <v>1516</v>
      </c>
    </row>
    <row r="130" spans="1:7" x14ac:dyDescent="0.25">
      <c r="A130" s="1" t="s">
        <v>1544</v>
      </c>
      <c r="B130" s="1" t="s">
        <v>1130</v>
      </c>
      <c r="C130" s="1" t="s">
        <v>16</v>
      </c>
      <c r="D130">
        <v>3.6344850000000002</v>
      </c>
      <c r="E130">
        <v>12.158348999999999</v>
      </c>
      <c r="F130" s="1" t="s">
        <v>1503</v>
      </c>
      <c r="G130" s="1" t="s">
        <v>1504</v>
      </c>
    </row>
    <row r="131" spans="1:7" x14ac:dyDescent="0.25">
      <c r="A131" s="1" t="s">
        <v>1544</v>
      </c>
      <c r="B131" s="1" t="s">
        <v>1148</v>
      </c>
      <c r="C131" s="1" t="s">
        <v>31</v>
      </c>
      <c r="D131">
        <v>-11.387295999999999</v>
      </c>
      <c r="E131">
        <v>19.384257999999999</v>
      </c>
      <c r="F131" s="1" t="s">
        <v>1508</v>
      </c>
      <c r="G131" s="1" t="s">
        <v>1507</v>
      </c>
    </row>
    <row r="132" spans="1:7" x14ac:dyDescent="0.25">
      <c r="A132" s="1" t="s">
        <v>1544</v>
      </c>
      <c r="B132" s="1" t="s">
        <v>1141</v>
      </c>
      <c r="C132" s="1" t="s">
        <v>64</v>
      </c>
      <c r="D132">
        <v>-0.90854400000000002</v>
      </c>
      <c r="E132">
        <v>17.154896999999998</v>
      </c>
      <c r="F132" s="1" t="s">
        <v>1508</v>
      </c>
      <c r="G132" s="1" t="s">
        <v>1507</v>
      </c>
    </row>
    <row r="133" spans="1:7" x14ac:dyDescent="0.25">
      <c r="A133" s="1" t="s">
        <v>1544</v>
      </c>
      <c r="B133" s="1" t="s">
        <v>1117</v>
      </c>
      <c r="C133" s="1" t="s">
        <v>16</v>
      </c>
      <c r="D133">
        <v>-5.3762689999999997</v>
      </c>
      <c r="E133">
        <v>28.189575999999999</v>
      </c>
      <c r="F133" s="1" t="s">
        <v>1503</v>
      </c>
      <c r="G133" s="1" t="s">
        <v>1507</v>
      </c>
    </row>
    <row r="134" spans="1:7" x14ac:dyDescent="0.25">
      <c r="A134" s="1" t="s">
        <v>1544</v>
      </c>
      <c r="B134" s="1" t="s">
        <v>1553</v>
      </c>
      <c r="C134" s="1" t="s">
        <v>137</v>
      </c>
      <c r="D134">
        <v>-6.7304589999999997</v>
      </c>
      <c r="E134">
        <v>24.541906999999998</v>
      </c>
      <c r="F134" s="1" t="s">
        <v>1506</v>
      </c>
      <c r="G134" s="1" t="s">
        <v>1516</v>
      </c>
    </row>
    <row r="135" spans="1:7" x14ac:dyDescent="0.25">
      <c r="A135" s="1" t="s">
        <v>1544</v>
      </c>
      <c r="B135" s="1" t="s">
        <v>1491</v>
      </c>
      <c r="C135" s="1" t="s">
        <v>16</v>
      </c>
      <c r="D135">
        <v>-7.2267089999999996</v>
      </c>
      <c r="E135">
        <v>28.421362999999999</v>
      </c>
      <c r="F135" s="1" t="s">
        <v>1503</v>
      </c>
      <c r="G135" s="1" t="s">
        <v>1504</v>
      </c>
    </row>
    <row r="136" spans="1:7" x14ac:dyDescent="0.25">
      <c r="A136" s="1" t="s">
        <v>1544</v>
      </c>
      <c r="B136" s="1" t="s">
        <v>959</v>
      </c>
      <c r="C136" s="1" t="s">
        <v>131</v>
      </c>
      <c r="D136">
        <v>-2.3102109999999998</v>
      </c>
      <c r="E136">
        <v>12.362488000000001</v>
      </c>
      <c r="F136" s="1" t="s">
        <v>1503</v>
      </c>
      <c r="G136" s="1" t="s">
        <v>1516</v>
      </c>
    </row>
    <row r="137" spans="1:7" x14ac:dyDescent="0.25">
      <c r="A137" s="1" t="s">
        <v>1544</v>
      </c>
      <c r="B137" s="1" t="s">
        <v>1051</v>
      </c>
      <c r="C137" s="1" t="s">
        <v>62</v>
      </c>
      <c r="D137">
        <v>-12.564277000000001</v>
      </c>
      <c r="E137">
        <v>28.480798</v>
      </c>
      <c r="F137" s="1" t="s">
        <v>1503</v>
      </c>
      <c r="G137" s="1" t="s">
        <v>1509</v>
      </c>
    </row>
    <row r="138" spans="1:7" x14ac:dyDescent="0.25">
      <c r="A138" s="1" t="s">
        <v>1544</v>
      </c>
      <c r="B138" s="1" t="s">
        <v>1445</v>
      </c>
      <c r="C138" s="1" t="s">
        <v>35</v>
      </c>
      <c r="D138">
        <v>-7.513261</v>
      </c>
      <c r="E138">
        <v>24.338812000000001</v>
      </c>
      <c r="F138" s="1" t="s">
        <v>1503</v>
      </c>
      <c r="G138" s="1" t="s">
        <v>1507</v>
      </c>
    </row>
    <row r="139" spans="1:7" x14ac:dyDescent="0.25">
      <c r="A139" s="1" t="s">
        <v>1544</v>
      </c>
      <c r="B139" s="1" t="s">
        <v>1244</v>
      </c>
      <c r="C139" s="1" t="s">
        <v>73</v>
      </c>
      <c r="D139">
        <v>4.7777349999999998</v>
      </c>
      <c r="E139">
        <v>16.392204</v>
      </c>
      <c r="F139" s="1" t="s">
        <v>1503</v>
      </c>
      <c r="G139" s="1" t="s">
        <v>1509</v>
      </c>
    </row>
    <row r="140" spans="1:7" x14ac:dyDescent="0.25">
      <c r="A140" s="1" t="s">
        <v>1544</v>
      </c>
      <c r="B140" s="1" t="s">
        <v>1554</v>
      </c>
      <c r="C140" s="1" t="s">
        <v>62</v>
      </c>
      <c r="D140">
        <v>-1.9080220000000001</v>
      </c>
      <c r="E140">
        <v>19.233322999999999</v>
      </c>
      <c r="F140" s="1" t="s">
        <v>1508</v>
      </c>
      <c r="G140" s="1" t="s">
        <v>1504</v>
      </c>
    </row>
    <row r="141" spans="1:7" x14ac:dyDescent="0.25">
      <c r="A141" s="1" t="s">
        <v>1544</v>
      </c>
      <c r="B141" s="1" t="s">
        <v>1294</v>
      </c>
      <c r="C141" s="1" t="s">
        <v>78</v>
      </c>
      <c r="D141">
        <v>4.8228650000000002</v>
      </c>
      <c r="E141">
        <v>30.555627000000001</v>
      </c>
      <c r="F141" s="1" t="s">
        <v>1506</v>
      </c>
      <c r="G141" s="1" t="s">
        <v>1507</v>
      </c>
    </row>
    <row r="142" spans="1:7" x14ac:dyDescent="0.25">
      <c r="A142" s="1" t="s">
        <v>1544</v>
      </c>
      <c r="B142" s="1" t="s">
        <v>933</v>
      </c>
      <c r="C142" s="1" t="s">
        <v>60</v>
      </c>
      <c r="D142">
        <v>-5.0402180000000003</v>
      </c>
      <c r="E142">
        <v>13.892471</v>
      </c>
      <c r="F142" s="1" t="s">
        <v>1508</v>
      </c>
      <c r="G142" s="1" t="s">
        <v>1509</v>
      </c>
    </row>
    <row r="143" spans="1:7" x14ac:dyDescent="0.25">
      <c r="A143" s="1" t="s">
        <v>1544</v>
      </c>
      <c r="B143" s="1" t="s">
        <v>822</v>
      </c>
      <c r="C143" s="1" t="s">
        <v>89</v>
      </c>
      <c r="D143">
        <v>-10.375266999999999</v>
      </c>
      <c r="E143">
        <v>17.993663000000002</v>
      </c>
      <c r="F143" s="1" t="s">
        <v>1503</v>
      </c>
      <c r="G143" s="1" t="s">
        <v>1509</v>
      </c>
    </row>
    <row r="144" spans="1:7" x14ac:dyDescent="0.25">
      <c r="A144" s="1" t="s">
        <v>1544</v>
      </c>
      <c r="B144" s="1" t="s">
        <v>1232</v>
      </c>
      <c r="C144" s="1" t="s">
        <v>44</v>
      </c>
      <c r="D144">
        <v>-12.192204</v>
      </c>
      <c r="E144">
        <v>28.468682000000001</v>
      </c>
      <c r="F144" s="1" t="s">
        <v>1508</v>
      </c>
      <c r="G144" s="1" t="s">
        <v>1509</v>
      </c>
    </row>
    <row r="145" spans="1:7" x14ac:dyDescent="0.25">
      <c r="A145" s="1" t="s">
        <v>1544</v>
      </c>
      <c r="B145" s="1" t="s">
        <v>1173</v>
      </c>
      <c r="C145" s="1" t="s">
        <v>78</v>
      </c>
      <c r="D145">
        <v>1.727095</v>
      </c>
      <c r="E145">
        <v>22.099651999999999</v>
      </c>
      <c r="F145" s="1" t="s">
        <v>1506</v>
      </c>
      <c r="G145" s="1" t="s">
        <v>1507</v>
      </c>
    </row>
    <row r="146" spans="1:7" x14ac:dyDescent="0.25">
      <c r="A146" s="1" t="s">
        <v>1544</v>
      </c>
      <c r="B146" s="1" t="s">
        <v>1555</v>
      </c>
      <c r="C146" s="1" t="s">
        <v>73</v>
      </c>
      <c r="D146">
        <v>-9.4056660000000001</v>
      </c>
      <c r="E146">
        <v>15.541930000000001</v>
      </c>
      <c r="F146" s="1" t="s">
        <v>1506</v>
      </c>
      <c r="G146" s="1" t="s">
        <v>1507</v>
      </c>
    </row>
    <row r="147" spans="1:7" x14ac:dyDescent="0.25">
      <c r="A147" s="1" t="s">
        <v>1544</v>
      </c>
      <c r="B147" s="1" t="s">
        <v>1556</v>
      </c>
      <c r="C147" s="1" t="s">
        <v>37</v>
      </c>
      <c r="D147">
        <v>-6.2712260000000004</v>
      </c>
      <c r="E147">
        <v>21.512366</v>
      </c>
      <c r="F147" s="1" t="s">
        <v>1503</v>
      </c>
      <c r="G147" s="1" t="s">
        <v>1507</v>
      </c>
    </row>
    <row r="148" spans="1:7" x14ac:dyDescent="0.25">
      <c r="A148" s="1" t="s">
        <v>1544</v>
      </c>
      <c r="B148" s="1" t="s">
        <v>1011</v>
      </c>
      <c r="C148" s="1" t="s">
        <v>57</v>
      </c>
      <c r="D148">
        <v>0.639208</v>
      </c>
      <c r="E148">
        <v>20.701739</v>
      </c>
      <c r="F148" s="1" t="s">
        <v>1506</v>
      </c>
      <c r="G148" s="1" t="s">
        <v>1507</v>
      </c>
    </row>
    <row r="149" spans="1:7" x14ac:dyDescent="0.25">
      <c r="A149" s="1" t="s">
        <v>1544</v>
      </c>
      <c r="B149" s="1" t="s">
        <v>1557</v>
      </c>
      <c r="C149" s="1" t="s">
        <v>44</v>
      </c>
      <c r="D149">
        <v>2.349755</v>
      </c>
      <c r="E149">
        <v>29.600649000000001</v>
      </c>
      <c r="F149" s="1" t="s">
        <v>1506</v>
      </c>
      <c r="G149" s="1" t="s">
        <v>1516</v>
      </c>
    </row>
    <row r="150" spans="1:7" x14ac:dyDescent="0.25">
      <c r="A150" s="1" t="s">
        <v>1544</v>
      </c>
      <c r="B150" s="1" t="s">
        <v>1420</v>
      </c>
      <c r="C150" s="1" t="s">
        <v>62</v>
      </c>
      <c r="D150">
        <v>-10.977309</v>
      </c>
      <c r="E150">
        <v>12.408281000000001</v>
      </c>
      <c r="F150" s="1" t="s">
        <v>1503</v>
      </c>
      <c r="G150" s="1" t="s">
        <v>1509</v>
      </c>
    </row>
    <row r="151" spans="1:7" x14ac:dyDescent="0.25">
      <c r="A151" s="1" t="s">
        <v>1544</v>
      </c>
      <c r="B151" s="1" t="s">
        <v>1558</v>
      </c>
      <c r="C151" s="1" t="s">
        <v>13</v>
      </c>
      <c r="D151">
        <v>-12.018316</v>
      </c>
      <c r="E151">
        <v>16.700451000000001</v>
      </c>
      <c r="F151" s="1" t="s">
        <v>1508</v>
      </c>
      <c r="G151" s="1" t="s">
        <v>1516</v>
      </c>
    </row>
    <row r="152" spans="1:7" x14ac:dyDescent="0.25">
      <c r="A152" s="1" t="s">
        <v>1559</v>
      </c>
      <c r="B152" s="1" t="s">
        <v>1203</v>
      </c>
      <c r="C152" s="1" t="s">
        <v>57</v>
      </c>
      <c r="D152">
        <v>-1.648326</v>
      </c>
      <c r="E152">
        <v>25.528901999999999</v>
      </c>
      <c r="F152" s="1" t="s">
        <v>1506</v>
      </c>
      <c r="G152" s="1" t="s">
        <v>1507</v>
      </c>
    </row>
    <row r="153" spans="1:7" x14ac:dyDescent="0.25">
      <c r="A153" s="1" t="s">
        <v>1559</v>
      </c>
      <c r="B153" s="1" t="s">
        <v>996</v>
      </c>
      <c r="C153" s="1" t="s">
        <v>18</v>
      </c>
      <c r="D153">
        <v>-12.112682</v>
      </c>
      <c r="E153">
        <v>19.972052000000001</v>
      </c>
      <c r="F153" s="1" t="s">
        <v>1506</v>
      </c>
      <c r="G153" s="1" t="s">
        <v>1507</v>
      </c>
    </row>
    <row r="154" spans="1:7" x14ac:dyDescent="0.25">
      <c r="A154" s="1" t="s">
        <v>1559</v>
      </c>
      <c r="B154" s="1" t="s">
        <v>1382</v>
      </c>
      <c r="C154" s="1" t="s">
        <v>13</v>
      </c>
      <c r="D154">
        <v>-7.7587710000000003</v>
      </c>
      <c r="E154">
        <v>17.880848</v>
      </c>
      <c r="F154" s="1" t="s">
        <v>1508</v>
      </c>
      <c r="G154" s="1" t="s">
        <v>1504</v>
      </c>
    </row>
    <row r="155" spans="1:7" x14ac:dyDescent="0.25">
      <c r="A155" s="1" t="s">
        <v>1559</v>
      </c>
      <c r="B155" s="1" t="s">
        <v>1199</v>
      </c>
      <c r="C155" s="1" t="s">
        <v>33</v>
      </c>
      <c r="D155">
        <v>-5.8352820000000003</v>
      </c>
      <c r="E155">
        <v>26.603978000000001</v>
      </c>
      <c r="F155" s="1" t="s">
        <v>1506</v>
      </c>
      <c r="G155" s="1" t="s">
        <v>1507</v>
      </c>
    </row>
    <row r="156" spans="1:7" x14ac:dyDescent="0.25">
      <c r="A156" s="1" t="s">
        <v>1559</v>
      </c>
      <c r="B156" s="1" t="s">
        <v>1560</v>
      </c>
      <c r="C156" s="1" t="s">
        <v>137</v>
      </c>
      <c r="D156">
        <v>-7.5180249999999997</v>
      </c>
      <c r="E156">
        <v>20.478905999999998</v>
      </c>
      <c r="F156" s="1" t="s">
        <v>1503</v>
      </c>
      <c r="G156" s="1" t="s">
        <v>1516</v>
      </c>
    </row>
    <row r="157" spans="1:7" x14ac:dyDescent="0.25">
      <c r="A157" s="1" t="s">
        <v>1559</v>
      </c>
      <c r="B157" s="1" t="s">
        <v>1220</v>
      </c>
      <c r="C157" s="1" t="s">
        <v>33</v>
      </c>
      <c r="D157">
        <v>1.897178</v>
      </c>
      <c r="E157">
        <v>23.902604</v>
      </c>
      <c r="F157" s="1" t="s">
        <v>1508</v>
      </c>
      <c r="G157" s="1" t="s">
        <v>1516</v>
      </c>
    </row>
    <row r="158" spans="1:7" x14ac:dyDescent="0.25">
      <c r="A158" s="1" t="s">
        <v>1559</v>
      </c>
      <c r="B158" s="1" t="s">
        <v>1241</v>
      </c>
      <c r="C158" s="1" t="s">
        <v>40</v>
      </c>
      <c r="D158">
        <v>-4.6957509999999996</v>
      </c>
      <c r="E158">
        <v>14.233525999999999</v>
      </c>
      <c r="F158" s="1" t="s">
        <v>1506</v>
      </c>
      <c r="G158" s="1" t="s">
        <v>1516</v>
      </c>
    </row>
    <row r="159" spans="1:7" x14ac:dyDescent="0.25">
      <c r="A159" s="1" t="s">
        <v>1559</v>
      </c>
      <c r="B159" s="1" t="s">
        <v>1561</v>
      </c>
      <c r="C159" s="1" t="s">
        <v>29</v>
      </c>
      <c r="D159">
        <v>-5.3956809999999997</v>
      </c>
      <c r="E159">
        <v>14.49985</v>
      </c>
      <c r="F159" s="1" t="s">
        <v>1506</v>
      </c>
      <c r="G159" s="1" t="s">
        <v>1509</v>
      </c>
    </row>
    <row r="160" spans="1:7" x14ac:dyDescent="0.25">
      <c r="A160" s="1" t="s">
        <v>1559</v>
      </c>
      <c r="B160" s="1" t="s">
        <v>1562</v>
      </c>
      <c r="C160" s="1" t="s">
        <v>127</v>
      </c>
      <c r="D160">
        <v>-1.9635830000000001</v>
      </c>
      <c r="E160">
        <v>15.854182</v>
      </c>
      <c r="F160" s="1" t="s">
        <v>1508</v>
      </c>
      <c r="G160" s="1" t="s">
        <v>1516</v>
      </c>
    </row>
    <row r="161" spans="1:7" x14ac:dyDescent="0.25">
      <c r="A161" s="1" t="s">
        <v>1559</v>
      </c>
      <c r="B161" s="1" t="s">
        <v>1563</v>
      </c>
      <c r="C161" s="1" t="s">
        <v>31</v>
      </c>
      <c r="D161">
        <v>-12.01816</v>
      </c>
      <c r="E161">
        <v>23.828645999999999</v>
      </c>
      <c r="F161" s="1" t="s">
        <v>1508</v>
      </c>
      <c r="G161" s="1" t="s">
        <v>1507</v>
      </c>
    </row>
    <row r="162" spans="1:7" x14ac:dyDescent="0.25">
      <c r="A162" s="1" t="s">
        <v>1559</v>
      </c>
      <c r="B162" s="1" t="s">
        <v>977</v>
      </c>
      <c r="C162" s="1" t="s">
        <v>26</v>
      </c>
      <c r="D162">
        <v>-3.6945459999999999</v>
      </c>
      <c r="E162">
        <v>16.809108999999999</v>
      </c>
      <c r="F162" s="1" t="s">
        <v>1503</v>
      </c>
      <c r="G162" s="1" t="s">
        <v>1509</v>
      </c>
    </row>
    <row r="163" spans="1:7" x14ac:dyDescent="0.25">
      <c r="A163" s="1" t="s">
        <v>1559</v>
      </c>
      <c r="B163" s="1" t="s">
        <v>950</v>
      </c>
      <c r="C163" s="1" t="s">
        <v>37</v>
      </c>
      <c r="D163">
        <v>-10.439686999999999</v>
      </c>
      <c r="E163">
        <v>20.714210000000001</v>
      </c>
      <c r="F163" s="1" t="s">
        <v>1506</v>
      </c>
      <c r="G163" s="1" t="s">
        <v>1509</v>
      </c>
    </row>
    <row r="164" spans="1:7" x14ac:dyDescent="0.25">
      <c r="A164" s="1" t="s">
        <v>1559</v>
      </c>
      <c r="B164" s="1" t="s">
        <v>1275</v>
      </c>
      <c r="C164" s="1" t="s">
        <v>78</v>
      </c>
      <c r="D164">
        <v>1.938083</v>
      </c>
      <c r="E164">
        <v>28.25281</v>
      </c>
      <c r="F164" s="1" t="s">
        <v>1506</v>
      </c>
      <c r="G164" s="1" t="s">
        <v>1516</v>
      </c>
    </row>
    <row r="165" spans="1:7" x14ac:dyDescent="0.25">
      <c r="A165" s="1" t="s">
        <v>1559</v>
      </c>
      <c r="B165" s="1" t="s">
        <v>1088</v>
      </c>
      <c r="C165" s="1" t="s">
        <v>127</v>
      </c>
      <c r="D165">
        <v>-4.869434</v>
      </c>
      <c r="E165">
        <v>22.326522000000001</v>
      </c>
      <c r="F165" s="1" t="s">
        <v>1503</v>
      </c>
      <c r="G165" s="1" t="s">
        <v>1504</v>
      </c>
    </row>
    <row r="166" spans="1:7" x14ac:dyDescent="0.25">
      <c r="A166" s="1" t="s">
        <v>1559</v>
      </c>
      <c r="B166" s="1" t="s">
        <v>1564</v>
      </c>
      <c r="C166" s="1" t="s">
        <v>57</v>
      </c>
      <c r="D166">
        <v>7.6420000000000004E-3</v>
      </c>
      <c r="E166">
        <v>12.109260000000001</v>
      </c>
      <c r="F166" s="1" t="s">
        <v>1506</v>
      </c>
      <c r="G166" s="1" t="s">
        <v>1504</v>
      </c>
    </row>
    <row r="167" spans="1:7" x14ac:dyDescent="0.25">
      <c r="A167" s="1" t="s">
        <v>1559</v>
      </c>
      <c r="B167" s="1" t="s">
        <v>1565</v>
      </c>
      <c r="C167" s="1" t="s">
        <v>10</v>
      </c>
      <c r="D167">
        <v>-10.962911</v>
      </c>
      <c r="E167">
        <v>28.771355</v>
      </c>
      <c r="F167" s="1" t="s">
        <v>1503</v>
      </c>
      <c r="G167" s="1" t="s">
        <v>1507</v>
      </c>
    </row>
    <row r="168" spans="1:7" x14ac:dyDescent="0.25">
      <c r="A168" s="1" t="s">
        <v>1559</v>
      </c>
      <c r="B168" s="1" t="s">
        <v>908</v>
      </c>
      <c r="C168" s="1" t="s">
        <v>131</v>
      </c>
      <c r="D168">
        <v>1.017161</v>
      </c>
      <c r="E168">
        <v>16.519689</v>
      </c>
      <c r="F168" s="1" t="s">
        <v>1508</v>
      </c>
      <c r="G168" s="1" t="s">
        <v>1516</v>
      </c>
    </row>
    <row r="169" spans="1:7" x14ac:dyDescent="0.25">
      <c r="A169" s="1" t="s">
        <v>1559</v>
      </c>
      <c r="B169" s="1" t="s">
        <v>1566</v>
      </c>
      <c r="C169" s="1" t="s">
        <v>137</v>
      </c>
      <c r="D169">
        <v>3.8811640000000001</v>
      </c>
      <c r="E169">
        <v>23.188383999999999</v>
      </c>
      <c r="F169" s="1" t="s">
        <v>1503</v>
      </c>
      <c r="G169" s="1" t="s">
        <v>1507</v>
      </c>
    </row>
    <row r="170" spans="1:7" x14ac:dyDescent="0.25">
      <c r="A170" s="1" t="s">
        <v>1559</v>
      </c>
      <c r="B170" s="1" t="s">
        <v>1375</v>
      </c>
      <c r="C170" s="1" t="s">
        <v>62</v>
      </c>
      <c r="D170">
        <v>-0.469945</v>
      </c>
      <c r="E170">
        <v>21.038527999999999</v>
      </c>
      <c r="F170" s="1" t="s">
        <v>1508</v>
      </c>
      <c r="G170" s="1" t="s">
        <v>1504</v>
      </c>
    </row>
    <row r="171" spans="1:7" x14ac:dyDescent="0.25">
      <c r="A171" s="1" t="s">
        <v>1559</v>
      </c>
      <c r="B171" s="1" t="s">
        <v>832</v>
      </c>
      <c r="C171" s="1" t="s">
        <v>31</v>
      </c>
      <c r="D171">
        <v>-10.56448</v>
      </c>
      <c r="E171">
        <v>19.792876</v>
      </c>
      <c r="F171" s="1" t="s">
        <v>1503</v>
      </c>
      <c r="G171" s="1" t="s">
        <v>1504</v>
      </c>
    </row>
    <row r="172" spans="1:7" x14ac:dyDescent="0.25">
      <c r="A172" s="1" t="s">
        <v>1559</v>
      </c>
      <c r="B172" s="1" t="s">
        <v>1415</v>
      </c>
      <c r="C172" s="1" t="s">
        <v>18</v>
      </c>
      <c r="D172">
        <v>-5.5559329999999996</v>
      </c>
      <c r="E172">
        <v>13.508692999999999</v>
      </c>
      <c r="F172" s="1" t="s">
        <v>1508</v>
      </c>
      <c r="G172" s="1" t="s">
        <v>1516</v>
      </c>
    </row>
    <row r="173" spans="1:7" x14ac:dyDescent="0.25">
      <c r="A173" s="1" t="s">
        <v>1559</v>
      </c>
      <c r="B173" s="1" t="s">
        <v>1567</v>
      </c>
      <c r="C173" s="1" t="s">
        <v>131</v>
      </c>
      <c r="D173">
        <v>-4.884055</v>
      </c>
      <c r="E173">
        <v>23.40194</v>
      </c>
      <c r="F173" s="1" t="s">
        <v>1508</v>
      </c>
      <c r="G173" s="1" t="s">
        <v>1504</v>
      </c>
    </row>
    <row r="174" spans="1:7" x14ac:dyDescent="0.25">
      <c r="A174" s="1" t="s">
        <v>1559</v>
      </c>
      <c r="B174" s="1" t="s">
        <v>1568</v>
      </c>
      <c r="C174" s="1" t="s">
        <v>18</v>
      </c>
      <c r="D174">
        <v>-9.7801860000000005</v>
      </c>
      <c r="E174">
        <v>16.649550000000001</v>
      </c>
      <c r="F174" s="1" t="s">
        <v>1503</v>
      </c>
      <c r="G174" s="1" t="s">
        <v>1504</v>
      </c>
    </row>
    <row r="175" spans="1:7" x14ac:dyDescent="0.25">
      <c r="A175" s="1" t="s">
        <v>1559</v>
      </c>
      <c r="B175" s="1" t="s">
        <v>966</v>
      </c>
      <c r="C175" s="1" t="s">
        <v>78</v>
      </c>
      <c r="D175">
        <v>-2.3743210000000001</v>
      </c>
      <c r="E175">
        <v>22.399491000000001</v>
      </c>
      <c r="F175" s="1" t="s">
        <v>1503</v>
      </c>
      <c r="G175" s="1" t="s">
        <v>1504</v>
      </c>
    </row>
    <row r="176" spans="1:7" x14ac:dyDescent="0.25">
      <c r="A176" s="1" t="s">
        <v>1559</v>
      </c>
      <c r="B176" s="1" t="s">
        <v>1345</v>
      </c>
      <c r="C176" s="1" t="s">
        <v>131</v>
      </c>
      <c r="D176">
        <v>-0.17258100000000001</v>
      </c>
      <c r="E176">
        <v>23.775555000000001</v>
      </c>
      <c r="F176" s="1" t="s">
        <v>1503</v>
      </c>
      <c r="G176" s="1" t="s">
        <v>1516</v>
      </c>
    </row>
    <row r="177" spans="1:7" x14ac:dyDescent="0.25">
      <c r="A177" s="1" t="s">
        <v>1559</v>
      </c>
      <c r="B177" s="1" t="s">
        <v>896</v>
      </c>
      <c r="C177" s="1" t="s">
        <v>31</v>
      </c>
      <c r="D177">
        <v>-9.3652239999999995</v>
      </c>
      <c r="E177">
        <v>22.593423999999999</v>
      </c>
      <c r="F177" s="1" t="s">
        <v>1503</v>
      </c>
      <c r="G177" s="1" t="s">
        <v>1516</v>
      </c>
    </row>
    <row r="178" spans="1:7" x14ac:dyDescent="0.25">
      <c r="A178" s="1" t="s">
        <v>1559</v>
      </c>
      <c r="B178" s="1" t="s">
        <v>1212</v>
      </c>
      <c r="C178" s="1" t="s">
        <v>18</v>
      </c>
      <c r="D178">
        <v>-4.8157019999999999</v>
      </c>
      <c r="E178">
        <v>27.679798000000002</v>
      </c>
      <c r="F178" s="1" t="s">
        <v>1508</v>
      </c>
      <c r="G178" s="1" t="s">
        <v>1504</v>
      </c>
    </row>
    <row r="179" spans="1:7" x14ac:dyDescent="0.25">
      <c r="A179" s="1" t="s">
        <v>1559</v>
      </c>
      <c r="B179" s="1" t="s">
        <v>1278</v>
      </c>
      <c r="C179" s="1" t="s">
        <v>89</v>
      </c>
      <c r="D179">
        <v>-8.4985189999999999</v>
      </c>
      <c r="E179">
        <v>12.929456999999999</v>
      </c>
      <c r="F179" s="1" t="s">
        <v>1506</v>
      </c>
      <c r="G179" s="1" t="s">
        <v>1504</v>
      </c>
    </row>
    <row r="180" spans="1:7" x14ac:dyDescent="0.25">
      <c r="A180" s="1" t="s">
        <v>1559</v>
      </c>
      <c r="B180" s="1" t="s">
        <v>1468</v>
      </c>
      <c r="C180" s="1" t="s">
        <v>31</v>
      </c>
      <c r="D180">
        <v>-0.54908599999999996</v>
      </c>
      <c r="E180">
        <v>14.816867</v>
      </c>
      <c r="F180" s="1" t="s">
        <v>1503</v>
      </c>
      <c r="G180" s="1" t="s">
        <v>1509</v>
      </c>
    </row>
    <row r="181" spans="1:7" x14ac:dyDescent="0.25">
      <c r="A181" s="1" t="s">
        <v>1559</v>
      </c>
      <c r="B181" s="1" t="s">
        <v>1005</v>
      </c>
      <c r="C181" s="1" t="s">
        <v>60</v>
      </c>
      <c r="D181">
        <v>3.3289240000000002</v>
      </c>
      <c r="E181">
        <v>24.412261000000001</v>
      </c>
      <c r="F181" s="1" t="s">
        <v>1503</v>
      </c>
      <c r="G181" s="1" t="s">
        <v>1516</v>
      </c>
    </row>
    <row r="182" spans="1:7" x14ac:dyDescent="0.25">
      <c r="A182" s="1" t="s">
        <v>1559</v>
      </c>
      <c r="B182" s="1" t="s">
        <v>1569</v>
      </c>
      <c r="C182" s="1" t="s">
        <v>73</v>
      </c>
      <c r="D182">
        <v>1.3367519999999999</v>
      </c>
      <c r="E182">
        <v>12.697699999999999</v>
      </c>
      <c r="F182" s="1" t="s">
        <v>1503</v>
      </c>
      <c r="G182" s="1" t="s">
        <v>1507</v>
      </c>
    </row>
    <row r="183" spans="1:7" x14ac:dyDescent="0.25">
      <c r="A183" s="1" t="s">
        <v>1559</v>
      </c>
      <c r="B183" s="1" t="s">
        <v>1570</v>
      </c>
      <c r="C183" s="1" t="s">
        <v>16</v>
      </c>
      <c r="D183">
        <v>-6.9254999999999997E-2</v>
      </c>
      <c r="E183">
        <v>28.222756</v>
      </c>
      <c r="F183" s="1" t="s">
        <v>1503</v>
      </c>
      <c r="G183" s="1" t="s">
        <v>1507</v>
      </c>
    </row>
    <row r="184" spans="1:7" x14ac:dyDescent="0.25">
      <c r="A184" s="1" t="s">
        <v>1559</v>
      </c>
      <c r="B184" s="1" t="s">
        <v>846</v>
      </c>
      <c r="C184" s="1" t="s">
        <v>37</v>
      </c>
      <c r="D184">
        <v>-10.776204</v>
      </c>
      <c r="E184">
        <v>24.672934000000001</v>
      </c>
      <c r="F184" s="1" t="s">
        <v>1506</v>
      </c>
      <c r="G184" s="1" t="s">
        <v>1504</v>
      </c>
    </row>
    <row r="185" spans="1:7" x14ac:dyDescent="0.25">
      <c r="A185" s="1" t="s">
        <v>1559</v>
      </c>
      <c r="B185" s="1" t="s">
        <v>1305</v>
      </c>
      <c r="C185" s="1" t="s">
        <v>24</v>
      </c>
      <c r="D185">
        <v>-10.945031</v>
      </c>
      <c r="E185">
        <v>27.922274000000002</v>
      </c>
      <c r="F185" s="1" t="s">
        <v>1506</v>
      </c>
      <c r="G185" s="1" t="s">
        <v>1504</v>
      </c>
    </row>
    <row r="186" spans="1:7" x14ac:dyDescent="0.25">
      <c r="A186" s="1" t="s">
        <v>1559</v>
      </c>
      <c r="B186" s="1" t="s">
        <v>1571</v>
      </c>
      <c r="C186" s="1" t="s">
        <v>62</v>
      </c>
      <c r="D186">
        <v>-4.9108280000000004</v>
      </c>
      <c r="E186">
        <v>17.670389</v>
      </c>
      <c r="F186" s="1" t="s">
        <v>1503</v>
      </c>
      <c r="G186" s="1" t="s">
        <v>1509</v>
      </c>
    </row>
    <row r="187" spans="1:7" x14ac:dyDescent="0.25">
      <c r="A187" s="1" t="s">
        <v>1559</v>
      </c>
      <c r="B187" s="1" t="s">
        <v>1381</v>
      </c>
      <c r="C187" s="1" t="s">
        <v>73</v>
      </c>
      <c r="D187">
        <v>-6.4670189999999996</v>
      </c>
      <c r="E187">
        <v>29.487309</v>
      </c>
      <c r="F187" s="1" t="s">
        <v>1506</v>
      </c>
      <c r="G187" s="1" t="s">
        <v>1509</v>
      </c>
    </row>
    <row r="188" spans="1:7" x14ac:dyDescent="0.25">
      <c r="A188" s="1" t="s">
        <v>1559</v>
      </c>
      <c r="B188" s="1" t="s">
        <v>1572</v>
      </c>
      <c r="C188" s="1" t="s">
        <v>51</v>
      </c>
      <c r="D188">
        <v>-3.571288</v>
      </c>
      <c r="E188">
        <v>12.931596000000001</v>
      </c>
      <c r="F188" s="1" t="s">
        <v>1506</v>
      </c>
      <c r="G188" s="1" t="s">
        <v>1516</v>
      </c>
    </row>
    <row r="189" spans="1:7" x14ac:dyDescent="0.25">
      <c r="A189" s="1" t="s">
        <v>1559</v>
      </c>
      <c r="B189" s="1" t="s">
        <v>1573</v>
      </c>
      <c r="C189" s="1" t="s">
        <v>127</v>
      </c>
      <c r="D189">
        <v>-6.0864269999999996</v>
      </c>
      <c r="E189">
        <v>19.922181999999999</v>
      </c>
      <c r="F189" s="1" t="s">
        <v>1503</v>
      </c>
      <c r="G189" s="1" t="s">
        <v>1507</v>
      </c>
    </row>
    <row r="190" spans="1:7" x14ac:dyDescent="0.25">
      <c r="A190" s="1" t="s">
        <v>1559</v>
      </c>
      <c r="B190" s="1" t="s">
        <v>1279</v>
      </c>
      <c r="C190" s="1" t="s">
        <v>127</v>
      </c>
      <c r="D190">
        <v>1.2391989999999999</v>
      </c>
      <c r="E190">
        <v>15.386718999999999</v>
      </c>
      <c r="F190" s="1" t="s">
        <v>1503</v>
      </c>
      <c r="G190" s="1" t="s">
        <v>1509</v>
      </c>
    </row>
    <row r="191" spans="1:7" x14ac:dyDescent="0.25">
      <c r="A191" s="1" t="s">
        <v>1559</v>
      </c>
      <c r="B191" s="1" t="s">
        <v>1574</v>
      </c>
      <c r="C191" s="1" t="s">
        <v>62</v>
      </c>
      <c r="D191">
        <v>-3.7900040000000002</v>
      </c>
      <c r="E191">
        <v>24.769718999999998</v>
      </c>
      <c r="F191" s="1" t="s">
        <v>1503</v>
      </c>
      <c r="G191" s="1" t="s">
        <v>1507</v>
      </c>
    </row>
    <row r="192" spans="1:7" x14ac:dyDescent="0.25">
      <c r="A192" s="1" t="s">
        <v>1559</v>
      </c>
      <c r="B192" s="1" t="s">
        <v>1575</v>
      </c>
      <c r="C192" s="1" t="s">
        <v>57</v>
      </c>
      <c r="D192">
        <v>4.0955700000000004</v>
      </c>
      <c r="E192">
        <v>23.610704999999999</v>
      </c>
      <c r="F192" s="1" t="s">
        <v>1506</v>
      </c>
      <c r="G192" s="1" t="s">
        <v>1509</v>
      </c>
    </row>
    <row r="193" spans="1:7" x14ac:dyDescent="0.25">
      <c r="A193" s="1" t="s">
        <v>1559</v>
      </c>
      <c r="B193" s="1" t="s">
        <v>839</v>
      </c>
      <c r="C193" s="1" t="s">
        <v>73</v>
      </c>
      <c r="D193">
        <v>-6.1837850000000003</v>
      </c>
      <c r="E193">
        <v>25.138759</v>
      </c>
      <c r="F193" s="1" t="s">
        <v>1508</v>
      </c>
      <c r="G193" s="1" t="s">
        <v>1504</v>
      </c>
    </row>
    <row r="194" spans="1:7" x14ac:dyDescent="0.25">
      <c r="A194" s="1" t="s">
        <v>1559</v>
      </c>
      <c r="B194" s="1" t="s">
        <v>1277</v>
      </c>
      <c r="C194" s="1" t="s">
        <v>60</v>
      </c>
      <c r="D194">
        <v>-6.1490739999999997</v>
      </c>
      <c r="E194">
        <v>23.304411000000002</v>
      </c>
      <c r="F194" s="1" t="s">
        <v>1503</v>
      </c>
      <c r="G194" s="1" t="s">
        <v>1509</v>
      </c>
    </row>
    <row r="195" spans="1:7" x14ac:dyDescent="0.25">
      <c r="A195" s="1" t="s">
        <v>1559</v>
      </c>
      <c r="B195" s="1" t="s">
        <v>873</v>
      </c>
      <c r="C195" s="1" t="s">
        <v>131</v>
      </c>
      <c r="D195">
        <v>0.82868600000000003</v>
      </c>
      <c r="E195">
        <v>26.958843999999999</v>
      </c>
      <c r="F195" s="1" t="s">
        <v>1503</v>
      </c>
      <c r="G195" s="1" t="s">
        <v>1509</v>
      </c>
    </row>
    <row r="196" spans="1:7" x14ac:dyDescent="0.25">
      <c r="A196" s="1" t="s">
        <v>1559</v>
      </c>
      <c r="B196" s="1" t="s">
        <v>1576</v>
      </c>
      <c r="C196" s="1" t="s">
        <v>18</v>
      </c>
      <c r="D196">
        <v>3.42055</v>
      </c>
      <c r="E196">
        <v>15.370965999999999</v>
      </c>
      <c r="F196" s="1" t="s">
        <v>1506</v>
      </c>
      <c r="G196" s="1" t="s">
        <v>1516</v>
      </c>
    </row>
    <row r="197" spans="1:7" x14ac:dyDescent="0.25">
      <c r="A197" s="1" t="s">
        <v>1559</v>
      </c>
      <c r="B197" s="1" t="s">
        <v>815</v>
      </c>
      <c r="C197" s="1" t="s">
        <v>62</v>
      </c>
      <c r="D197">
        <v>-2.8211520000000001</v>
      </c>
      <c r="E197">
        <v>20.651419000000001</v>
      </c>
      <c r="F197" s="1" t="s">
        <v>1503</v>
      </c>
      <c r="G197" s="1" t="s">
        <v>1504</v>
      </c>
    </row>
    <row r="198" spans="1:7" x14ac:dyDescent="0.25">
      <c r="A198" s="1" t="s">
        <v>1559</v>
      </c>
      <c r="B198" s="1" t="s">
        <v>1223</v>
      </c>
      <c r="C198" s="1" t="s">
        <v>60</v>
      </c>
      <c r="D198">
        <v>-1.1284540000000001</v>
      </c>
      <c r="E198">
        <v>23.000360000000001</v>
      </c>
      <c r="F198" s="1" t="s">
        <v>1503</v>
      </c>
      <c r="G198" s="1" t="s">
        <v>1504</v>
      </c>
    </row>
    <row r="199" spans="1:7" x14ac:dyDescent="0.25">
      <c r="A199" s="1" t="s">
        <v>1559</v>
      </c>
      <c r="B199" s="1" t="s">
        <v>1434</v>
      </c>
      <c r="C199" s="1" t="s">
        <v>131</v>
      </c>
      <c r="D199">
        <v>-10.298385</v>
      </c>
      <c r="E199">
        <v>29.698117</v>
      </c>
      <c r="F199" s="1" t="s">
        <v>1503</v>
      </c>
      <c r="G199" s="1" t="s">
        <v>1516</v>
      </c>
    </row>
    <row r="200" spans="1:7" x14ac:dyDescent="0.25">
      <c r="A200" s="1" t="s">
        <v>1559</v>
      </c>
      <c r="B200" s="1" t="s">
        <v>1577</v>
      </c>
      <c r="C200" s="1" t="s">
        <v>73</v>
      </c>
      <c r="D200">
        <v>2.6387339999999999</v>
      </c>
      <c r="E200">
        <v>13.769399</v>
      </c>
      <c r="F200" s="1" t="s">
        <v>1506</v>
      </c>
      <c r="G200" s="1" t="s">
        <v>1507</v>
      </c>
    </row>
    <row r="201" spans="1:7" x14ac:dyDescent="0.25">
      <c r="A201" s="1" t="s">
        <v>1559</v>
      </c>
      <c r="B201" s="1" t="s">
        <v>948</v>
      </c>
      <c r="C201" s="1" t="s">
        <v>137</v>
      </c>
      <c r="D201">
        <v>-9.7803979999999999</v>
      </c>
      <c r="E201">
        <v>17.686595000000001</v>
      </c>
      <c r="F201" s="1" t="s">
        <v>1506</v>
      </c>
      <c r="G201" s="1" t="s">
        <v>1504</v>
      </c>
    </row>
    <row r="202" spans="1:7" x14ac:dyDescent="0.25">
      <c r="A202" s="1" t="s">
        <v>1578</v>
      </c>
      <c r="B202" s="1" t="s">
        <v>1579</v>
      </c>
      <c r="C202" s="1" t="s">
        <v>21</v>
      </c>
      <c r="D202">
        <v>-6.8779139999999996</v>
      </c>
      <c r="E202">
        <v>12.550860999999999</v>
      </c>
      <c r="F202" s="1" t="s">
        <v>1503</v>
      </c>
      <c r="G202" s="1" t="s">
        <v>1509</v>
      </c>
    </row>
    <row r="203" spans="1:7" x14ac:dyDescent="0.25">
      <c r="A203" s="1" t="s">
        <v>1578</v>
      </c>
      <c r="B203" s="1" t="s">
        <v>1580</v>
      </c>
      <c r="C203" s="1" t="s">
        <v>40</v>
      </c>
      <c r="D203">
        <v>-4.2975050000000001</v>
      </c>
      <c r="E203">
        <v>29.162555999999999</v>
      </c>
      <c r="F203" s="1" t="s">
        <v>1503</v>
      </c>
      <c r="G203" s="1" t="s">
        <v>1504</v>
      </c>
    </row>
    <row r="204" spans="1:7" x14ac:dyDescent="0.25">
      <c r="A204" s="1" t="s">
        <v>1578</v>
      </c>
      <c r="B204" s="1" t="s">
        <v>1581</v>
      </c>
      <c r="C204" s="1" t="s">
        <v>44</v>
      </c>
      <c r="D204">
        <v>2.7298239999999998</v>
      </c>
      <c r="E204">
        <v>12.958664000000001</v>
      </c>
      <c r="F204" s="1" t="s">
        <v>1508</v>
      </c>
      <c r="G204" s="1" t="s">
        <v>1509</v>
      </c>
    </row>
    <row r="205" spans="1:7" x14ac:dyDescent="0.25">
      <c r="A205" s="1" t="s">
        <v>1578</v>
      </c>
      <c r="B205" s="1" t="s">
        <v>1582</v>
      </c>
      <c r="C205" s="1" t="s">
        <v>67</v>
      </c>
      <c r="D205">
        <v>-7.4135429999999998</v>
      </c>
      <c r="E205">
        <v>19.288392999999999</v>
      </c>
      <c r="F205" s="1" t="s">
        <v>1506</v>
      </c>
      <c r="G205" s="1" t="s">
        <v>1516</v>
      </c>
    </row>
    <row r="206" spans="1:7" x14ac:dyDescent="0.25">
      <c r="A206" s="1" t="s">
        <v>1578</v>
      </c>
      <c r="B206" s="1" t="s">
        <v>1443</v>
      </c>
      <c r="C206" s="1" t="s">
        <v>64</v>
      </c>
      <c r="D206">
        <v>-7.1079169999999996</v>
      </c>
      <c r="E206">
        <v>13.636272</v>
      </c>
      <c r="F206" s="1" t="s">
        <v>1503</v>
      </c>
      <c r="G206" s="1" t="s">
        <v>1516</v>
      </c>
    </row>
    <row r="207" spans="1:7" x14ac:dyDescent="0.25">
      <c r="A207" s="1" t="s">
        <v>1578</v>
      </c>
      <c r="B207" s="1" t="s">
        <v>1583</v>
      </c>
      <c r="C207" s="1" t="s">
        <v>78</v>
      </c>
      <c r="D207">
        <v>0.850665</v>
      </c>
      <c r="E207">
        <v>19.446418000000001</v>
      </c>
      <c r="F207" s="1" t="s">
        <v>1506</v>
      </c>
      <c r="G207" s="1" t="s">
        <v>1507</v>
      </c>
    </row>
    <row r="208" spans="1:7" x14ac:dyDescent="0.25">
      <c r="A208" s="1" t="s">
        <v>1578</v>
      </c>
      <c r="B208" s="1" t="s">
        <v>1350</v>
      </c>
      <c r="C208" s="1" t="s">
        <v>131</v>
      </c>
      <c r="D208">
        <v>-11.231472</v>
      </c>
      <c r="E208">
        <v>25.388874000000001</v>
      </c>
      <c r="F208" s="1" t="s">
        <v>1506</v>
      </c>
      <c r="G208" s="1" t="s">
        <v>1507</v>
      </c>
    </row>
    <row r="209" spans="1:7" x14ac:dyDescent="0.25">
      <c r="A209" s="1" t="s">
        <v>1578</v>
      </c>
      <c r="B209" s="1" t="s">
        <v>1102</v>
      </c>
      <c r="C209" s="1" t="s">
        <v>16</v>
      </c>
      <c r="D209">
        <v>4.6809229999999999</v>
      </c>
      <c r="E209">
        <v>28.934242000000001</v>
      </c>
      <c r="F209" s="1" t="s">
        <v>1503</v>
      </c>
      <c r="G209" s="1" t="s">
        <v>1516</v>
      </c>
    </row>
    <row r="210" spans="1:7" x14ac:dyDescent="0.25">
      <c r="A210" s="1" t="s">
        <v>1578</v>
      </c>
      <c r="B210" s="1" t="s">
        <v>1584</v>
      </c>
      <c r="C210" s="1" t="s">
        <v>60</v>
      </c>
      <c r="D210">
        <v>-3.7093609999999999</v>
      </c>
      <c r="E210">
        <v>23.959942999999999</v>
      </c>
      <c r="F210" s="1" t="s">
        <v>1506</v>
      </c>
      <c r="G210" s="1" t="s">
        <v>1507</v>
      </c>
    </row>
    <row r="211" spans="1:7" x14ac:dyDescent="0.25">
      <c r="A211" s="1" t="s">
        <v>1578</v>
      </c>
      <c r="B211" s="1" t="s">
        <v>1156</v>
      </c>
      <c r="C211" s="1" t="s">
        <v>29</v>
      </c>
      <c r="D211">
        <v>4.8689660000000003</v>
      </c>
      <c r="E211">
        <v>25.112373000000002</v>
      </c>
      <c r="F211" s="1" t="s">
        <v>1508</v>
      </c>
      <c r="G211" s="1" t="s">
        <v>1507</v>
      </c>
    </row>
    <row r="212" spans="1:7" x14ac:dyDescent="0.25">
      <c r="A212" s="1" t="s">
        <v>1578</v>
      </c>
      <c r="B212" s="1" t="s">
        <v>892</v>
      </c>
      <c r="C212" s="1" t="s">
        <v>89</v>
      </c>
      <c r="D212">
        <v>-9.3066320000000005</v>
      </c>
      <c r="E212">
        <v>20.470889</v>
      </c>
      <c r="F212" s="1" t="s">
        <v>1503</v>
      </c>
      <c r="G212" s="1" t="s">
        <v>1509</v>
      </c>
    </row>
    <row r="213" spans="1:7" x14ac:dyDescent="0.25">
      <c r="A213" s="1" t="s">
        <v>1578</v>
      </c>
      <c r="B213" s="1" t="s">
        <v>1017</v>
      </c>
      <c r="C213" s="1" t="s">
        <v>31</v>
      </c>
      <c r="D213">
        <v>-12.342053999999999</v>
      </c>
      <c r="E213">
        <v>18.756862000000002</v>
      </c>
      <c r="F213" s="1" t="s">
        <v>1508</v>
      </c>
      <c r="G213" s="1" t="s">
        <v>1504</v>
      </c>
    </row>
    <row r="214" spans="1:7" x14ac:dyDescent="0.25">
      <c r="A214" s="1" t="s">
        <v>1578</v>
      </c>
      <c r="B214" s="1" t="s">
        <v>1585</v>
      </c>
      <c r="C214" s="1" t="s">
        <v>131</v>
      </c>
      <c r="D214">
        <v>-6.0234120000000004</v>
      </c>
      <c r="E214">
        <v>18.314309999999999</v>
      </c>
      <c r="F214" s="1" t="s">
        <v>1503</v>
      </c>
      <c r="G214" s="1" t="s">
        <v>1509</v>
      </c>
    </row>
    <row r="215" spans="1:7" x14ac:dyDescent="0.25">
      <c r="A215" s="1" t="s">
        <v>1578</v>
      </c>
      <c r="B215" s="1" t="s">
        <v>1409</v>
      </c>
      <c r="C215" s="1" t="s">
        <v>29</v>
      </c>
      <c r="D215">
        <v>2.5665840000000002</v>
      </c>
      <c r="E215">
        <v>15.764796</v>
      </c>
      <c r="F215" s="1" t="s">
        <v>1508</v>
      </c>
      <c r="G215" s="1" t="s">
        <v>1509</v>
      </c>
    </row>
    <row r="216" spans="1:7" x14ac:dyDescent="0.25">
      <c r="A216" s="1" t="s">
        <v>1578</v>
      </c>
      <c r="B216" s="1" t="s">
        <v>886</v>
      </c>
      <c r="C216" s="1" t="s">
        <v>31</v>
      </c>
      <c r="D216">
        <v>-10.914952</v>
      </c>
      <c r="E216">
        <v>26.409648000000001</v>
      </c>
      <c r="F216" s="1" t="s">
        <v>1506</v>
      </c>
      <c r="G216" s="1" t="s">
        <v>1507</v>
      </c>
    </row>
    <row r="217" spans="1:7" x14ac:dyDescent="0.25">
      <c r="A217" s="1" t="s">
        <v>1578</v>
      </c>
      <c r="B217" s="1" t="s">
        <v>1304</v>
      </c>
      <c r="C217" s="1" t="s">
        <v>51</v>
      </c>
      <c r="D217">
        <v>-7.402336</v>
      </c>
      <c r="E217">
        <v>27.376697</v>
      </c>
      <c r="F217" s="1" t="s">
        <v>1506</v>
      </c>
      <c r="G217" s="1" t="s">
        <v>1507</v>
      </c>
    </row>
    <row r="218" spans="1:7" x14ac:dyDescent="0.25">
      <c r="A218" s="1" t="s">
        <v>1578</v>
      </c>
      <c r="B218" s="1" t="s">
        <v>1586</v>
      </c>
      <c r="C218" s="1" t="s">
        <v>24</v>
      </c>
      <c r="D218">
        <v>-12.207461</v>
      </c>
      <c r="E218">
        <v>13.492367</v>
      </c>
      <c r="F218" s="1" t="s">
        <v>1508</v>
      </c>
      <c r="G218" s="1" t="s">
        <v>1504</v>
      </c>
    </row>
    <row r="219" spans="1:7" x14ac:dyDescent="0.25">
      <c r="A219" s="1" t="s">
        <v>1578</v>
      </c>
      <c r="B219" s="1" t="s">
        <v>1587</v>
      </c>
      <c r="C219" s="1" t="s">
        <v>137</v>
      </c>
      <c r="D219">
        <v>2.266232</v>
      </c>
      <c r="E219">
        <v>29.532896000000001</v>
      </c>
      <c r="F219" s="1" t="s">
        <v>1506</v>
      </c>
      <c r="G219" s="1" t="s">
        <v>1504</v>
      </c>
    </row>
    <row r="220" spans="1:7" x14ac:dyDescent="0.25">
      <c r="A220" s="1" t="s">
        <v>1578</v>
      </c>
      <c r="B220" s="1" t="s">
        <v>1588</v>
      </c>
      <c r="C220" s="1" t="s">
        <v>35</v>
      </c>
      <c r="D220">
        <v>2.6937519999999999</v>
      </c>
      <c r="E220">
        <v>26.524137</v>
      </c>
      <c r="F220" s="1" t="s">
        <v>1508</v>
      </c>
      <c r="G220" s="1" t="s">
        <v>1504</v>
      </c>
    </row>
    <row r="221" spans="1:7" x14ac:dyDescent="0.25">
      <c r="A221" s="1" t="s">
        <v>1578</v>
      </c>
      <c r="B221" s="1" t="s">
        <v>1432</v>
      </c>
      <c r="C221" s="1" t="s">
        <v>37</v>
      </c>
      <c r="D221">
        <v>-7.0007840000000003</v>
      </c>
      <c r="E221">
        <v>22.787997000000001</v>
      </c>
      <c r="F221" s="1" t="s">
        <v>1503</v>
      </c>
      <c r="G221" s="1" t="s">
        <v>1509</v>
      </c>
    </row>
    <row r="222" spans="1:7" x14ac:dyDescent="0.25">
      <c r="A222" s="1" t="s">
        <v>1578</v>
      </c>
      <c r="B222" s="1" t="s">
        <v>1589</v>
      </c>
      <c r="C222" s="1" t="s">
        <v>78</v>
      </c>
      <c r="D222">
        <v>3.0053459999999999</v>
      </c>
      <c r="E222">
        <v>13.765407</v>
      </c>
      <c r="F222" s="1" t="s">
        <v>1503</v>
      </c>
      <c r="G222" s="1" t="s">
        <v>1504</v>
      </c>
    </row>
    <row r="223" spans="1:7" x14ac:dyDescent="0.25">
      <c r="A223" s="1" t="s">
        <v>1578</v>
      </c>
      <c r="B223" s="1" t="s">
        <v>807</v>
      </c>
      <c r="C223" s="1" t="s">
        <v>37</v>
      </c>
      <c r="D223">
        <v>-11.144149000000001</v>
      </c>
      <c r="E223">
        <v>27.244658999999999</v>
      </c>
      <c r="F223" s="1" t="s">
        <v>1506</v>
      </c>
      <c r="G223" s="1" t="s">
        <v>1516</v>
      </c>
    </row>
    <row r="224" spans="1:7" x14ac:dyDescent="0.25">
      <c r="A224" s="1" t="s">
        <v>1578</v>
      </c>
      <c r="B224" s="1" t="s">
        <v>940</v>
      </c>
      <c r="C224" s="1" t="s">
        <v>62</v>
      </c>
      <c r="D224">
        <v>0.79124300000000003</v>
      </c>
      <c r="E224">
        <v>25.273389000000002</v>
      </c>
      <c r="F224" s="1" t="s">
        <v>1506</v>
      </c>
      <c r="G224" s="1" t="s">
        <v>1516</v>
      </c>
    </row>
    <row r="225" spans="1:7" x14ac:dyDescent="0.25">
      <c r="A225" s="1" t="s">
        <v>1578</v>
      </c>
      <c r="B225" s="1" t="s">
        <v>1590</v>
      </c>
      <c r="C225" s="1" t="s">
        <v>67</v>
      </c>
      <c r="D225">
        <v>0.419985</v>
      </c>
      <c r="E225">
        <v>13.847996999999999</v>
      </c>
      <c r="F225" s="1" t="s">
        <v>1503</v>
      </c>
      <c r="G225" s="1" t="s">
        <v>1509</v>
      </c>
    </row>
    <row r="226" spans="1:7" x14ac:dyDescent="0.25">
      <c r="A226" s="1" t="s">
        <v>1578</v>
      </c>
      <c r="B226" s="1" t="s">
        <v>1290</v>
      </c>
      <c r="C226" s="1" t="s">
        <v>10</v>
      </c>
      <c r="D226">
        <v>-12.595355</v>
      </c>
      <c r="E226">
        <v>17.897442000000002</v>
      </c>
      <c r="F226" s="1" t="s">
        <v>1506</v>
      </c>
      <c r="G226" s="1" t="s">
        <v>1507</v>
      </c>
    </row>
    <row r="227" spans="1:7" x14ac:dyDescent="0.25">
      <c r="A227" s="1" t="s">
        <v>1578</v>
      </c>
      <c r="B227" s="1" t="s">
        <v>1310</v>
      </c>
      <c r="C227" s="1" t="s">
        <v>40</v>
      </c>
      <c r="D227">
        <v>0.65288900000000005</v>
      </c>
      <c r="E227">
        <v>24.243953999999999</v>
      </c>
      <c r="F227" s="1" t="s">
        <v>1503</v>
      </c>
      <c r="G227" s="1" t="s">
        <v>1504</v>
      </c>
    </row>
    <row r="228" spans="1:7" x14ac:dyDescent="0.25">
      <c r="A228" s="1" t="s">
        <v>1578</v>
      </c>
      <c r="B228" s="1" t="s">
        <v>1338</v>
      </c>
      <c r="C228" s="1" t="s">
        <v>26</v>
      </c>
      <c r="D228">
        <v>-1.500685</v>
      </c>
      <c r="E228">
        <v>26.563376000000002</v>
      </c>
      <c r="F228" s="1" t="s">
        <v>1503</v>
      </c>
      <c r="G228" s="1" t="s">
        <v>1516</v>
      </c>
    </row>
    <row r="229" spans="1:7" x14ac:dyDescent="0.25">
      <c r="A229" s="1" t="s">
        <v>1578</v>
      </c>
      <c r="B229" s="1" t="s">
        <v>1591</v>
      </c>
      <c r="C229" s="1" t="s">
        <v>57</v>
      </c>
      <c r="D229">
        <v>-9.2227779999999999</v>
      </c>
      <c r="E229">
        <v>20.940372</v>
      </c>
      <c r="F229" s="1" t="s">
        <v>1508</v>
      </c>
      <c r="G229" s="1" t="s">
        <v>1504</v>
      </c>
    </row>
    <row r="230" spans="1:7" x14ac:dyDescent="0.25">
      <c r="A230" s="1" t="s">
        <v>1578</v>
      </c>
      <c r="B230" s="1" t="s">
        <v>1040</v>
      </c>
      <c r="C230" s="1" t="s">
        <v>21</v>
      </c>
      <c r="D230">
        <v>-9.3900009999999998</v>
      </c>
      <c r="E230">
        <v>30.001517</v>
      </c>
      <c r="F230" s="1" t="s">
        <v>1508</v>
      </c>
      <c r="G230" s="1" t="s">
        <v>1516</v>
      </c>
    </row>
    <row r="231" spans="1:7" x14ac:dyDescent="0.25">
      <c r="A231" s="1" t="s">
        <v>1578</v>
      </c>
      <c r="B231" s="1" t="s">
        <v>1592</v>
      </c>
      <c r="C231" s="1" t="s">
        <v>127</v>
      </c>
      <c r="D231">
        <v>-7.8417870000000001</v>
      </c>
      <c r="E231">
        <v>14.730712</v>
      </c>
      <c r="F231" s="1" t="s">
        <v>1503</v>
      </c>
      <c r="G231" s="1" t="s">
        <v>1516</v>
      </c>
    </row>
    <row r="232" spans="1:7" x14ac:dyDescent="0.25">
      <c r="A232" s="1" t="s">
        <v>1578</v>
      </c>
      <c r="B232" s="1" t="s">
        <v>1593</v>
      </c>
      <c r="C232" s="1" t="s">
        <v>35</v>
      </c>
      <c r="D232">
        <v>-3.419035</v>
      </c>
      <c r="E232">
        <v>29.018315999999999</v>
      </c>
      <c r="F232" s="1" t="s">
        <v>1503</v>
      </c>
      <c r="G232" s="1" t="s">
        <v>1504</v>
      </c>
    </row>
    <row r="233" spans="1:7" x14ac:dyDescent="0.25">
      <c r="A233" s="1" t="s">
        <v>1578</v>
      </c>
      <c r="B233" s="1" t="s">
        <v>1594</v>
      </c>
      <c r="C233" s="1" t="s">
        <v>33</v>
      </c>
      <c r="D233">
        <v>0.91016799999999998</v>
      </c>
      <c r="E233">
        <v>16.903002999999998</v>
      </c>
      <c r="F233" s="1" t="s">
        <v>1508</v>
      </c>
      <c r="G233" s="1" t="s">
        <v>1516</v>
      </c>
    </row>
    <row r="234" spans="1:7" x14ac:dyDescent="0.25">
      <c r="A234" s="1" t="s">
        <v>1578</v>
      </c>
      <c r="B234" s="1" t="s">
        <v>1396</v>
      </c>
      <c r="C234" s="1" t="s">
        <v>73</v>
      </c>
      <c r="D234">
        <v>-0.919767</v>
      </c>
      <c r="E234">
        <v>18.905538</v>
      </c>
      <c r="F234" s="1" t="s">
        <v>1503</v>
      </c>
      <c r="G234" s="1" t="s">
        <v>1504</v>
      </c>
    </row>
    <row r="235" spans="1:7" x14ac:dyDescent="0.25">
      <c r="A235" s="1" t="s">
        <v>1578</v>
      </c>
      <c r="B235" s="1" t="s">
        <v>910</v>
      </c>
      <c r="C235" s="1" t="s">
        <v>35</v>
      </c>
      <c r="D235">
        <v>-8.0922239999999999</v>
      </c>
      <c r="E235">
        <v>15.483708</v>
      </c>
      <c r="F235" s="1" t="s">
        <v>1503</v>
      </c>
      <c r="G235" s="1" t="s">
        <v>1516</v>
      </c>
    </row>
    <row r="236" spans="1:7" x14ac:dyDescent="0.25">
      <c r="A236" s="1" t="s">
        <v>1578</v>
      </c>
      <c r="B236" s="1" t="s">
        <v>1046</v>
      </c>
      <c r="C236" s="1" t="s">
        <v>29</v>
      </c>
      <c r="D236">
        <v>-10.165072</v>
      </c>
      <c r="E236">
        <v>29.428024000000001</v>
      </c>
      <c r="F236" s="1" t="s">
        <v>1503</v>
      </c>
      <c r="G236" s="1" t="s">
        <v>1507</v>
      </c>
    </row>
    <row r="237" spans="1:7" x14ac:dyDescent="0.25">
      <c r="A237" s="1" t="s">
        <v>1578</v>
      </c>
      <c r="B237" s="1" t="s">
        <v>1242</v>
      </c>
      <c r="C237" s="1" t="s">
        <v>51</v>
      </c>
      <c r="D237">
        <v>-10.939712999999999</v>
      </c>
      <c r="E237">
        <v>18.276230999999999</v>
      </c>
      <c r="F237" s="1" t="s">
        <v>1506</v>
      </c>
      <c r="G237" s="1" t="s">
        <v>1509</v>
      </c>
    </row>
    <row r="238" spans="1:7" x14ac:dyDescent="0.25">
      <c r="A238" s="1" t="s">
        <v>1578</v>
      </c>
      <c r="B238" s="1" t="s">
        <v>847</v>
      </c>
      <c r="C238" s="1" t="s">
        <v>21</v>
      </c>
      <c r="D238">
        <v>4.2493650000000001</v>
      </c>
      <c r="E238">
        <v>28.355039999999999</v>
      </c>
      <c r="F238" s="1" t="s">
        <v>1508</v>
      </c>
      <c r="G238" s="1" t="s">
        <v>1509</v>
      </c>
    </row>
    <row r="239" spans="1:7" x14ac:dyDescent="0.25">
      <c r="A239" s="1" t="s">
        <v>1578</v>
      </c>
      <c r="B239" s="1" t="s">
        <v>1437</v>
      </c>
      <c r="C239" s="1" t="s">
        <v>24</v>
      </c>
      <c r="D239">
        <v>-2.926736</v>
      </c>
      <c r="E239">
        <v>18.170461</v>
      </c>
      <c r="F239" s="1" t="s">
        <v>1503</v>
      </c>
      <c r="G239" s="1" t="s">
        <v>1504</v>
      </c>
    </row>
    <row r="240" spans="1:7" x14ac:dyDescent="0.25">
      <c r="A240" s="1" t="s">
        <v>1578</v>
      </c>
      <c r="B240" s="1" t="s">
        <v>1256</v>
      </c>
      <c r="C240" s="1" t="s">
        <v>62</v>
      </c>
      <c r="D240">
        <v>-11.157245</v>
      </c>
      <c r="E240">
        <v>21.262627999999999</v>
      </c>
      <c r="F240" s="1" t="s">
        <v>1503</v>
      </c>
      <c r="G240" s="1" t="s">
        <v>1509</v>
      </c>
    </row>
    <row r="241" spans="1:7" x14ac:dyDescent="0.25">
      <c r="A241" s="1" t="s">
        <v>1578</v>
      </c>
      <c r="B241" s="1" t="s">
        <v>1595</v>
      </c>
      <c r="C241" s="1" t="s">
        <v>137</v>
      </c>
      <c r="D241">
        <v>-3.234483</v>
      </c>
      <c r="E241">
        <v>13.241939</v>
      </c>
      <c r="F241" s="1" t="s">
        <v>1506</v>
      </c>
      <c r="G241" s="1" t="s">
        <v>1509</v>
      </c>
    </row>
    <row r="242" spans="1:7" x14ac:dyDescent="0.25">
      <c r="A242" s="1" t="s">
        <v>1578</v>
      </c>
      <c r="B242" s="1" t="s">
        <v>954</v>
      </c>
      <c r="C242" s="1" t="s">
        <v>33</v>
      </c>
      <c r="D242">
        <v>-3.111418</v>
      </c>
      <c r="E242">
        <v>14.144854</v>
      </c>
      <c r="F242" s="1" t="s">
        <v>1506</v>
      </c>
      <c r="G242" s="1" t="s">
        <v>1509</v>
      </c>
    </row>
    <row r="243" spans="1:7" x14ac:dyDescent="0.25">
      <c r="A243" s="1" t="s">
        <v>1578</v>
      </c>
      <c r="B243" s="1" t="s">
        <v>1142</v>
      </c>
      <c r="C243" s="1" t="s">
        <v>40</v>
      </c>
      <c r="D243">
        <v>-8.1210620000000002</v>
      </c>
      <c r="E243">
        <v>21.094390000000001</v>
      </c>
      <c r="F243" s="1" t="s">
        <v>1503</v>
      </c>
      <c r="G243" s="1" t="s">
        <v>1509</v>
      </c>
    </row>
    <row r="244" spans="1:7" x14ac:dyDescent="0.25">
      <c r="A244" s="1" t="s">
        <v>1578</v>
      </c>
      <c r="B244" s="1" t="s">
        <v>1596</v>
      </c>
      <c r="C244" s="1" t="s">
        <v>73</v>
      </c>
      <c r="D244">
        <v>1.472051</v>
      </c>
      <c r="E244">
        <v>17.36289</v>
      </c>
      <c r="F244" s="1" t="s">
        <v>1506</v>
      </c>
      <c r="G244" s="1" t="s">
        <v>1507</v>
      </c>
    </row>
    <row r="245" spans="1:7" x14ac:dyDescent="0.25">
      <c r="A245" s="1" t="s">
        <v>1578</v>
      </c>
      <c r="B245" s="1" t="s">
        <v>1229</v>
      </c>
      <c r="C245" s="1" t="s">
        <v>64</v>
      </c>
      <c r="D245">
        <v>-2.6665070000000002</v>
      </c>
      <c r="E245">
        <v>18.623692999999999</v>
      </c>
      <c r="F245" s="1" t="s">
        <v>1508</v>
      </c>
      <c r="G245" s="1" t="s">
        <v>1509</v>
      </c>
    </row>
    <row r="246" spans="1:7" x14ac:dyDescent="0.25">
      <c r="A246" s="1" t="s">
        <v>1578</v>
      </c>
      <c r="B246" s="1" t="s">
        <v>1597</v>
      </c>
      <c r="C246" s="1" t="s">
        <v>24</v>
      </c>
      <c r="D246">
        <v>-9.9170499999999997</v>
      </c>
      <c r="E246">
        <v>22.918887000000002</v>
      </c>
      <c r="F246" s="1" t="s">
        <v>1506</v>
      </c>
      <c r="G246" s="1" t="s">
        <v>1507</v>
      </c>
    </row>
    <row r="247" spans="1:7" x14ac:dyDescent="0.25">
      <c r="A247" s="1" t="s">
        <v>1578</v>
      </c>
      <c r="B247" s="1" t="s">
        <v>1439</v>
      </c>
      <c r="C247" s="1" t="s">
        <v>26</v>
      </c>
      <c r="D247">
        <v>-7.3952039999999997</v>
      </c>
      <c r="E247">
        <v>21.651043999999999</v>
      </c>
      <c r="F247" s="1" t="s">
        <v>1506</v>
      </c>
      <c r="G247" s="1" t="s">
        <v>1507</v>
      </c>
    </row>
    <row r="248" spans="1:7" x14ac:dyDescent="0.25">
      <c r="A248" s="1" t="s">
        <v>1578</v>
      </c>
      <c r="B248" s="1" t="s">
        <v>961</v>
      </c>
      <c r="C248" s="1" t="s">
        <v>73</v>
      </c>
      <c r="D248">
        <v>3.0603760000000002</v>
      </c>
      <c r="E248">
        <v>19.708034000000001</v>
      </c>
      <c r="F248" s="1" t="s">
        <v>1508</v>
      </c>
      <c r="G248" s="1" t="s">
        <v>1509</v>
      </c>
    </row>
    <row r="249" spans="1:7" x14ac:dyDescent="0.25">
      <c r="A249" s="1" t="s">
        <v>1578</v>
      </c>
      <c r="B249" s="1" t="s">
        <v>1598</v>
      </c>
      <c r="C249" s="1" t="s">
        <v>44</v>
      </c>
      <c r="D249">
        <v>-3.269612</v>
      </c>
      <c r="E249">
        <v>25.571189</v>
      </c>
      <c r="F249" s="1" t="s">
        <v>1503</v>
      </c>
      <c r="G249" s="1" t="s">
        <v>1504</v>
      </c>
    </row>
    <row r="250" spans="1:7" x14ac:dyDescent="0.25">
      <c r="A250" s="1" t="s">
        <v>1578</v>
      </c>
      <c r="B250" s="1" t="s">
        <v>1599</v>
      </c>
      <c r="C250" s="1" t="s">
        <v>33</v>
      </c>
      <c r="D250">
        <v>-12.086929</v>
      </c>
      <c r="E250">
        <v>14.032645</v>
      </c>
      <c r="F250" s="1" t="s">
        <v>1508</v>
      </c>
      <c r="G250" s="1" t="s">
        <v>1509</v>
      </c>
    </row>
    <row r="251" spans="1:7" x14ac:dyDescent="0.25">
      <c r="A251" s="1" t="s">
        <v>1600</v>
      </c>
      <c r="B251" s="1" t="s">
        <v>872</v>
      </c>
      <c r="C251" s="1" t="s">
        <v>40</v>
      </c>
      <c r="D251">
        <v>-10.963041</v>
      </c>
      <c r="E251">
        <v>12.269857</v>
      </c>
      <c r="F251" s="1" t="s">
        <v>1506</v>
      </c>
      <c r="G251" s="1" t="s">
        <v>1507</v>
      </c>
    </row>
    <row r="252" spans="1:7" x14ac:dyDescent="0.25">
      <c r="A252" s="1" t="s">
        <v>1600</v>
      </c>
      <c r="B252" s="1" t="s">
        <v>1601</v>
      </c>
      <c r="C252" s="1" t="s">
        <v>16</v>
      </c>
      <c r="D252">
        <v>-4.332408</v>
      </c>
      <c r="E252">
        <v>14.119439</v>
      </c>
      <c r="F252" s="1" t="s">
        <v>1503</v>
      </c>
      <c r="G252" s="1" t="s">
        <v>1516</v>
      </c>
    </row>
    <row r="253" spans="1:7" x14ac:dyDescent="0.25">
      <c r="A253" s="1" t="s">
        <v>1600</v>
      </c>
      <c r="B253" s="1" t="s">
        <v>1320</v>
      </c>
      <c r="C253" s="1" t="s">
        <v>64</v>
      </c>
      <c r="D253">
        <v>-0.57104900000000003</v>
      </c>
      <c r="E253">
        <v>15.317663</v>
      </c>
      <c r="F253" s="1" t="s">
        <v>1503</v>
      </c>
      <c r="G253" s="1" t="s">
        <v>1516</v>
      </c>
    </row>
    <row r="254" spans="1:7" x14ac:dyDescent="0.25">
      <c r="A254" s="1" t="s">
        <v>1600</v>
      </c>
      <c r="B254" s="1" t="s">
        <v>987</v>
      </c>
      <c r="C254" s="1" t="s">
        <v>44</v>
      </c>
      <c r="D254">
        <v>-10.442425</v>
      </c>
      <c r="E254">
        <v>23.243632000000002</v>
      </c>
      <c r="F254" s="1" t="s">
        <v>1506</v>
      </c>
      <c r="G254" s="1" t="s">
        <v>1516</v>
      </c>
    </row>
    <row r="255" spans="1:7" x14ac:dyDescent="0.25">
      <c r="A255" s="1" t="s">
        <v>1600</v>
      </c>
      <c r="B255" s="1" t="s">
        <v>1108</v>
      </c>
      <c r="C255" s="1" t="s">
        <v>18</v>
      </c>
      <c r="D255">
        <v>0.16327700000000001</v>
      </c>
      <c r="E255">
        <v>14.871577</v>
      </c>
      <c r="F255" s="1" t="s">
        <v>1506</v>
      </c>
      <c r="G255" s="1" t="s">
        <v>1507</v>
      </c>
    </row>
    <row r="256" spans="1:7" x14ac:dyDescent="0.25">
      <c r="A256" s="1" t="s">
        <v>1600</v>
      </c>
      <c r="B256" s="1" t="s">
        <v>1602</v>
      </c>
      <c r="C256" s="1" t="s">
        <v>26</v>
      </c>
      <c r="D256">
        <v>4.7044240000000004</v>
      </c>
      <c r="E256">
        <v>20.486409999999999</v>
      </c>
      <c r="F256" s="1" t="s">
        <v>1506</v>
      </c>
      <c r="G256" s="1" t="s">
        <v>1509</v>
      </c>
    </row>
    <row r="257" spans="1:7" x14ac:dyDescent="0.25">
      <c r="A257" s="1" t="s">
        <v>1600</v>
      </c>
      <c r="B257" s="1" t="s">
        <v>1603</v>
      </c>
      <c r="C257" s="1" t="s">
        <v>13</v>
      </c>
      <c r="D257">
        <v>4.7060310000000003</v>
      </c>
      <c r="E257">
        <v>27.348973000000001</v>
      </c>
      <c r="F257" s="1" t="s">
        <v>1506</v>
      </c>
      <c r="G257" s="1" t="s">
        <v>1507</v>
      </c>
    </row>
    <row r="258" spans="1:7" x14ac:dyDescent="0.25">
      <c r="A258" s="1" t="s">
        <v>1600</v>
      </c>
      <c r="B258" s="1" t="s">
        <v>1604</v>
      </c>
      <c r="C258" s="1" t="s">
        <v>10</v>
      </c>
      <c r="D258">
        <v>1.019657</v>
      </c>
      <c r="E258">
        <v>16.963799000000002</v>
      </c>
      <c r="F258" s="1" t="s">
        <v>1508</v>
      </c>
      <c r="G258" s="1" t="s">
        <v>1516</v>
      </c>
    </row>
    <row r="259" spans="1:7" x14ac:dyDescent="0.25">
      <c r="A259" s="1" t="s">
        <v>1600</v>
      </c>
      <c r="B259" s="1" t="s">
        <v>1433</v>
      </c>
      <c r="C259" s="1" t="s">
        <v>44</v>
      </c>
      <c r="D259">
        <v>-4.6311460000000002</v>
      </c>
      <c r="E259">
        <v>25.314723000000001</v>
      </c>
      <c r="F259" s="1" t="s">
        <v>1506</v>
      </c>
      <c r="G259" s="1" t="s">
        <v>1507</v>
      </c>
    </row>
    <row r="260" spans="1:7" x14ac:dyDescent="0.25">
      <c r="A260" s="1" t="s">
        <v>1600</v>
      </c>
      <c r="B260" s="1" t="s">
        <v>1605</v>
      </c>
      <c r="C260" s="1" t="s">
        <v>40</v>
      </c>
      <c r="D260">
        <v>-11.591777</v>
      </c>
      <c r="E260">
        <v>21.213452</v>
      </c>
      <c r="F260" s="1" t="s">
        <v>1503</v>
      </c>
      <c r="G260" s="1" t="s">
        <v>1504</v>
      </c>
    </row>
    <row r="261" spans="1:7" x14ac:dyDescent="0.25">
      <c r="A261" s="1" t="s">
        <v>1600</v>
      </c>
      <c r="B261" s="1" t="s">
        <v>1606</v>
      </c>
      <c r="C261" s="1" t="s">
        <v>44</v>
      </c>
      <c r="D261">
        <v>3.0184790000000001</v>
      </c>
      <c r="E261">
        <v>27.188068000000001</v>
      </c>
      <c r="F261" s="1" t="s">
        <v>1503</v>
      </c>
      <c r="G261" s="1" t="s">
        <v>1504</v>
      </c>
    </row>
    <row r="262" spans="1:7" x14ac:dyDescent="0.25">
      <c r="A262" s="1" t="s">
        <v>1600</v>
      </c>
      <c r="B262" s="1" t="s">
        <v>1251</v>
      </c>
      <c r="C262" s="1" t="s">
        <v>16</v>
      </c>
      <c r="D262">
        <v>-11.407966</v>
      </c>
      <c r="E262">
        <v>28.378274000000001</v>
      </c>
      <c r="F262" s="1" t="s">
        <v>1506</v>
      </c>
      <c r="G262" s="1" t="s">
        <v>1509</v>
      </c>
    </row>
    <row r="263" spans="1:7" x14ac:dyDescent="0.25">
      <c r="A263" s="1" t="s">
        <v>1600</v>
      </c>
      <c r="B263" s="1" t="s">
        <v>1247</v>
      </c>
      <c r="C263" s="1" t="s">
        <v>24</v>
      </c>
      <c r="D263">
        <v>-4.4958720000000003</v>
      </c>
      <c r="E263">
        <v>18.514112000000001</v>
      </c>
      <c r="F263" s="1" t="s">
        <v>1506</v>
      </c>
      <c r="G263" s="1" t="s">
        <v>1516</v>
      </c>
    </row>
    <row r="264" spans="1:7" x14ac:dyDescent="0.25">
      <c r="A264" s="1" t="s">
        <v>1600</v>
      </c>
      <c r="B264" s="1" t="s">
        <v>1607</v>
      </c>
      <c r="C264" s="1" t="s">
        <v>10</v>
      </c>
      <c r="D264">
        <v>0.35034999999999999</v>
      </c>
      <c r="E264">
        <v>13.603628</v>
      </c>
      <c r="F264" s="1" t="s">
        <v>1503</v>
      </c>
      <c r="G264" s="1" t="s">
        <v>1509</v>
      </c>
    </row>
    <row r="265" spans="1:7" x14ac:dyDescent="0.25">
      <c r="A265" s="1" t="s">
        <v>1600</v>
      </c>
      <c r="B265" s="1" t="s">
        <v>1608</v>
      </c>
      <c r="C265" s="1" t="s">
        <v>127</v>
      </c>
      <c r="D265">
        <v>4.2873989999999997</v>
      </c>
      <c r="E265">
        <v>14.756335</v>
      </c>
      <c r="F265" s="1" t="s">
        <v>1503</v>
      </c>
      <c r="G265" s="1" t="s">
        <v>1504</v>
      </c>
    </row>
    <row r="266" spans="1:7" x14ac:dyDescent="0.25">
      <c r="A266" s="1" t="s">
        <v>1600</v>
      </c>
      <c r="B266" s="1" t="s">
        <v>1101</v>
      </c>
      <c r="C266" s="1" t="s">
        <v>24</v>
      </c>
      <c r="D266">
        <v>-11.594525000000001</v>
      </c>
      <c r="E266">
        <v>29.744895</v>
      </c>
      <c r="F266" s="1" t="s">
        <v>1508</v>
      </c>
      <c r="G266" s="1" t="s">
        <v>1509</v>
      </c>
    </row>
    <row r="267" spans="1:7" x14ac:dyDescent="0.25">
      <c r="A267" s="1" t="s">
        <v>1600</v>
      </c>
      <c r="B267" s="1" t="s">
        <v>1069</v>
      </c>
      <c r="C267" s="1" t="s">
        <v>37</v>
      </c>
      <c r="D267">
        <v>-1.5936220000000001</v>
      </c>
      <c r="E267">
        <v>14.928856</v>
      </c>
      <c r="F267" s="1" t="s">
        <v>1503</v>
      </c>
      <c r="G267" s="1" t="s">
        <v>1504</v>
      </c>
    </row>
    <row r="268" spans="1:7" x14ac:dyDescent="0.25">
      <c r="A268" s="1" t="s">
        <v>1600</v>
      </c>
      <c r="B268" s="1" t="s">
        <v>1609</v>
      </c>
      <c r="C268" s="1" t="s">
        <v>31</v>
      </c>
      <c r="D268">
        <v>1.3657680000000001</v>
      </c>
      <c r="E268">
        <v>21.423017000000002</v>
      </c>
      <c r="F268" s="1" t="s">
        <v>1503</v>
      </c>
      <c r="G268" s="1" t="s">
        <v>1504</v>
      </c>
    </row>
    <row r="269" spans="1:7" x14ac:dyDescent="0.25">
      <c r="A269" s="1" t="s">
        <v>1600</v>
      </c>
      <c r="B269" s="1" t="s">
        <v>1610</v>
      </c>
      <c r="C269" s="1" t="s">
        <v>10</v>
      </c>
      <c r="D269">
        <v>-7.3750049999999998</v>
      </c>
      <c r="E269">
        <v>30.878126000000002</v>
      </c>
      <c r="F269" s="1" t="s">
        <v>1503</v>
      </c>
      <c r="G269" s="1" t="s">
        <v>1507</v>
      </c>
    </row>
    <row r="270" spans="1:7" x14ac:dyDescent="0.25">
      <c r="A270" s="1" t="s">
        <v>1600</v>
      </c>
      <c r="B270" s="1" t="s">
        <v>1266</v>
      </c>
      <c r="C270" s="1" t="s">
        <v>31</v>
      </c>
      <c r="D270">
        <v>-12.050063</v>
      </c>
      <c r="E270">
        <v>26.636987999999999</v>
      </c>
      <c r="F270" s="1" t="s">
        <v>1508</v>
      </c>
      <c r="G270" s="1" t="s">
        <v>1516</v>
      </c>
    </row>
    <row r="271" spans="1:7" x14ac:dyDescent="0.25">
      <c r="A271" s="1" t="s">
        <v>1600</v>
      </c>
      <c r="B271" s="1" t="s">
        <v>1611</v>
      </c>
      <c r="C271" s="1" t="s">
        <v>29</v>
      </c>
      <c r="D271">
        <v>-6.8161690000000004</v>
      </c>
      <c r="E271">
        <v>16.521000999999998</v>
      </c>
      <c r="F271" s="1" t="s">
        <v>1503</v>
      </c>
      <c r="G271" s="1" t="s">
        <v>1504</v>
      </c>
    </row>
    <row r="272" spans="1:7" x14ac:dyDescent="0.25">
      <c r="A272" s="1" t="s">
        <v>1600</v>
      </c>
      <c r="B272" s="1" t="s">
        <v>1488</v>
      </c>
      <c r="C272" s="1" t="s">
        <v>127</v>
      </c>
      <c r="D272">
        <v>1.0134879999999999</v>
      </c>
      <c r="E272">
        <v>20.363515</v>
      </c>
      <c r="F272" s="1" t="s">
        <v>1506</v>
      </c>
      <c r="G272" s="1" t="s">
        <v>1516</v>
      </c>
    </row>
    <row r="273" spans="1:7" x14ac:dyDescent="0.25">
      <c r="A273" s="1" t="s">
        <v>1600</v>
      </c>
      <c r="B273" s="1" t="s">
        <v>974</v>
      </c>
      <c r="C273" s="1" t="s">
        <v>73</v>
      </c>
      <c r="D273">
        <v>-4.5603610000000003</v>
      </c>
      <c r="E273">
        <v>24.113918999999999</v>
      </c>
      <c r="F273" s="1" t="s">
        <v>1503</v>
      </c>
      <c r="G273" s="1" t="s">
        <v>1509</v>
      </c>
    </row>
    <row r="274" spans="1:7" x14ac:dyDescent="0.25">
      <c r="A274" s="1" t="s">
        <v>1600</v>
      </c>
      <c r="B274" s="1" t="s">
        <v>1081</v>
      </c>
      <c r="C274" s="1" t="s">
        <v>10</v>
      </c>
      <c r="D274">
        <v>-3.7720639999999999</v>
      </c>
      <c r="E274">
        <v>16.006277999999998</v>
      </c>
      <c r="F274" s="1" t="s">
        <v>1503</v>
      </c>
      <c r="G274" s="1" t="s">
        <v>1509</v>
      </c>
    </row>
    <row r="275" spans="1:7" x14ac:dyDescent="0.25">
      <c r="A275" s="1" t="s">
        <v>1600</v>
      </c>
      <c r="B275" s="1" t="s">
        <v>1612</v>
      </c>
      <c r="C275" s="1" t="s">
        <v>60</v>
      </c>
      <c r="D275">
        <v>-4.5538169999999996</v>
      </c>
      <c r="E275">
        <v>25.952860999999999</v>
      </c>
      <c r="F275" s="1" t="s">
        <v>1508</v>
      </c>
      <c r="G275" s="1" t="s">
        <v>1504</v>
      </c>
    </row>
    <row r="276" spans="1:7" x14ac:dyDescent="0.25">
      <c r="A276" s="1" t="s">
        <v>1600</v>
      </c>
      <c r="B276" s="1" t="s">
        <v>1206</v>
      </c>
      <c r="C276" s="1" t="s">
        <v>127</v>
      </c>
      <c r="D276">
        <v>0.20866199999999999</v>
      </c>
      <c r="E276">
        <v>18.556439000000001</v>
      </c>
      <c r="F276" s="1" t="s">
        <v>1506</v>
      </c>
      <c r="G276" s="1" t="s">
        <v>1516</v>
      </c>
    </row>
    <row r="277" spans="1:7" x14ac:dyDescent="0.25">
      <c r="A277" s="1" t="s">
        <v>1600</v>
      </c>
      <c r="B277" s="1" t="s">
        <v>1197</v>
      </c>
      <c r="C277" s="1" t="s">
        <v>131</v>
      </c>
      <c r="D277">
        <v>-5.42171</v>
      </c>
      <c r="E277">
        <v>24.202960999999998</v>
      </c>
      <c r="F277" s="1" t="s">
        <v>1503</v>
      </c>
      <c r="G277" s="1" t="s">
        <v>1504</v>
      </c>
    </row>
    <row r="278" spans="1:7" x14ac:dyDescent="0.25">
      <c r="A278" s="1" t="s">
        <v>1600</v>
      </c>
      <c r="B278" s="1" t="s">
        <v>1134</v>
      </c>
      <c r="C278" s="1" t="s">
        <v>21</v>
      </c>
      <c r="D278">
        <v>4.2904629999999999</v>
      </c>
      <c r="E278">
        <v>26.354195000000001</v>
      </c>
      <c r="F278" s="1" t="s">
        <v>1508</v>
      </c>
      <c r="G278" s="1" t="s">
        <v>1504</v>
      </c>
    </row>
    <row r="279" spans="1:7" x14ac:dyDescent="0.25">
      <c r="A279" s="1" t="s">
        <v>1600</v>
      </c>
      <c r="B279" s="1" t="s">
        <v>1613</v>
      </c>
      <c r="C279" s="1" t="s">
        <v>57</v>
      </c>
      <c r="D279">
        <v>1.368018</v>
      </c>
      <c r="E279">
        <v>14.203893000000001</v>
      </c>
      <c r="F279" s="1" t="s">
        <v>1503</v>
      </c>
      <c r="G279" s="1" t="s">
        <v>1507</v>
      </c>
    </row>
    <row r="280" spans="1:7" x14ac:dyDescent="0.25">
      <c r="A280" s="1" t="s">
        <v>1600</v>
      </c>
      <c r="B280" s="1" t="s">
        <v>1614</v>
      </c>
      <c r="C280" s="1" t="s">
        <v>29</v>
      </c>
      <c r="D280">
        <v>-7.7942479999999996</v>
      </c>
      <c r="E280">
        <v>15.184407999999999</v>
      </c>
      <c r="F280" s="1" t="s">
        <v>1508</v>
      </c>
      <c r="G280" s="1" t="s">
        <v>1509</v>
      </c>
    </row>
    <row r="281" spans="1:7" x14ac:dyDescent="0.25">
      <c r="A281" s="1" t="s">
        <v>1600</v>
      </c>
      <c r="B281" s="1" t="s">
        <v>1284</v>
      </c>
      <c r="C281" s="1" t="s">
        <v>10</v>
      </c>
      <c r="D281">
        <v>-12.364127999999999</v>
      </c>
      <c r="E281">
        <v>19.576150999999999</v>
      </c>
      <c r="F281" s="1" t="s">
        <v>1508</v>
      </c>
      <c r="G281" s="1" t="s">
        <v>1516</v>
      </c>
    </row>
    <row r="282" spans="1:7" x14ac:dyDescent="0.25">
      <c r="A282" s="1" t="s">
        <v>1600</v>
      </c>
      <c r="B282" s="1" t="s">
        <v>1292</v>
      </c>
      <c r="C282" s="1" t="s">
        <v>31</v>
      </c>
      <c r="D282">
        <v>3.611561</v>
      </c>
      <c r="E282">
        <v>17.725974999999998</v>
      </c>
      <c r="F282" s="1" t="s">
        <v>1508</v>
      </c>
      <c r="G282" s="1" t="s">
        <v>1509</v>
      </c>
    </row>
    <row r="283" spans="1:7" x14ac:dyDescent="0.25">
      <c r="A283" s="1" t="s">
        <v>1600</v>
      </c>
      <c r="B283" s="1" t="s">
        <v>1049</v>
      </c>
      <c r="C283" s="1" t="s">
        <v>64</v>
      </c>
      <c r="D283">
        <v>0.48965500000000001</v>
      </c>
      <c r="E283">
        <v>26.176860000000001</v>
      </c>
      <c r="F283" s="1" t="s">
        <v>1506</v>
      </c>
      <c r="G283" s="1" t="s">
        <v>1507</v>
      </c>
    </row>
    <row r="284" spans="1:7" x14ac:dyDescent="0.25">
      <c r="A284" s="1" t="s">
        <v>1600</v>
      </c>
      <c r="B284" s="1" t="s">
        <v>1235</v>
      </c>
      <c r="C284" s="1" t="s">
        <v>89</v>
      </c>
      <c r="D284">
        <v>8.5490999999999998E-2</v>
      </c>
      <c r="E284">
        <v>26.296129000000001</v>
      </c>
      <c r="F284" s="1" t="s">
        <v>1508</v>
      </c>
      <c r="G284" s="1" t="s">
        <v>1509</v>
      </c>
    </row>
    <row r="285" spans="1:7" x14ac:dyDescent="0.25">
      <c r="A285" s="1" t="s">
        <v>1600</v>
      </c>
      <c r="B285" s="1" t="s">
        <v>1201</v>
      </c>
      <c r="C285" s="1" t="s">
        <v>26</v>
      </c>
      <c r="D285">
        <v>-2.8532869999999999</v>
      </c>
      <c r="E285">
        <v>22.117896000000002</v>
      </c>
      <c r="F285" s="1" t="s">
        <v>1503</v>
      </c>
      <c r="G285" s="1" t="s">
        <v>1507</v>
      </c>
    </row>
    <row r="286" spans="1:7" x14ac:dyDescent="0.25">
      <c r="A286" s="1" t="s">
        <v>1600</v>
      </c>
      <c r="B286" s="1" t="s">
        <v>1411</v>
      </c>
      <c r="C286" s="1" t="s">
        <v>18</v>
      </c>
      <c r="D286">
        <v>-11.89448</v>
      </c>
      <c r="E286">
        <v>19.216214999999998</v>
      </c>
      <c r="F286" s="1" t="s">
        <v>1508</v>
      </c>
      <c r="G286" s="1" t="s">
        <v>1509</v>
      </c>
    </row>
    <row r="287" spans="1:7" x14ac:dyDescent="0.25">
      <c r="A287" s="1" t="s">
        <v>1600</v>
      </c>
      <c r="B287" s="1" t="s">
        <v>1178</v>
      </c>
      <c r="C287" s="1" t="s">
        <v>57</v>
      </c>
      <c r="D287">
        <v>-4.4831099999999999</v>
      </c>
      <c r="E287">
        <v>25.406548000000001</v>
      </c>
      <c r="F287" s="1" t="s">
        <v>1503</v>
      </c>
      <c r="G287" s="1" t="s">
        <v>1516</v>
      </c>
    </row>
    <row r="288" spans="1:7" x14ac:dyDescent="0.25">
      <c r="A288" s="1" t="s">
        <v>1600</v>
      </c>
      <c r="B288" s="1" t="s">
        <v>1151</v>
      </c>
      <c r="C288" s="1" t="s">
        <v>37</v>
      </c>
      <c r="D288">
        <v>-9.9565739999999998</v>
      </c>
      <c r="E288">
        <v>21.017202000000001</v>
      </c>
      <c r="F288" s="1" t="s">
        <v>1506</v>
      </c>
      <c r="G288" s="1" t="s">
        <v>1507</v>
      </c>
    </row>
    <row r="289" spans="1:7" x14ac:dyDescent="0.25">
      <c r="A289" s="1" t="s">
        <v>1600</v>
      </c>
      <c r="B289" s="1" t="s">
        <v>1405</v>
      </c>
      <c r="C289" s="1" t="s">
        <v>73</v>
      </c>
      <c r="D289">
        <v>-12.070842000000001</v>
      </c>
      <c r="E289">
        <v>14.757847</v>
      </c>
      <c r="F289" s="1" t="s">
        <v>1506</v>
      </c>
      <c r="G289" s="1" t="s">
        <v>1509</v>
      </c>
    </row>
    <row r="290" spans="1:7" x14ac:dyDescent="0.25">
      <c r="A290" s="1" t="s">
        <v>1600</v>
      </c>
      <c r="B290" s="1" t="s">
        <v>1347</v>
      </c>
      <c r="C290" s="1" t="s">
        <v>67</v>
      </c>
      <c r="D290">
        <v>4.8265669999999998</v>
      </c>
      <c r="E290">
        <v>28.535277000000001</v>
      </c>
      <c r="F290" s="1" t="s">
        <v>1508</v>
      </c>
      <c r="G290" s="1" t="s">
        <v>1507</v>
      </c>
    </row>
    <row r="291" spans="1:7" x14ac:dyDescent="0.25">
      <c r="A291" s="1" t="s">
        <v>1600</v>
      </c>
      <c r="B291" s="1" t="s">
        <v>1615</v>
      </c>
      <c r="C291" s="1" t="s">
        <v>10</v>
      </c>
      <c r="D291">
        <v>1.5601240000000001</v>
      </c>
      <c r="E291">
        <v>12.225398</v>
      </c>
      <c r="F291" s="1" t="s">
        <v>1503</v>
      </c>
      <c r="G291" s="1" t="s">
        <v>1516</v>
      </c>
    </row>
    <row r="292" spans="1:7" x14ac:dyDescent="0.25">
      <c r="A292" s="1" t="s">
        <v>1600</v>
      </c>
      <c r="B292" s="1" t="s">
        <v>1616</v>
      </c>
      <c r="C292" s="1" t="s">
        <v>60</v>
      </c>
      <c r="D292">
        <v>-1.762294</v>
      </c>
      <c r="E292">
        <v>29.617228000000001</v>
      </c>
      <c r="F292" s="1" t="s">
        <v>1506</v>
      </c>
      <c r="G292" s="1" t="s">
        <v>1509</v>
      </c>
    </row>
    <row r="293" spans="1:7" x14ac:dyDescent="0.25">
      <c r="A293" s="1" t="s">
        <v>1600</v>
      </c>
      <c r="B293" s="1" t="s">
        <v>1452</v>
      </c>
      <c r="C293" s="1" t="s">
        <v>89</v>
      </c>
      <c r="D293">
        <v>-7.8373179999999998</v>
      </c>
      <c r="E293">
        <v>20.527591999999999</v>
      </c>
      <c r="F293" s="1" t="s">
        <v>1506</v>
      </c>
      <c r="G293" s="1" t="s">
        <v>1504</v>
      </c>
    </row>
    <row r="294" spans="1:7" x14ac:dyDescent="0.25">
      <c r="A294" s="1" t="s">
        <v>1600</v>
      </c>
      <c r="B294" s="1" t="s">
        <v>1324</v>
      </c>
      <c r="C294" s="1" t="s">
        <v>21</v>
      </c>
      <c r="D294">
        <v>-11.514817000000001</v>
      </c>
      <c r="E294">
        <v>24.891375</v>
      </c>
      <c r="F294" s="1" t="s">
        <v>1508</v>
      </c>
      <c r="G294" s="1" t="s">
        <v>1516</v>
      </c>
    </row>
    <row r="295" spans="1:7" x14ac:dyDescent="0.25">
      <c r="A295" s="1" t="s">
        <v>1600</v>
      </c>
      <c r="B295" s="1" t="s">
        <v>1617</v>
      </c>
      <c r="C295" s="1" t="s">
        <v>62</v>
      </c>
      <c r="D295">
        <v>-3.89927</v>
      </c>
      <c r="E295">
        <v>30.273492000000001</v>
      </c>
      <c r="F295" s="1" t="s">
        <v>1508</v>
      </c>
      <c r="G295" s="1" t="s">
        <v>1516</v>
      </c>
    </row>
    <row r="296" spans="1:7" x14ac:dyDescent="0.25">
      <c r="A296" s="1" t="s">
        <v>1600</v>
      </c>
      <c r="B296" s="1" t="s">
        <v>1618</v>
      </c>
      <c r="C296" s="1" t="s">
        <v>62</v>
      </c>
      <c r="D296">
        <v>2.3260149999999999</v>
      </c>
      <c r="E296">
        <v>24.97465</v>
      </c>
      <c r="F296" s="1" t="s">
        <v>1508</v>
      </c>
      <c r="G296" s="1" t="s">
        <v>1516</v>
      </c>
    </row>
    <row r="297" spans="1:7" x14ac:dyDescent="0.25">
      <c r="A297" s="1" t="s">
        <v>1600</v>
      </c>
      <c r="B297" s="1" t="s">
        <v>941</v>
      </c>
      <c r="C297" s="1" t="s">
        <v>89</v>
      </c>
      <c r="D297">
        <v>-7.9987219999999999</v>
      </c>
      <c r="E297">
        <v>12.779335</v>
      </c>
      <c r="F297" s="1" t="s">
        <v>1503</v>
      </c>
      <c r="G297" s="1" t="s">
        <v>1516</v>
      </c>
    </row>
    <row r="298" spans="1:7" x14ac:dyDescent="0.25">
      <c r="A298" s="1" t="s">
        <v>1600</v>
      </c>
      <c r="B298" s="1" t="s">
        <v>1619</v>
      </c>
      <c r="C298" s="1" t="s">
        <v>26</v>
      </c>
      <c r="D298">
        <v>-10.614302</v>
      </c>
      <c r="E298">
        <v>29.436530999999999</v>
      </c>
      <c r="F298" s="1" t="s">
        <v>1508</v>
      </c>
      <c r="G298" s="1" t="s">
        <v>1504</v>
      </c>
    </row>
    <row r="299" spans="1:7" x14ac:dyDescent="0.25">
      <c r="A299" s="1" t="s">
        <v>1600</v>
      </c>
      <c r="B299" s="1" t="s">
        <v>1255</v>
      </c>
      <c r="C299" s="1" t="s">
        <v>37</v>
      </c>
      <c r="D299">
        <v>-7.9425049999999997</v>
      </c>
      <c r="E299">
        <v>24.111059000000001</v>
      </c>
      <c r="F299" s="1" t="s">
        <v>1508</v>
      </c>
      <c r="G299" s="1" t="s">
        <v>1509</v>
      </c>
    </row>
    <row r="300" spans="1:7" x14ac:dyDescent="0.25">
      <c r="A300" s="1" t="s">
        <v>1600</v>
      </c>
      <c r="B300" s="1" t="s">
        <v>1234</v>
      </c>
      <c r="C300" s="1" t="s">
        <v>21</v>
      </c>
      <c r="D300">
        <v>2.4414509999999998</v>
      </c>
      <c r="E300">
        <v>30.167489</v>
      </c>
      <c r="F300" s="1" t="s">
        <v>1503</v>
      </c>
      <c r="G300" s="1" t="s">
        <v>1516</v>
      </c>
    </row>
    <row r="301" spans="1:7" x14ac:dyDescent="0.25">
      <c r="A301" s="1" t="s">
        <v>1620</v>
      </c>
      <c r="B301" s="1" t="s">
        <v>911</v>
      </c>
      <c r="C301" s="1" t="s">
        <v>64</v>
      </c>
      <c r="D301">
        <v>-1.339734</v>
      </c>
      <c r="E301">
        <v>15.243098</v>
      </c>
      <c r="F301" s="1" t="s">
        <v>1508</v>
      </c>
      <c r="G301" s="1" t="s">
        <v>1516</v>
      </c>
    </row>
    <row r="302" spans="1:7" x14ac:dyDescent="0.25">
      <c r="A302" s="1" t="s">
        <v>1620</v>
      </c>
      <c r="B302" s="1" t="s">
        <v>1211</v>
      </c>
      <c r="C302" s="1" t="s">
        <v>62</v>
      </c>
      <c r="D302">
        <v>-9.8208710000000004</v>
      </c>
      <c r="E302">
        <v>23.229807000000001</v>
      </c>
      <c r="F302" s="1" t="s">
        <v>1503</v>
      </c>
      <c r="G302" s="1" t="s">
        <v>1516</v>
      </c>
    </row>
    <row r="303" spans="1:7" x14ac:dyDescent="0.25">
      <c r="A303" s="1" t="s">
        <v>1620</v>
      </c>
      <c r="B303" s="1" t="s">
        <v>1067</v>
      </c>
      <c r="C303" s="1" t="s">
        <v>13</v>
      </c>
      <c r="D303">
        <v>-12.292039000000001</v>
      </c>
      <c r="E303">
        <v>27.538202999999999</v>
      </c>
      <c r="F303" s="1" t="s">
        <v>1508</v>
      </c>
      <c r="G303" s="1" t="s">
        <v>1507</v>
      </c>
    </row>
    <row r="304" spans="1:7" x14ac:dyDescent="0.25">
      <c r="A304" s="1" t="s">
        <v>1620</v>
      </c>
      <c r="B304" s="1" t="s">
        <v>1621</v>
      </c>
      <c r="C304" s="1" t="s">
        <v>131</v>
      </c>
      <c r="D304">
        <v>-6.0850540000000004</v>
      </c>
      <c r="E304">
        <v>14.020293000000001</v>
      </c>
      <c r="F304" s="1" t="s">
        <v>1503</v>
      </c>
      <c r="G304" s="1" t="s">
        <v>1507</v>
      </c>
    </row>
    <row r="305" spans="1:7" x14ac:dyDescent="0.25">
      <c r="A305" s="1" t="s">
        <v>1620</v>
      </c>
      <c r="B305" s="1" t="s">
        <v>1364</v>
      </c>
      <c r="C305" s="1" t="s">
        <v>67</v>
      </c>
      <c r="D305">
        <v>-9.5619429999999994</v>
      </c>
      <c r="E305">
        <v>21.445726000000001</v>
      </c>
      <c r="F305" s="1" t="s">
        <v>1506</v>
      </c>
      <c r="G305" s="1" t="s">
        <v>1516</v>
      </c>
    </row>
    <row r="306" spans="1:7" x14ac:dyDescent="0.25">
      <c r="A306" s="1" t="s">
        <v>1620</v>
      </c>
      <c r="B306" s="1" t="s">
        <v>1248</v>
      </c>
      <c r="C306" s="1" t="s">
        <v>44</v>
      </c>
      <c r="D306">
        <v>-0.47411900000000001</v>
      </c>
      <c r="E306">
        <v>27.184329000000002</v>
      </c>
      <c r="F306" s="1" t="s">
        <v>1503</v>
      </c>
      <c r="G306" s="1" t="s">
        <v>1509</v>
      </c>
    </row>
    <row r="307" spans="1:7" x14ac:dyDescent="0.25">
      <c r="A307" s="1" t="s">
        <v>1620</v>
      </c>
      <c r="B307" s="1" t="s">
        <v>866</v>
      </c>
      <c r="C307" s="1" t="s">
        <v>37</v>
      </c>
      <c r="D307">
        <v>3.1362930000000002</v>
      </c>
      <c r="E307">
        <v>16.190878000000001</v>
      </c>
      <c r="F307" s="1" t="s">
        <v>1508</v>
      </c>
      <c r="G307" s="1" t="s">
        <v>1516</v>
      </c>
    </row>
    <row r="308" spans="1:7" x14ac:dyDescent="0.25">
      <c r="A308" s="1" t="s">
        <v>1620</v>
      </c>
      <c r="B308" s="1" t="s">
        <v>1265</v>
      </c>
      <c r="C308" s="1" t="s">
        <v>78</v>
      </c>
      <c r="D308">
        <v>-1.6488929999999999</v>
      </c>
      <c r="E308">
        <v>27.284617000000001</v>
      </c>
      <c r="F308" s="1" t="s">
        <v>1503</v>
      </c>
      <c r="G308" s="1" t="s">
        <v>1516</v>
      </c>
    </row>
    <row r="309" spans="1:7" x14ac:dyDescent="0.25">
      <c r="A309" s="1" t="s">
        <v>1620</v>
      </c>
      <c r="B309" s="1" t="s">
        <v>1218</v>
      </c>
      <c r="C309" s="1" t="s">
        <v>131</v>
      </c>
      <c r="D309">
        <v>-6.5332999999999997</v>
      </c>
      <c r="E309">
        <v>20.098018</v>
      </c>
      <c r="F309" s="1" t="s">
        <v>1506</v>
      </c>
      <c r="G309" s="1" t="s">
        <v>1507</v>
      </c>
    </row>
    <row r="310" spans="1:7" x14ac:dyDescent="0.25">
      <c r="A310" s="1" t="s">
        <v>1620</v>
      </c>
      <c r="B310" s="1" t="s">
        <v>1622</v>
      </c>
      <c r="C310" s="1" t="s">
        <v>89</v>
      </c>
      <c r="D310">
        <v>-11.472474999999999</v>
      </c>
      <c r="E310">
        <v>27.418900000000001</v>
      </c>
      <c r="F310" s="1" t="s">
        <v>1506</v>
      </c>
      <c r="G310" s="1" t="s">
        <v>1509</v>
      </c>
    </row>
    <row r="311" spans="1:7" x14ac:dyDescent="0.25">
      <c r="A311" s="1" t="s">
        <v>1620</v>
      </c>
      <c r="B311" s="1" t="s">
        <v>942</v>
      </c>
      <c r="C311" s="1" t="s">
        <v>64</v>
      </c>
      <c r="D311">
        <v>-1.6097570000000001</v>
      </c>
      <c r="E311">
        <v>30.661662</v>
      </c>
      <c r="F311" s="1" t="s">
        <v>1506</v>
      </c>
      <c r="G311" s="1" t="s">
        <v>1504</v>
      </c>
    </row>
    <row r="312" spans="1:7" x14ac:dyDescent="0.25">
      <c r="A312" s="1" t="s">
        <v>1620</v>
      </c>
      <c r="B312" s="1" t="s">
        <v>835</v>
      </c>
      <c r="C312" s="1" t="s">
        <v>73</v>
      </c>
      <c r="D312">
        <v>0.23583499999999999</v>
      </c>
      <c r="E312">
        <v>24.889558999999998</v>
      </c>
      <c r="F312" s="1" t="s">
        <v>1508</v>
      </c>
      <c r="G312" s="1" t="s">
        <v>1509</v>
      </c>
    </row>
    <row r="313" spans="1:7" x14ac:dyDescent="0.25">
      <c r="A313" s="1" t="s">
        <v>1620</v>
      </c>
      <c r="B313" s="1" t="s">
        <v>1001</v>
      </c>
      <c r="C313" s="1" t="s">
        <v>37</v>
      </c>
      <c r="D313">
        <v>-10.481026999999999</v>
      </c>
      <c r="E313">
        <v>18.160464000000001</v>
      </c>
      <c r="F313" s="1" t="s">
        <v>1503</v>
      </c>
      <c r="G313" s="1" t="s">
        <v>1507</v>
      </c>
    </row>
    <row r="314" spans="1:7" x14ac:dyDescent="0.25">
      <c r="A314" s="1" t="s">
        <v>1620</v>
      </c>
      <c r="B314" s="1" t="s">
        <v>992</v>
      </c>
      <c r="C314" s="1" t="s">
        <v>137</v>
      </c>
      <c r="D314">
        <v>-9.5243310000000001</v>
      </c>
      <c r="E314">
        <v>30.541212000000002</v>
      </c>
      <c r="F314" s="1" t="s">
        <v>1508</v>
      </c>
      <c r="G314" s="1" t="s">
        <v>1504</v>
      </c>
    </row>
    <row r="315" spans="1:7" x14ac:dyDescent="0.25">
      <c r="A315" s="1" t="s">
        <v>1620</v>
      </c>
      <c r="B315" s="1" t="s">
        <v>893</v>
      </c>
      <c r="C315" s="1" t="s">
        <v>26</v>
      </c>
      <c r="D315">
        <v>-4.4697000000000001E-2</v>
      </c>
      <c r="E315">
        <v>22.943373000000001</v>
      </c>
      <c r="F315" s="1" t="s">
        <v>1508</v>
      </c>
      <c r="G315" s="1" t="s">
        <v>1507</v>
      </c>
    </row>
    <row r="316" spans="1:7" x14ac:dyDescent="0.25">
      <c r="A316" s="1" t="s">
        <v>1620</v>
      </c>
      <c r="B316" s="1" t="s">
        <v>1442</v>
      </c>
      <c r="C316" s="1" t="s">
        <v>26</v>
      </c>
      <c r="D316">
        <v>-2.3269820000000001</v>
      </c>
      <c r="E316">
        <v>14.609259</v>
      </c>
      <c r="F316" s="1" t="s">
        <v>1508</v>
      </c>
      <c r="G316" s="1" t="s">
        <v>1516</v>
      </c>
    </row>
    <row r="317" spans="1:7" x14ac:dyDescent="0.25">
      <c r="A317" s="1" t="s">
        <v>1620</v>
      </c>
      <c r="B317" s="1" t="s">
        <v>1623</v>
      </c>
      <c r="C317" s="1" t="s">
        <v>10</v>
      </c>
      <c r="D317">
        <v>-4.1938139999999997</v>
      </c>
      <c r="E317">
        <v>27.892115</v>
      </c>
      <c r="F317" s="1" t="s">
        <v>1503</v>
      </c>
      <c r="G317" s="1" t="s">
        <v>1504</v>
      </c>
    </row>
    <row r="318" spans="1:7" x14ac:dyDescent="0.25">
      <c r="A318" s="1" t="s">
        <v>1620</v>
      </c>
      <c r="B318" s="1" t="s">
        <v>853</v>
      </c>
      <c r="C318" s="1" t="s">
        <v>131</v>
      </c>
      <c r="D318">
        <v>-11.866133</v>
      </c>
      <c r="E318">
        <v>27.068932</v>
      </c>
      <c r="F318" s="1" t="s">
        <v>1508</v>
      </c>
      <c r="G318" s="1" t="s">
        <v>1507</v>
      </c>
    </row>
    <row r="319" spans="1:7" x14ac:dyDescent="0.25">
      <c r="A319" s="1" t="s">
        <v>1620</v>
      </c>
      <c r="B319" s="1" t="s">
        <v>1624</v>
      </c>
      <c r="C319" s="1" t="s">
        <v>18</v>
      </c>
      <c r="D319">
        <v>-3.2700629999999999</v>
      </c>
      <c r="E319">
        <v>26.520330000000001</v>
      </c>
      <c r="F319" s="1" t="s">
        <v>1503</v>
      </c>
      <c r="G319" s="1" t="s">
        <v>1516</v>
      </c>
    </row>
    <row r="320" spans="1:7" x14ac:dyDescent="0.25">
      <c r="A320" s="1" t="s">
        <v>1620</v>
      </c>
      <c r="B320" s="1" t="s">
        <v>900</v>
      </c>
      <c r="C320" s="1" t="s">
        <v>137</v>
      </c>
      <c r="D320">
        <v>-7.4608439999999998</v>
      </c>
      <c r="E320">
        <v>23.268619999999999</v>
      </c>
      <c r="F320" s="1" t="s">
        <v>1506</v>
      </c>
      <c r="G320" s="1" t="s">
        <v>1507</v>
      </c>
    </row>
    <row r="321" spans="1:7" x14ac:dyDescent="0.25">
      <c r="A321" s="1" t="s">
        <v>1620</v>
      </c>
      <c r="B321" s="1" t="s">
        <v>952</v>
      </c>
      <c r="C321" s="1" t="s">
        <v>24</v>
      </c>
      <c r="D321">
        <v>-3.3890790000000002</v>
      </c>
      <c r="E321">
        <v>18.374571</v>
      </c>
      <c r="F321" s="1" t="s">
        <v>1503</v>
      </c>
      <c r="G321" s="1" t="s">
        <v>1509</v>
      </c>
    </row>
    <row r="322" spans="1:7" x14ac:dyDescent="0.25">
      <c r="A322" s="1" t="s">
        <v>1620</v>
      </c>
      <c r="B322" s="1" t="s">
        <v>1059</v>
      </c>
      <c r="C322" s="1" t="s">
        <v>24</v>
      </c>
      <c r="D322">
        <v>2.016505</v>
      </c>
      <c r="E322">
        <v>14.294164</v>
      </c>
      <c r="F322" s="1" t="s">
        <v>1503</v>
      </c>
      <c r="G322" s="1" t="s">
        <v>1507</v>
      </c>
    </row>
    <row r="323" spans="1:7" x14ac:dyDescent="0.25">
      <c r="A323" s="1" t="s">
        <v>1620</v>
      </c>
      <c r="B323" s="1" t="s">
        <v>1625</v>
      </c>
      <c r="C323" s="1" t="s">
        <v>40</v>
      </c>
      <c r="D323">
        <v>-4.9124689999999998</v>
      </c>
      <c r="E323">
        <v>14.683498999999999</v>
      </c>
      <c r="F323" s="1" t="s">
        <v>1508</v>
      </c>
      <c r="G323" s="1" t="s">
        <v>1509</v>
      </c>
    </row>
    <row r="324" spans="1:7" x14ac:dyDescent="0.25">
      <c r="A324" s="1" t="s">
        <v>1620</v>
      </c>
      <c r="B324" s="1" t="s">
        <v>848</v>
      </c>
      <c r="C324" s="1" t="s">
        <v>60</v>
      </c>
      <c r="D324">
        <v>4.9250049999999996</v>
      </c>
      <c r="E324">
        <v>19.887931999999999</v>
      </c>
      <c r="F324" s="1" t="s">
        <v>1506</v>
      </c>
      <c r="G324" s="1" t="s">
        <v>1507</v>
      </c>
    </row>
    <row r="325" spans="1:7" x14ac:dyDescent="0.25">
      <c r="A325" s="1" t="s">
        <v>1620</v>
      </c>
      <c r="B325" s="1" t="s">
        <v>935</v>
      </c>
      <c r="C325" s="1" t="s">
        <v>57</v>
      </c>
      <c r="D325">
        <v>-12.333232000000001</v>
      </c>
      <c r="E325">
        <v>25.229620000000001</v>
      </c>
      <c r="F325" s="1" t="s">
        <v>1503</v>
      </c>
      <c r="G325" s="1" t="s">
        <v>1516</v>
      </c>
    </row>
    <row r="326" spans="1:7" x14ac:dyDescent="0.25">
      <c r="A326" s="1" t="s">
        <v>1620</v>
      </c>
      <c r="B326" s="1" t="s">
        <v>973</v>
      </c>
      <c r="C326" s="1" t="s">
        <v>64</v>
      </c>
      <c r="D326">
        <v>-11.991020000000001</v>
      </c>
      <c r="E326">
        <v>22.514747</v>
      </c>
      <c r="F326" s="1" t="s">
        <v>1503</v>
      </c>
      <c r="G326" s="1" t="s">
        <v>1509</v>
      </c>
    </row>
    <row r="327" spans="1:7" x14ac:dyDescent="0.25">
      <c r="A327" s="1" t="s">
        <v>1620</v>
      </c>
      <c r="B327" s="1" t="s">
        <v>1626</v>
      </c>
      <c r="C327" s="1" t="s">
        <v>131</v>
      </c>
      <c r="D327">
        <v>1.1800139999999999</v>
      </c>
      <c r="E327">
        <v>20.334562999999999</v>
      </c>
      <c r="F327" s="1" t="s">
        <v>1508</v>
      </c>
      <c r="G327" s="1" t="s">
        <v>1509</v>
      </c>
    </row>
    <row r="328" spans="1:7" x14ac:dyDescent="0.25">
      <c r="A328" s="1" t="s">
        <v>1620</v>
      </c>
      <c r="B328" s="1" t="s">
        <v>1119</v>
      </c>
      <c r="C328" s="1" t="s">
        <v>37</v>
      </c>
      <c r="D328">
        <v>-12.229338</v>
      </c>
      <c r="E328">
        <v>29.587834999999998</v>
      </c>
      <c r="F328" s="1" t="s">
        <v>1506</v>
      </c>
      <c r="G328" s="1" t="s">
        <v>1516</v>
      </c>
    </row>
    <row r="329" spans="1:7" x14ac:dyDescent="0.25">
      <c r="A329" s="1" t="s">
        <v>1620</v>
      </c>
      <c r="B329" s="1" t="s">
        <v>986</v>
      </c>
      <c r="C329" s="1" t="s">
        <v>137</v>
      </c>
      <c r="D329">
        <v>-10.872631999999999</v>
      </c>
      <c r="E329">
        <v>12.773279</v>
      </c>
      <c r="F329" s="1" t="s">
        <v>1508</v>
      </c>
      <c r="G329" s="1" t="s">
        <v>1509</v>
      </c>
    </row>
    <row r="330" spans="1:7" x14ac:dyDescent="0.25">
      <c r="A330" s="1" t="s">
        <v>1620</v>
      </c>
      <c r="B330" s="1" t="s">
        <v>998</v>
      </c>
      <c r="C330" s="1" t="s">
        <v>26</v>
      </c>
      <c r="D330">
        <v>1.5278670000000001</v>
      </c>
      <c r="E330">
        <v>13.899388999999999</v>
      </c>
      <c r="F330" s="1" t="s">
        <v>1508</v>
      </c>
      <c r="G330" s="1" t="s">
        <v>1507</v>
      </c>
    </row>
    <row r="331" spans="1:7" x14ac:dyDescent="0.25">
      <c r="A331" s="1" t="s">
        <v>1620</v>
      </c>
      <c r="B331" s="1" t="s">
        <v>1137</v>
      </c>
      <c r="C331" s="1" t="s">
        <v>51</v>
      </c>
      <c r="D331">
        <v>-0.98830399999999996</v>
      </c>
      <c r="E331">
        <v>28.099966999999999</v>
      </c>
      <c r="F331" s="1" t="s">
        <v>1508</v>
      </c>
      <c r="G331" s="1" t="s">
        <v>1507</v>
      </c>
    </row>
    <row r="332" spans="1:7" x14ac:dyDescent="0.25">
      <c r="A332" s="1" t="s">
        <v>1620</v>
      </c>
      <c r="B332" s="1" t="s">
        <v>1627</v>
      </c>
      <c r="C332" s="1" t="s">
        <v>89</v>
      </c>
      <c r="D332">
        <v>-4.749333</v>
      </c>
      <c r="E332">
        <v>23.636389000000001</v>
      </c>
      <c r="F332" s="1" t="s">
        <v>1508</v>
      </c>
      <c r="G332" s="1" t="s">
        <v>1509</v>
      </c>
    </row>
    <row r="333" spans="1:7" x14ac:dyDescent="0.25">
      <c r="A333" s="1" t="s">
        <v>1620</v>
      </c>
      <c r="B333" s="1" t="s">
        <v>1198</v>
      </c>
      <c r="C333" s="1" t="s">
        <v>60</v>
      </c>
      <c r="D333">
        <v>-0.79459900000000006</v>
      </c>
      <c r="E333">
        <v>26.775570999999999</v>
      </c>
      <c r="F333" s="1" t="s">
        <v>1503</v>
      </c>
      <c r="G333" s="1" t="s">
        <v>1507</v>
      </c>
    </row>
    <row r="334" spans="1:7" x14ac:dyDescent="0.25">
      <c r="A334" s="1" t="s">
        <v>1620</v>
      </c>
      <c r="B334" s="1" t="s">
        <v>1628</v>
      </c>
      <c r="C334" s="1" t="s">
        <v>21</v>
      </c>
      <c r="D334">
        <v>2.7365970000000002</v>
      </c>
      <c r="E334">
        <v>12.296976000000001</v>
      </c>
      <c r="F334" s="1" t="s">
        <v>1506</v>
      </c>
      <c r="G334" s="1" t="s">
        <v>1509</v>
      </c>
    </row>
    <row r="335" spans="1:7" x14ac:dyDescent="0.25">
      <c r="A335" s="1" t="s">
        <v>1620</v>
      </c>
      <c r="B335" s="1" t="s">
        <v>1449</v>
      </c>
      <c r="C335" s="1" t="s">
        <v>78</v>
      </c>
      <c r="D335">
        <v>-10.318835</v>
      </c>
      <c r="E335">
        <v>21.252382000000001</v>
      </c>
      <c r="F335" s="1" t="s">
        <v>1506</v>
      </c>
      <c r="G335" s="1" t="s">
        <v>1504</v>
      </c>
    </row>
    <row r="336" spans="1:7" x14ac:dyDescent="0.25">
      <c r="A336" s="1" t="s">
        <v>1620</v>
      </c>
      <c r="B336" s="1" t="s">
        <v>1091</v>
      </c>
      <c r="C336" s="1" t="s">
        <v>13</v>
      </c>
      <c r="D336">
        <v>-2.571777</v>
      </c>
      <c r="E336">
        <v>12.120642</v>
      </c>
      <c r="F336" s="1" t="s">
        <v>1508</v>
      </c>
      <c r="G336" s="1" t="s">
        <v>1507</v>
      </c>
    </row>
    <row r="337" spans="1:7" x14ac:dyDescent="0.25">
      <c r="A337" s="1" t="s">
        <v>1620</v>
      </c>
      <c r="B337" s="1" t="s">
        <v>1629</v>
      </c>
      <c r="C337" s="1" t="s">
        <v>35</v>
      </c>
      <c r="D337">
        <v>3.6466850000000002</v>
      </c>
      <c r="E337">
        <v>15.408844</v>
      </c>
      <c r="F337" s="1" t="s">
        <v>1508</v>
      </c>
      <c r="G337" s="1" t="s">
        <v>1509</v>
      </c>
    </row>
    <row r="338" spans="1:7" x14ac:dyDescent="0.25">
      <c r="A338" s="1" t="s">
        <v>1620</v>
      </c>
      <c r="B338" s="1" t="s">
        <v>976</v>
      </c>
      <c r="C338" s="1" t="s">
        <v>131</v>
      </c>
      <c r="D338">
        <v>-12.336202</v>
      </c>
      <c r="E338">
        <v>13.693683999999999</v>
      </c>
      <c r="F338" s="1" t="s">
        <v>1503</v>
      </c>
      <c r="G338" s="1" t="s">
        <v>1507</v>
      </c>
    </row>
    <row r="339" spans="1:7" x14ac:dyDescent="0.25">
      <c r="A339" s="1" t="s">
        <v>1620</v>
      </c>
      <c r="B339" s="1" t="s">
        <v>1630</v>
      </c>
      <c r="C339" s="1" t="s">
        <v>62</v>
      </c>
      <c r="D339">
        <v>-10.451371</v>
      </c>
      <c r="E339">
        <v>24.38336</v>
      </c>
      <c r="F339" s="1" t="s">
        <v>1508</v>
      </c>
      <c r="G339" s="1" t="s">
        <v>1504</v>
      </c>
    </row>
    <row r="340" spans="1:7" x14ac:dyDescent="0.25">
      <c r="A340" s="1" t="s">
        <v>1620</v>
      </c>
      <c r="B340" s="1" t="s">
        <v>1122</v>
      </c>
      <c r="C340" s="1" t="s">
        <v>16</v>
      </c>
      <c r="D340">
        <v>-1.231033</v>
      </c>
      <c r="E340">
        <v>28.851388</v>
      </c>
      <c r="F340" s="1" t="s">
        <v>1508</v>
      </c>
      <c r="G340" s="1" t="s">
        <v>1504</v>
      </c>
    </row>
    <row r="341" spans="1:7" x14ac:dyDescent="0.25">
      <c r="A341" s="1" t="s">
        <v>1620</v>
      </c>
      <c r="B341" s="1" t="s">
        <v>1631</v>
      </c>
      <c r="C341" s="1" t="s">
        <v>16</v>
      </c>
      <c r="D341">
        <v>-4.5180470000000001</v>
      </c>
      <c r="E341">
        <v>19.908223</v>
      </c>
      <c r="F341" s="1" t="s">
        <v>1503</v>
      </c>
      <c r="G341" s="1" t="s">
        <v>1507</v>
      </c>
    </row>
    <row r="342" spans="1:7" x14ac:dyDescent="0.25">
      <c r="A342" s="1" t="s">
        <v>1620</v>
      </c>
      <c r="B342" s="1" t="s">
        <v>1632</v>
      </c>
      <c r="C342" s="1" t="s">
        <v>40</v>
      </c>
      <c r="D342">
        <v>3.524343</v>
      </c>
      <c r="E342">
        <v>27.340824000000001</v>
      </c>
      <c r="F342" s="1" t="s">
        <v>1506</v>
      </c>
      <c r="G342" s="1" t="s">
        <v>1504</v>
      </c>
    </row>
    <row r="343" spans="1:7" x14ac:dyDescent="0.25">
      <c r="A343" s="1" t="s">
        <v>1620</v>
      </c>
      <c r="B343" s="1" t="s">
        <v>1633</v>
      </c>
      <c r="C343" s="1" t="s">
        <v>21</v>
      </c>
      <c r="D343">
        <v>-12.17557</v>
      </c>
      <c r="E343">
        <v>26.678691000000001</v>
      </c>
      <c r="F343" s="1" t="s">
        <v>1506</v>
      </c>
      <c r="G343" s="1" t="s">
        <v>1507</v>
      </c>
    </row>
    <row r="344" spans="1:7" x14ac:dyDescent="0.25">
      <c r="A344" s="1" t="s">
        <v>1620</v>
      </c>
      <c r="B344" s="1" t="s">
        <v>1008</v>
      </c>
      <c r="C344" s="1" t="s">
        <v>60</v>
      </c>
      <c r="D344">
        <v>-0.37665700000000002</v>
      </c>
      <c r="E344">
        <v>25.154807999999999</v>
      </c>
      <c r="F344" s="1" t="s">
        <v>1508</v>
      </c>
      <c r="G344" s="1" t="s">
        <v>1516</v>
      </c>
    </row>
    <row r="345" spans="1:7" x14ac:dyDescent="0.25">
      <c r="A345" s="1" t="s">
        <v>1620</v>
      </c>
      <c r="B345" s="1" t="s">
        <v>1444</v>
      </c>
      <c r="C345" s="1" t="s">
        <v>78</v>
      </c>
      <c r="D345">
        <v>-10.650321</v>
      </c>
      <c r="E345">
        <v>15.917044000000001</v>
      </c>
      <c r="F345" s="1" t="s">
        <v>1506</v>
      </c>
      <c r="G345" s="1" t="s">
        <v>1516</v>
      </c>
    </row>
    <row r="346" spans="1:7" x14ac:dyDescent="0.25">
      <c r="A346" s="1" t="s">
        <v>1620</v>
      </c>
      <c r="B346" s="1" t="s">
        <v>1634</v>
      </c>
      <c r="C346" s="1" t="s">
        <v>40</v>
      </c>
      <c r="D346">
        <v>-9.8995180000000005</v>
      </c>
      <c r="E346">
        <v>24.156687999999999</v>
      </c>
      <c r="F346" s="1" t="s">
        <v>1506</v>
      </c>
      <c r="G346" s="1" t="s">
        <v>1504</v>
      </c>
    </row>
    <row r="347" spans="1:7" x14ac:dyDescent="0.25">
      <c r="A347" s="1" t="s">
        <v>1620</v>
      </c>
      <c r="B347" s="1" t="s">
        <v>927</v>
      </c>
      <c r="C347" s="1" t="s">
        <v>127</v>
      </c>
      <c r="D347">
        <v>-12.100756000000001</v>
      </c>
      <c r="E347">
        <v>21.938649999999999</v>
      </c>
      <c r="F347" s="1" t="s">
        <v>1506</v>
      </c>
      <c r="G347" s="1" t="s">
        <v>1507</v>
      </c>
    </row>
    <row r="348" spans="1:7" x14ac:dyDescent="0.25">
      <c r="A348" s="1" t="s">
        <v>1620</v>
      </c>
      <c r="B348" s="1" t="s">
        <v>1635</v>
      </c>
      <c r="C348" s="1" t="s">
        <v>137</v>
      </c>
      <c r="D348">
        <v>-7.4679279999999997</v>
      </c>
      <c r="E348">
        <v>19.828595</v>
      </c>
      <c r="F348" s="1" t="s">
        <v>1503</v>
      </c>
      <c r="G348" s="1" t="s">
        <v>1516</v>
      </c>
    </row>
    <row r="349" spans="1:7" x14ac:dyDescent="0.25">
      <c r="A349" s="1" t="s">
        <v>1620</v>
      </c>
      <c r="B349" s="1" t="s">
        <v>1143</v>
      </c>
      <c r="C349" s="1" t="s">
        <v>137</v>
      </c>
      <c r="D349">
        <v>1.286548</v>
      </c>
      <c r="E349">
        <v>29.823702999999998</v>
      </c>
      <c r="F349" s="1" t="s">
        <v>1506</v>
      </c>
      <c r="G349" s="1" t="s">
        <v>1509</v>
      </c>
    </row>
    <row r="350" spans="1:7" x14ac:dyDescent="0.25">
      <c r="A350" s="1" t="s">
        <v>1620</v>
      </c>
      <c r="B350" s="1" t="s">
        <v>1086</v>
      </c>
      <c r="C350" s="1" t="s">
        <v>35</v>
      </c>
      <c r="D350">
        <v>-4.7886769999999999</v>
      </c>
      <c r="E350">
        <v>23.600221999999999</v>
      </c>
      <c r="F350" s="1" t="s">
        <v>1508</v>
      </c>
      <c r="G350" s="1" t="s">
        <v>1509</v>
      </c>
    </row>
    <row r="351" spans="1:7" x14ac:dyDescent="0.25">
      <c r="A351" s="1" t="s">
        <v>1636</v>
      </c>
      <c r="B351" s="1" t="s">
        <v>1417</v>
      </c>
      <c r="C351" s="1" t="s">
        <v>57</v>
      </c>
      <c r="D351">
        <v>1.7832440000000001</v>
      </c>
      <c r="E351">
        <v>25.477405999999998</v>
      </c>
      <c r="F351" s="1" t="s">
        <v>1503</v>
      </c>
      <c r="G351" s="1" t="s">
        <v>1507</v>
      </c>
    </row>
    <row r="352" spans="1:7" x14ac:dyDescent="0.25">
      <c r="A352" s="1" t="s">
        <v>1636</v>
      </c>
      <c r="B352" s="1" t="s">
        <v>1637</v>
      </c>
      <c r="C352" s="1" t="s">
        <v>35</v>
      </c>
      <c r="D352">
        <v>-4.8560549999999996</v>
      </c>
      <c r="E352">
        <v>15.889538999999999</v>
      </c>
      <c r="F352" s="1" t="s">
        <v>1508</v>
      </c>
      <c r="G352" s="1" t="s">
        <v>1507</v>
      </c>
    </row>
    <row r="353" spans="1:7" x14ac:dyDescent="0.25">
      <c r="A353" s="1" t="s">
        <v>1636</v>
      </c>
      <c r="B353" s="1" t="s">
        <v>1638</v>
      </c>
      <c r="C353" s="1" t="s">
        <v>31</v>
      </c>
      <c r="D353">
        <v>-8.6707929999999998</v>
      </c>
      <c r="E353">
        <v>30.643781000000001</v>
      </c>
      <c r="F353" s="1" t="s">
        <v>1506</v>
      </c>
      <c r="G353" s="1" t="s">
        <v>1507</v>
      </c>
    </row>
    <row r="354" spans="1:7" x14ac:dyDescent="0.25">
      <c r="A354" s="1" t="s">
        <v>1636</v>
      </c>
      <c r="B354" s="1" t="s">
        <v>1639</v>
      </c>
      <c r="C354" s="1" t="s">
        <v>29</v>
      </c>
      <c r="D354">
        <v>-2.947235</v>
      </c>
      <c r="E354">
        <v>16.534020999999999</v>
      </c>
      <c r="F354" s="1" t="s">
        <v>1508</v>
      </c>
      <c r="G354" s="1" t="s">
        <v>1516</v>
      </c>
    </row>
    <row r="355" spans="1:7" x14ac:dyDescent="0.25">
      <c r="A355" s="1" t="s">
        <v>1636</v>
      </c>
      <c r="B355" s="1" t="s">
        <v>1640</v>
      </c>
      <c r="C355" s="1" t="s">
        <v>24</v>
      </c>
      <c r="D355">
        <v>-12.776386</v>
      </c>
      <c r="E355">
        <v>14.157596</v>
      </c>
      <c r="F355" s="1" t="s">
        <v>1508</v>
      </c>
      <c r="G355" s="1" t="s">
        <v>1516</v>
      </c>
    </row>
    <row r="356" spans="1:7" x14ac:dyDescent="0.25">
      <c r="A356" s="1" t="s">
        <v>1636</v>
      </c>
      <c r="B356" s="1" t="s">
        <v>828</v>
      </c>
      <c r="C356" s="1" t="s">
        <v>24</v>
      </c>
      <c r="D356">
        <v>0.172153</v>
      </c>
      <c r="E356">
        <v>21.091376</v>
      </c>
      <c r="F356" s="1" t="s">
        <v>1508</v>
      </c>
      <c r="G356" s="1" t="s">
        <v>1504</v>
      </c>
    </row>
    <row r="357" spans="1:7" x14ac:dyDescent="0.25">
      <c r="A357" s="1" t="s">
        <v>1636</v>
      </c>
      <c r="B357" s="1" t="s">
        <v>1380</v>
      </c>
      <c r="C357" s="1" t="s">
        <v>16</v>
      </c>
      <c r="D357">
        <v>4.0988100000000003</v>
      </c>
      <c r="E357">
        <v>29.843810999999999</v>
      </c>
      <c r="F357" s="1" t="s">
        <v>1508</v>
      </c>
      <c r="G357" s="1" t="s">
        <v>1507</v>
      </c>
    </row>
    <row r="358" spans="1:7" x14ac:dyDescent="0.25">
      <c r="A358" s="1" t="s">
        <v>1636</v>
      </c>
      <c r="B358" s="1" t="s">
        <v>1169</v>
      </c>
      <c r="C358" s="1" t="s">
        <v>31</v>
      </c>
      <c r="D358">
        <v>-10.611184</v>
      </c>
      <c r="E358">
        <v>23.022268</v>
      </c>
      <c r="F358" s="1" t="s">
        <v>1503</v>
      </c>
      <c r="G358" s="1" t="s">
        <v>1509</v>
      </c>
    </row>
    <row r="359" spans="1:7" x14ac:dyDescent="0.25">
      <c r="A359" s="1" t="s">
        <v>1636</v>
      </c>
      <c r="B359" s="1" t="s">
        <v>1342</v>
      </c>
      <c r="C359" s="1" t="s">
        <v>29</v>
      </c>
      <c r="D359">
        <v>-7.6757720000000003</v>
      </c>
      <c r="E359">
        <v>30.222971000000001</v>
      </c>
      <c r="F359" s="1" t="s">
        <v>1503</v>
      </c>
      <c r="G359" s="1" t="s">
        <v>1504</v>
      </c>
    </row>
    <row r="360" spans="1:7" x14ac:dyDescent="0.25">
      <c r="A360" s="1" t="s">
        <v>1636</v>
      </c>
      <c r="B360" s="1" t="s">
        <v>955</v>
      </c>
      <c r="C360" s="1" t="s">
        <v>89</v>
      </c>
      <c r="D360">
        <v>-1.342476</v>
      </c>
      <c r="E360">
        <v>15.986086</v>
      </c>
      <c r="F360" s="1" t="s">
        <v>1506</v>
      </c>
      <c r="G360" s="1" t="s">
        <v>1504</v>
      </c>
    </row>
    <row r="361" spans="1:7" x14ac:dyDescent="0.25">
      <c r="A361" s="1" t="s">
        <v>1636</v>
      </c>
      <c r="B361" s="1" t="s">
        <v>1641</v>
      </c>
      <c r="C361" s="1" t="s">
        <v>60</v>
      </c>
      <c r="D361">
        <v>-11.366868999999999</v>
      </c>
      <c r="E361">
        <v>26.155318000000001</v>
      </c>
      <c r="F361" s="1" t="s">
        <v>1506</v>
      </c>
      <c r="G361" s="1" t="s">
        <v>1507</v>
      </c>
    </row>
    <row r="362" spans="1:7" x14ac:dyDescent="0.25">
      <c r="A362" s="1" t="s">
        <v>1636</v>
      </c>
      <c r="B362" s="1" t="s">
        <v>1249</v>
      </c>
      <c r="C362" s="1" t="s">
        <v>57</v>
      </c>
      <c r="D362">
        <v>-4.3639070000000002</v>
      </c>
      <c r="E362">
        <v>16.283307000000001</v>
      </c>
      <c r="F362" s="1" t="s">
        <v>1503</v>
      </c>
      <c r="G362" s="1" t="s">
        <v>1507</v>
      </c>
    </row>
    <row r="363" spans="1:7" x14ac:dyDescent="0.25">
      <c r="A363" s="1" t="s">
        <v>1636</v>
      </c>
      <c r="B363" s="1" t="s">
        <v>1070</v>
      </c>
      <c r="C363" s="1" t="s">
        <v>40</v>
      </c>
      <c r="D363">
        <v>-7.5129409999999996</v>
      </c>
      <c r="E363">
        <v>18.701522000000001</v>
      </c>
      <c r="F363" s="1" t="s">
        <v>1506</v>
      </c>
      <c r="G363" s="1" t="s">
        <v>1516</v>
      </c>
    </row>
    <row r="364" spans="1:7" x14ac:dyDescent="0.25">
      <c r="A364" s="1" t="s">
        <v>1636</v>
      </c>
      <c r="B364" s="1" t="s">
        <v>1145</v>
      </c>
      <c r="C364" s="1" t="s">
        <v>10</v>
      </c>
      <c r="D364">
        <v>-0.34051900000000002</v>
      </c>
      <c r="E364">
        <v>17.079799000000001</v>
      </c>
      <c r="F364" s="1" t="s">
        <v>1503</v>
      </c>
      <c r="G364" s="1" t="s">
        <v>1504</v>
      </c>
    </row>
    <row r="365" spans="1:7" x14ac:dyDescent="0.25">
      <c r="A365" s="1" t="s">
        <v>1636</v>
      </c>
      <c r="B365" s="1" t="s">
        <v>1038</v>
      </c>
      <c r="C365" s="1" t="s">
        <v>73</v>
      </c>
      <c r="D365">
        <v>2.4425979999999998</v>
      </c>
      <c r="E365">
        <v>24.924308</v>
      </c>
      <c r="F365" s="1" t="s">
        <v>1503</v>
      </c>
      <c r="G365" s="1" t="s">
        <v>1504</v>
      </c>
    </row>
    <row r="366" spans="1:7" x14ac:dyDescent="0.25">
      <c r="A366" s="1" t="s">
        <v>1636</v>
      </c>
      <c r="B366" s="1" t="s">
        <v>1331</v>
      </c>
      <c r="C366" s="1" t="s">
        <v>26</v>
      </c>
      <c r="D366">
        <v>0.45116099999999998</v>
      </c>
      <c r="E366">
        <v>17.265761000000001</v>
      </c>
      <c r="F366" s="1" t="s">
        <v>1506</v>
      </c>
      <c r="G366" s="1" t="s">
        <v>1507</v>
      </c>
    </row>
    <row r="367" spans="1:7" x14ac:dyDescent="0.25">
      <c r="A367" s="1" t="s">
        <v>1636</v>
      </c>
      <c r="B367" s="1" t="s">
        <v>1318</v>
      </c>
      <c r="C367" s="1" t="s">
        <v>33</v>
      </c>
      <c r="D367">
        <v>-12.560556999999999</v>
      </c>
      <c r="E367">
        <v>13.204014000000001</v>
      </c>
      <c r="F367" s="1" t="s">
        <v>1506</v>
      </c>
      <c r="G367" s="1" t="s">
        <v>1504</v>
      </c>
    </row>
    <row r="368" spans="1:7" x14ac:dyDescent="0.25">
      <c r="A368" s="1" t="s">
        <v>1636</v>
      </c>
      <c r="B368" s="1" t="s">
        <v>1085</v>
      </c>
      <c r="C368" s="1" t="s">
        <v>89</v>
      </c>
      <c r="D368">
        <v>-4.8128659999999996</v>
      </c>
      <c r="E368">
        <v>18.559304999999998</v>
      </c>
      <c r="F368" s="1" t="s">
        <v>1503</v>
      </c>
      <c r="G368" s="1" t="s">
        <v>1509</v>
      </c>
    </row>
    <row r="369" spans="1:7" x14ac:dyDescent="0.25">
      <c r="A369" s="1" t="s">
        <v>1636</v>
      </c>
      <c r="B369" s="1" t="s">
        <v>1642</v>
      </c>
      <c r="C369" s="1" t="s">
        <v>26</v>
      </c>
      <c r="D369">
        <v>0.89302999999999999</v>
      </c>
      <c r="E369">
        <v>21.238310999999999</v>
      </c>
      <c r="F369" s="1" t="s">
        <v>1503</v>
      </c>
      <c r="G369" s="1" t="s">
        <v>1507</v>
      </c>
    </row>
    <row r="370" spans="1:7" x14ac:dyDescent="0.25">
      <c r="A370" s="1" t="s">
        <v>1636</v>
      </c>
      <c r="B370" s="1" t="s">
        <v>1643</v>
      </c>
      <c r="C370" s="1" t="s">
        <v>127</v>
      </c>
      <c r="D370">
        <v>2.7355830000000001</v>
      </c>
      <c r="E370">
        <v>22.006969000000002</v>
      </c>
      <c r="F370" s="1" t="s">
        <v>1503</v>
      </c>
      <c r="G370" s="1" t="s">
        <v>1504</v>
      </c>
    </row>
    <row r="371" spans="1:7" x14ac:dyDescent="0.25">
      <c r="A371" s="1" t="s">
        <v>1636</v>
      </c>
      <c r="B371" s="1" t="s">
        <v>936</v>
      </c>
      <c r="C371" s="1" t="s">
        <v>67</v>
      </c>
      <c r="D371">
        <v>-5.7035130000000001</v>
      </c>
      <c r="E371">
        <v>14.331479</v>
      </c>
      <c r="F371" s="1" t="s">
        <v>1503</v>
      </c>
      <c r="G371" s="1" t="s">
        <v>1516</v>
      </c>
    </row>
    <row r="372" spans="1:7" x14ac:dyDescent="0.25">
      <c r="A372" s="1" t="s">
        <v>1636</v>
      </c>
      <c r="B372" s="1" t="s">
        <v>1644</v>
      </c>
      <c r="C372" s="1" t="s">
        <v>64</v>
      </c>
      <c r="D372">
        <v>1.217457</v>
      </c>
      <c r="E372">
        <v>25.48668</v>
      </c>
      <c r="F372" s="1" t="s">
        <v>1503</v>
      </c>
      <c r="G372" s="1" t="s">
        <v>1516</v>
      </c>
    </row>
    <row r="373" spans="1:7" x14ac:dyDescent="0.25">
      <c r="A373" s="1" t="s">
        <v>1636</v>
      </c>
      <c r="B373" s="1" t="s">
        <v>1028</v>
      </c>
      <c r="C373" s="1" t="s">
        <v>18</v>
      </c>
      <c r="D373">
        <v>-6.3324319999999998</v>
      </c>
      <c r="E373">
        <v>24.887858000000001</v>
      </c>
      <c r="F373" s="1" t="s">
        <v>1506</v>
      </c>
      <c r="G373" s="1" t="s">
        <v>1509</v>
      </c>
    </row>
    <row r="374" spans="1:7" x14ac:dyDescent="0.25">
      <c r="A374" s="1" t="s">
        <v>1636</v>
      </c>
      <c r="B374" s="1" t="s">
        <v>1475</v>
      </c>
      <c r="C374" s="1" t="s">
        <v>10</v>
      </c>
      <c r="D374">
        <v>-4.6426759999999998</v>
      </c>
      <c r="E374">
        <v>22.124254000000001</v>
      </c>
      <c r="F374" s="1" t="s">
        <v>1506</v>
      </c>
      <c r="G374" s="1" t="s">
        <v>1509</v>
      </c>
    </row>
    <row r="375" spans="1:7" x14ac:dyDescent="0.25">
      <c r="A375" s="1" t="s">
        <v>1636</v>
      </c>
      <c r="B375" s="1" t="s">
        <v>1645</v>
      </c>
      <c r="C375" s="1" t="s">
        <v>18</v>
      </c>
      <c r="D375">
        <v>-1.598759</v>
      </c>
      <c r="E375">
        <v>17.553023</v>
      </c>
      <c r="F375" s="1" t="s">
        <v>1506</v>
      </c>
      <c r="G375" s="1" t="s">
        <v>1507</v>
      </c>
    </row>
    <row r="376" spans="1:7" x14ac:dyDescent="0.25">
      <c r="A376" s="1" t="s">
        <v>1636</v>
      </c>
      <c r="B376" s="1" t="s">
        <v>1131</v>
      </c>
      <c r="C376" s="1" t="s">
        <v>57</v>
      </c>
      <c r="D376">
        <v>2.486888</v>
      </c>
      <c r="E376">
        <v>23.798074</v>
      </c>
      <c r="F376" s="1" t="s">
        <v>1503</v>
      </c>
      <c r="G376" s="1" t="s">
        <v>1509</v>
      </c>
    </row>
    <row r="377" spans="1:7" x14ac:dyDescent="0.25">
      <c r="A377" s="1" t="s">
        <v>1636</v>
      </c>
      <c r="B377" s="1" t="s">
        <v>1646</v>
      </c>
      <c r="C377" s="1" t="s">
        <v>57</v>
      </c>
      <c r="D377">
        <v>-11.727425</v>
      </c>
      <c r="E377">
        <v>27.198173000000001</v>
      </c>
      <c r="F377" s="1" t="s">
        <v>1508</v>
      </c>
      <c r="G377" s="1" t="s">
        <v>1504</v>
      </c>
    </row>
    <row r="378" spans="1:7" x14ac:dyDescent="0.25">
      <c r="A378" s="1" t="s">
        <v>1636</v>
      </c>
      <c r="B378" s="1" t="s">
        <v>1647</v>
      </c>
      <c r="C378" s="1" t="s">
        <v>78</v>
      </c>
      <c r="D378">
        <v>3.08182</v>
      </c>
      <c r="E378">
        <v>29.961940999999999</v>
      </c>
      <c r="F378" s="1" t="s">
        <v>1506</v>
      </c>
      <c r="G378" s="1" t="s">
        <v>1507</v>
      </c>
    </row>
    <row r="379" spans="1:7" x14ac:dyDescent="0.25">
      <c r="A379" s="1" t="s">
        <v>1636</v>
      </c>
      <c r="B379" s="1" t="s">
        <v>889</v>
      </c>
      <c r="C379" s="1" t="s">
        <v>10</v>
      </c>
      <c r="D379">
        <v>-7.0076900000000002</v>
      </c>
      <c r="E379">
        <v>27.367121999999998</v>
      </c>
      <c r="F379" s="1" t="s">
        <v>1508</v>
      </c>
      <c r="G379" s="1" t="s">
        <v>1516</v>
      </c>
    </row>
    <row r="380" spans="1:7" x14ac:dyDescent="0.25">
      <c r="A380" s="1" t="s">
        <v>1636</v>
      </c>
      <c r="B380" s="1" t="s">
        <v>1648</v>
      </c>
      <c r="C380" s="1" t="s">
        <v>89</v>
      </c>
      <c r="D380">
        <v>-12.411144999999999</v>
      </c>
      <c r="E380">
        <v>29.876642</v>
      </c>
      <c r="F380" s="1" t="s">
        <v>1506</v>
      </c>
      <c r="G380" s="1" t="s">
        <v>1504</v>
      </c>
    </row>
    <row r="381" spans="1:7" x14ac:dyDescent="0.25">
      <c r="A381" s="1" t="s">
        <v>1636</v>
      </c>
      <c r="B381" s="1" t="s">
        <v>1649</v>
      </c>
      <c r="C381" s="1" t="s">
        <v>57</v>
      </c>
      <c r="D381">
        <v>-5.3337589999999997</v>
      </c>
      <c r="E381">
        <v>13.246924</v>
      </c>
      <c r="F381" s="1" t="s">
        <v>1508</v>
      </c>
      <c r="G381" s="1" t="s">
        <v>1504</v>
      </c>
    </row>
    <row r="382" spans="1:7" x14ac:dyDescent="0.25">
      <c r="A382" s="1" t="s">
        <v>1636</v>
      </c>
      <c r="B382" s="1" t="s">
        <v>838</v>
      </c>
      <c r="C382" s="1" t="s">
        <v>89</v>
      </c>
      <c r="D382">
        <v>-8.1437910000000002</v>
      </c>
      <c r="E382">
        <v>28.946161</v>
      </c>
      <c r="F382" s="1" t="s">
        <v>1506</v>
      </c>
      <c r="G382" s="1" t="s">
        <v>1509</v>
      </c>
    </row>
    <row r="383" spans="1:7" x14ac:dyDescent="0.25">
      <c r="A383" s="1" t="s">
        <v>1636</v>
      </c>
      <c r="B383" s="1" t="s">
        <v>1650</v>
      </c>
      <c r="C383" s="1" t="s">
        <v>44</v>
      </c>
      <c r="D383">
        <v>4.0297190000000001</v>
      </c>
      <c r="E383">
        <v>20.699608000000001</v>
      </c>
      <c r="F383" s="1" t="s">
        <v>1506</v>
      </c>
      <c r="G383" s="1" t="s">
        <v>1504</v>
      </c>
    </row>
    <row r="384" spans="1:7" x14ac:dyDescent="0.25">
      <c r="A384" s="1" t="s">
        <v>1636</v>
      </c>
      <c r="B384" s="1" t="s">
        <v>1651</v>
      </c>
      <c r="C384" s="1" t="s">
        <v>89</v>
      </c>
      <c r="D384">
        <v>-3.2361680000000002</v>
      </c>
      <c r="E384">
        <v>13.523237999999999</v>
      </c>
      <c r="F384" s="1" t="s">
        <v>1506</v>
      </c>
      <c r="G384" s="1" t="s">
        <v>1507</v>
      </c>
    </row>
    <row r="385" spans="1:7" x14ac:dyDescent="0.25">
      <c r="A385" s="1" t="s">
        <v>1636</v>
      </c>
      <c r="B385" s="1" t="s">
        <v>1226</v>
      </c>
      <c r="C385" s="1" t="s">
        <v>64</v>
      </c>
      <c r="D385">
        <v>1.3006180000000001</v>
      </c>
      <c r="E385">
        <v>29.060970999999999</v>
      </c>
      <c r="F385" s="1" t="s">
        <v>1508</v>
      </c>
      <c r="G385" s="1" t="s">
        <v>1509</v>
      </c>
    </row>
    <row r="386" spans="1:7" x14ac:dyDescent="0.25">
      <c r="A386" s="1" t="s">
        <v>1636</v>
      </c>
      <c r="B386" s="1" t="s">
        <v>1652</v>
      </c>
      <c r="C386" s="1" t="s">
        <v>10</v>
      </c>
      <c r="D386">
        <v>1.178453</v>
      </c>
      <c r="E386">
        <v>17.479081000000001</v>
      </c>
      <c r="F386" s="1" t="s">
        <v>1508</v>
      </c>
      <c r="G386" s="1" t="s">
        <v>1504</v>
      </c>
    </row>
    <row r="387" spans="1:7" x14ac:dyDescent="0.25">
      <c r="A387" s="1" t="s">
        <v>1636</v>
      </c>
      <c r="B387" s="1" t="s">
        <v>1653</v>
      </c>
      <c r="C387" s="1" t="s">
        <v>62</v>
      </c>
      <c r="D387">
        <v>-11.542737000000001</v>
      </c>
      <c r="E387">
        <v>30.175912</v>
      </c>
      <c r="F387" s="1" t="s">
        <v>1506</v>
      </c>
      <c r="G387" s="1" t="s">
        <v>1516</v>
      </c>
    </row>
    <row r="388" spans="1:7" x14ac:dyDescent="0.25">
      <c r="A388" s="1" t="s">
        <v>1636</v>
      </c>
      <c r="B388" s="1" t="s">
        <v>1401</v>
      </c>
      <c r="C388" s="1" t="s">
        <v>62</v>
      </c>
      <c r="D388">
        <v>2.8552499999999998</v>
      </c>
      <c r="E388">
        <v>14.077933</v>
      </c>
      <c r="F388" s="1" t="s">
        <v>1506</v>
      </c>
      <c r="G388" s="1" t="s">
        <v>1509</v>
      </c>
    </row>
    <row r="389" spans="1:7" x14ac:dyDescent="0.25">
      <c r="A389" s="1" t="s">
        <v>1636</v>
      </c>
      <c r="B389" s="1" t="s">
        <v>1654</v>
      </c>
      <c r="C389" s="1" t="s">
        <v>26</v>
      </c>
      <c r="D389">
        <v>0.24369399999999999</v>
      </c>
      <c r="E389">
        <v>17.242912</v>
      </c>
      <c r="F389" s="1" t="s">
        <v>1506</v>
      </c>
      <c r="G389" s="1" t="s">
        <v>1516</v>
      </c>
    </row>
    <row r="390" spans="1:7" x14ac:dyDescent="0.25">
      <c r="A390" s="1" t="s">
        <v>1636</v>
      </c>
      <c r="B390" s="1" t="s">
        <v>1655</v>
      </c>
      <c r="C390" s="1" t="s">
        <v>18</v>
      </c>
      <c r="D390">
        <v>-12.013389999999999</v>
      </c>
      <c r="E390">
        <v>25.24456</v>
      </c>
      <c r="F390" s="1" t="s">
        <v>1508</v>
      </c>
      <c r="G390" s="1" t="s">
        <v>1507</v>
      </c>
    </row>
    <row r="391" spans="1:7" x14ac:dyDescent="0.25">
      <c r="A391" s="1" t="s">
        <v>1636</v>
      </c>
      <c r="B391" s="1" t="s">
        <v>1039</v>
      </c>
      <c r="C391" s="1" t="s">
        <v>137</v>
      </c>
      <c r="D391">
        <v>4.0157999999999996</v>
      </c>
      <c r="E391">
        <v>21.430246</v>
      </c>
      <c r="F391" s="1" t="s">
        <v>1503</v>
      </c>
      <c r="G391" s="1" t="s">
        <v>1516</v>
      </c>
    </row>
    <row r="392" spans="1:7" x14ac:dyDescent="0.25">
      <c r="A392" s="1" t="s">
        <v>1636</v>
      </c>
      <c r="B392" s="1" t="s">
        <v>1171</v>
      </c>
      <c r="C392" s="1" t="s">
        <v>73</v>
      </c>
      <c r="D392">
        <v>-0.85624699999999998</v>
      </c>
      <c r="E392">
        <v>28.624870000000001</v>
      </c>
      <c r="F392" s="1" t="s">
        <v>1508</v>
      </c>
      <c r="G392" s="1" t="s">
        <v>1504</v>
      </c>
    </row>
    <row r="393" spans="1:7" x14ac:dyDescent="0.25">
      <c r="A393" s="1" t="s">
        <v>1636</v>
      </c>
      <c r="B393" s="1" t="s">
        <v>1656</v>
      </c>
      <c r="C393" s="1" t="s">
        <v>62</v>
      </c>
      <c r="D393">
        <v>2.9836019999999999</v>
      </c>
      <c r="E393">
        <v>21.893065</v>
      </c>
      <c r="F393" s="1" t="s">
        <v>1503</v>
      </c>
      <c r="G393" s="1" t="s">
        <v>1516</v>
      </c>
    </row>
    <row r="394" spans="1:7" x14ac:dyDescent="0.25">
      <c r="A394" s="1" t="s">
        <v>1636</v>
      </c>
      <c r="B394" s="1" t="s">
        <v>1140</v>
      </c>
      <c r="C394" s="1" t="s">
        <v>10</v>
      </c>
      <c r="D394">
        <v>-11.002602</v>
      </c>
      <c r="E394">
        <v>23.918247999999998</v>
      </c>
      <c r="F394" s="1" t="s">
        <v>1503</v>
      </c>
      <c r="G394" s="1" t="s">
        <v>1509</v>
      </c>
    </row>
    <row r="395" spans="1:7" x14ac:dyDescent="0.25">
      <c r="A395" s="1" t="s">
        <v>1636</v>
      </c>
      <c r="B395" s="1" t="s">
        <v>1657</v>
      </c>
      <c r="C395" s="1" t="s">
        <v>73</v>
      </c>
      <c r="D395">
        <v>-6.419365</v>
      </c>
      <c r="E395">
        <v>17.570219000000002</v>
      </c>
      <c r="F395" s="1" t="s">
        <v>1506</v>
      </c>
      <c r="G395" s="1" t="s">
        <v>1507</v>
      </c>
    </row>
    <row r="396" spans="1:7" x14ac:dyDescent="0.25">
      <c r="A396" s="1" t="s">
        <v>1636</v>
      </c>
      <c r="B396" s="1" t="s">
        <v>1003</v>
      </c>
      <c r="C396" s="1" t="s">
        <v>131</v>
      </c>
      <c r="D396">
        <v>-1.8555980000000001</v>
      </c>
      <c r="E396">
        <v>30.421918000000002</v>
      </c>
      <c r="F396" s="1" t="s">
        <v>1508</v>
      </c>
      <c r="G396" s="1" t="s">
        <v>1509</v>
      </c>
    </row>
    <row r="397" spans="1:7" x14ac:dyDescent="0.25">
      <c r="A397" s="1" t="s">
        <v>1636</v>
      </c>
      <c r="B397" s="1" t="s">
        <v>1133</v>
      </c>
      <c r="C397" s="1" t="s">
        <v>26</v>
      </c>
      <c r="D397">
        <v>-6.4197189999999997</v>
      </c>
      <c r="E397">
        <v>22.287264</v>
      </c>
      <c r="F397" s="1" t="s">
        <v>1508</v>
      </c>
      <c r="G397" s="1" t="s">
        <v>1504</v>
      </c>
    </row>
    <row r="398" spans="1:7" x14ac:dyDescent="0.25">
      <c r="A398" s="1" t="s">
        <v>1636</v>
      </c>
      <c r="B398" s="1" t="s">
        <v>1658</v>
      </c>
      <c r="C398" s="1" t="s">
        <v>24</v>
      </c>
      <c r="D398">
        <v>-9.8451869999999992</v>
      </c>
      <c r="E398">
        <v>14.508520000000001</v>
      </c>
      <c r="F398" s="1" t="s">
        <v>1503</v>
      </c>
      <c r="G398" s="1" t="s">
        <v>1516</v>
      </c>
    </row>
    <row r="399" spans="1:7" x14ac:dyDescent="0.25">
      <c r="A399" s="1" t="s">
        <v>1636</v>
      </c>
      <c r="B399" s="1" t="s">
        <v>871</v>
      </c>
      <c r="C399" s="1" t="s">
        <v>24</v>
      </c>
      <c r="D399">
        <v>-2.9417719999999998</v>
      </c>
      <c r="E399">
        <v>18.587305000000001</v>
      </c>
      <c r="F399" s="1" t="s">
        <v>1503</v>
      </c>
      <c r="G399" s="1" t="s">
        <v>1504</v>
      </c>
    </row>
    <row r="400" spans="1:7" x14ac:dyDescent="0.25">
      <c r="A400" s="1" t="s">
        <v>1636</v>
      </c>
      <c r="B400" s="1" t="s">
        <v>1219</v>
      </c>
      <c r="C400" s="1" t="s">
        <v>37</v>
      </c>
      <c r="D400">
        <v>-11.793894</v>
      </c>
      <c r="E400">
        <v>20.433340999999999</v>
      </c>
      <c r="F400" s="1" t="s">
        <v>1503</v>
      </c>
      <c r="G400" s="1" t="s">
        <v>1516</v>
      </c>
    </row>
    <row r="401" spans="1:7" x14ac:dyDescent="0.25">
      <c r="A401" s="1" t="s">
        <v>1659</v>
      </c>
      <c r="B401" s="1" t="s">
        <v>1660</v>
      </c>
      <c r="C401" s="1" t="s">
        <v>57</v>
      </c>
      <c r="D401">
        <v>0.114899</v>
      </c>
      <c r="E401">
        <v>30.510916000000002</v>
      </c>
      <c r="F401" s="1" t="s">
        <v>1508</v>
      </c>
      <c r="G401" s="1" t="s">
        <v>1516</v>
      </c>
    </row>
    <row r="402" spans="1:7" x14ac:dyDescent="0.25">
      <c r="A402" s="1" t="s">
        <v>1659</v>
      </c>
      <c r="B402" s="1" t="s">
        <v>868</v>
      </c>
      <c r="C402" s="1" t="s">
        <v>24</v>
      </c>
      <c r="D402">
        <v>-5.5445120000000001</v>
      </c>
      <c r="E402">
        <v>27.547335</v>
      </c>
      <c r="F402" s="1" t="s">
        <v>1506</v>
      </c>
      <c r="G402" s="1" t="s">
        <v>1504</v>
      </c>
    </row>
    <row r="403" spans="1:7" x14ac:dyDescent="0.25">
      <c r="A403" s="1" t="s">
        <v>1659</v>
      </c>
      <c r="B403" s="1" t="s">
        <v>1195</v>
      </c>
      <c r="C403" s="1" t="s">
        <v>137</v>
      </c>
      <c r="D403">
        <v>2.0392079999999999</v>
      </c>
      <c r="E403">
        <v>19.090841999999999</v>
      </c>
      <c r="F403" s="1" t="s">
        <v>1506</v>
      </c>
      <c r="G403" s="1" t="s">
        <v>1516</v>
      </c>
    </row>
    <row r="404" spans="1:7" x14ac:dyDescent="0.25">
      <c r="A404" s="1" t="s">
        <v>1659</v>
      </c>
      <c r="B404" s="1" t="s">
        <v>824</v>
      </c>
      <c r="C404" s="1" t="s">
        <v>67</v>
      </c>
      <c r="D404">
        <v>-2.2371569999999998</v>
      </c>
      <c r="E404">
        <v>25.926188</v>
      </c>
      <c r="F404" s="1" t="s">
        <v>1508</v>
      </c>
      <c r="G404" s="1" t="s">
        <v>1516</v>
      </c>
    </row>
    <row r="405" spans="1:7" x14ac:dyDescent="0.25">
      <c r="A405" s="1" t="s">
        <v>1659</v>
      </c>
      <c r="B405" s="1" t="s">
        <v>939</v>
      </c>
      <c r="C405" s="1" t="s">
        <v>33</v>
      </c>
      <c r="D405">
        <v>-10.414493</v>
      </c>
      <c r="E405">
        <v>12.333356999999999</v>
      </c>
      <c r="F405" s="1" t="s">
        <v>1508</v>
      </c>
      <c r="G405" s="1" t="s">
        <v>1504</v>
      </c>
    </row>
    <row r="406" spans="1:7" x14ac:dyDescent="0.25">
      <c r="A406" s="1" t="s">
        <v>1659</v>
      </c>
      <c r="B406" s="1" t="s">
        <v>983</v>
      </c>
      <c r="C406" s="1" t="s">
        <v>64</v>
      </c>
      <c r="D406">
        <v>-7.5418399999999997</v>
      </c>
      <c r="E406">
        <v>16.931206</v>
      </c>
      <c r="F406" s="1" t="s">
        <v>1508</v>
      </c>
      <c r="G406" s="1" t="s">
        <v>1516</v>
      </c>
    </row>
    <row r="407" spans="1:7" x14ac:dyDescent="0.25">
      <c r="A407" s="1" t="s">
        <v>1659</v>
      </c>
      <c r="B407" s="1" t="s">
        <v>1661</v>
      </c>
      <c r="C407" s="1" t="s">
        <v>40</v>
      </c>
      <c r="D407">
        <v>4.7908840000000001</v>
      </c>
      <c r="E407">
        <v>23.051435000000001</v>
      </c>
      <c r="F407" s="1" t="s">
        <v>1508</v>
      </c>
      <c r="G407" s="1" t="s">
        <v>1516</v>
      </c>
    </row>
    <row r="408" spans="1:7" x14ac:dyDescent="0.25">
      <c r="A408" s="1" t="s">
        <v>1659</v>
      </c>
      <c r="B408" s="1" t="s">
        <v>1662</v>
      </c>
      <c r="C408" s="1" t="s">
        <v>60</v>
      </c>
      <c r="D408">
        <v>-3.544581</v>
      </c>
      <c r="E408">
        <v>14.776605</v>
      </c>
      <c r="F408" s="1" t="s">
        <v>1506</v>
      </c>
      <c r="G408" s="1" t="s">
        <v>1516</v>
      </c>
    </row>
    <row r="409" spans="1:7" x14ac:dyDescent="0.25">
      <c r="A409" s="1" t="s">
        <v>1659</v>
      </c>
      <c r="B409" s="1" t="s">
        <v>1152</v>
      </c>
      <c r="C409" s="1" t="s">
        <v>127</v>
      </c>
      <c r="D409">
        <v>-6.9624990000000002</v>
      </c>
      <c r="E409">
        <v>20.759834999999999</v>
      </c>
      <c r="F409" s="1" t="s">
        <v>1506</v>
      </c>
      <c r="G409" s="1" t="s">
        <v>1507</v>
      </c>
    </row>
    <row r="410" spans="1:7" x14ac:dyDescent="0.25">
      <c r="A410" s="1" t="s">
        <v>1659</v>
      </c>
      <c r="B410" s="1" t="s">
        <v>1663</v>
      </c>
      <c r="C410" s="1" t="s">
        <v>13</v>
      </c>
      <c r="D410">
        <v>3.796754</v>
      </c>
      <c r="E410">
        <v>25.172377999999998</v>
      </c>
      <c r="F410" s="1" t="s">
        <v>1506</v>
      </c>
      <c r="G410" s="1" t="s">
        <v>1507</v>
      </c>
    </row>
    <row r="411" spans="1:7" x14ac:dyDescent="0.25">
      <c r="A411" s="1" t="s">
        <v>1659</v>
      </c>
      <c r="B411" s="1" t="s">
        <v>951</v>
      </c>
      <c r="C411" s="1" t="s">
        <v>13</v>
      </c>
      <c r="D411">
        <v>-2.3677800000000002</v>
      </c>
      <c r="E411">
        <v>18.790323999999998</v>
      </c>
      <c r="F411" s="1" t="s">
        <v>1503</v>
      </c>
      <c r="G411" s="1" t="s">
        <v>1507</v>
      </c>
    </row>
    <row r="412" spans="1:7" x14ac:dyDescent="0.25">
      <c r="A412" s="1" t="s">
        <v>1659</v>
      </c>
      <c r="B412" s="1" t="s">
        <v>1664</v>
      </c>
      <c r="C412" s="1" t="s">
        <v>40</v>
      </c>
      <c r="D412">
        <v>-6.236097</v>
      </c>
      <c r="E412">
        <v>13.004878</v>
      </c>
      <c r="F412" s="1" t="s">
        <v>1506</v>
      </c>
      <c r="G412" s="1" t="s">
        <v>1504</v>
      </c>
    </row>
    <row r="413" spans="1:7" x14ac:dyDescent="0.25">
      <c r="A413" s="1" t="s">
        <v>1659</v>
      </c>
      <c r="B413" s="1" t="s">
        <v>1665</v>
      </c>
      <c r="C413" s="1" t="s">
        <v>73</v>
      </c>
      <c r="D413">
        <v>-12.88086</v>
      </c>
      <c r="E413">
        <v>18.862106000000001</v>
      </c>
      <c r="F413" s="1" t="s">
        <v>1508</v>
      </c>
      <c r="G413" s="1" t="s">
        <v>1516</v>
      </c>
    </row>
    <row r="414" spans="1:7" x14ac:dyDescent="0.25">
      <c r="A414" s="1" t="s">
        <v>1659</v>
      </c>
      <c r="B414" s="1" t="s">
        <v>1666</v>
      </c>
      <c r="C414" s="1" t="s">
        <v>131</v>
      </c>
      <c r="D414">
        <v>-1.501492</v>
      </c>
      <c r="E414">
        <v>24.088695999999999</v>
      </c>
      <c r="F414" s="1" t="s">
        <v>1506</v>
      </c>
      <c r="G414" s="1" t="s">
        <v>1516</v>
      </c>
    </row>
    <row r="415" spans="1:7" x14ac:dyDescent="0.25">
      <c r="A415" s="1" t="s">
        <v>1659</v>
      </c>
      <c r="B415" s="1" t="s">
        <v>1477</v>
      </c>
      <c r="C415" s="1" t="s">
        <v>33</v>
      </c>
      <c r="D415">
        <v>-8.0800809999999998</v>
      </c>
      <c r="E415">
        <v>30.147970999999998</v>
      </c>
      <c r="F415" s="1" t="s">
        <v>1503</v>
      </c>
      <c r="G415" s="1" t="s">
        <v>1507</v>
      </c>
    </row>
    <row r="416" spans="1:7" x14ac:dyDescent="0.25">
      <c r="A416" s="1" t="s">
        <v>1659</v>
      </c>
      <c r="B416" s="1" t="s">
        <v>1667</v>
      </c>
      <c r="C416" s="1" t="s">
        <v>26</v>
      </c>
      <c r="D416">
        <v>-9.8519260000000006</v>
      </c>
      <c r="E416">
        <v>12.925583</v>
      </c>
      <c r="F416" s="1" t="s">
        <v>1503</v>
      </c>
      <c r="G416" s="1" t="s">
        <v>1504</v>
      </c>
    </row>
    <row r="417" spans="1:7" x14ac:dyDescent="0.25">
      <c r="A417" s="1" t="s">
        <v>1659</v>
      </c>
      <c r="B417" s="1" t="s">
        <v>962</v>
      </c>
      <c r="C417" s="1" t="s">
        <v>78</v>
      </c>
      <c r="D417">
        <v>-4.6818410000000004</v>
      </c>
      <c r="E417">
        <v>17.541618</v>
      </c>
      <c r="F417" s="1" t="s">
        <v>1506</v>
      </c>
      <c r="G417" s="1" t="s">
        <v>1504</v>
      </c>
    </row>
    <row r="418" spans="1:7" x14ac:dyDescent="0.25">
      <c r="A418" s="1" t="s">
        <v>1659</v>
      </c>
      <c r="B418" s="1" t="s">
        <v>1668</v>
      </c>
      <c r="C418" s="1" t="s">
        <v>31</v>
      </c>
      <c r="D418">
        <v>-2.7775059999999998</v>
      </c>
      <c r="E418">
        <v>24.139983999999998</v>
      </c>
      <c r="F418" s="1" t="s">
        <v>1508</v>
      </c>
      <c r="G418" s="1" t="s">
        <v>1504</v>
      </c>
    </row>
    <row r="419" spans="1:7" x14ac:dyDescent="0.25">
      <c r="A419" s="1" t="s">
        <v>1659</v>
      </c>
      <c r="B419" s="1" t="s">
        <v>1669</v>
      </c>
      <c r="C419" s="1" t="s">
        <v>31</v>
      </c>
      <c r="D419">
        <v>3.4676979999999999</v>
      </c>
      <c r="E419">
        <v>13.459707</v>
      </c>
      <c r="F419" s="1" t="s">
        <v>1503</v>
      </c>
      <c r="G419" s="1" t="s">
        <v>1507</v>
      </c>
    </row>
    <row r="420" spans="1:7" x14ac:dyDescent="0.25">
      <c r="A420" s="1" t="s">
        <v>1659</v>
      </c>
      <c r="B420" s="1" t="s">
        <v>1150</v>
      </c>
      <c r="C420" s="1" t="s">
        <v>73</v>
      </c>
      <c r="D420">
        <v>-9.4133639999999996</v>
      </c>
      <c r="E420">
        <v>15.682482</v>
      </c>
      <c r="F420" s="1" t="s">
        <v>1506</v>
      </c>
      <c r="G420" s="1" t="s">
        <v>1507</v>
      </c>
    </row>
    <row r="421" spans="1:7" x14ac:dyDescent="0.25">
      <c r="A421" s="1" t="s">
        <v>1659</v>
      </c>
      <c r="B421" s="1" t="s">
        <v>1349</v>
      </c>
      <c r="C421" s="1" t="s">
        <v>62</v>
      </c>
      <c r="D421">
        <v>1.981107</v>
      </c>
      <c r="E421">
        <v>23.932569000000001</v>
      </c>
      <c r="F421" s="1" t="s">
        <v>1508</v>
      </c>
      <c r="G421" s="1" t="s">
        <v>1516</v>
      </c>
    </row>
    <row r="422" spans="1:7" x14ac:dyDescent="0.25">
      <c r="A422" s="1" t="s">
        <v>1659</v>
      </c>
      <c r="B422" s="1" t="s">
        <v>1221</v>
      </c>
      <c r="C422" s="1" t="s">
        <v>13</v>
      </c>
      <c r="D422">
        <v>-7.789663</v>
      </c>
      <c r="E422">
        <v>26.529098000000001</v>
      </c>
      <c r="F422" s="1" t="s">
        <v>1503</v>
      </c>
      <c r="G422" s="1" t="s">
        <v>1516</v>
      </c>
    </row>
    <row r="423" spans="1:7" x14ac:dyDescent="0.25">
      <c r="A423" s="1" t="s">
        <v>1659</v>
      </c>
      <c r="B423" s="1" t="s">
        <v>1121</v>
      </c>
      <c r="C423" s="1" t="s">
        <v>21</v>
      </c>
      <c r="D423">
        <v>-4.1694589999999998</v>
      </c>
      <c r="E423">
        <v>23.376487000000001</v>
      </c>
      <c r="F423" s="1" t="s">
        <v>1508</v>
      </c>
      <c r="G423" s="1" t="s">
        <v>1516</v>
      </c>
    </row>
    <row r="424" spans="1:7" x14ac:dyDescent="0.25">
      <c r="A424" s="1" t="s">
        <v>1659</v>
      </c>
      <c r="B424" s="1" t="s">
        <v>906</v>
      </c>
      <c r="C424" s="1" t="s">
        <v>131</v>
      </c>
      <c r="D424">
        <v>1.8103860000000001</v>
      </c>
      <c r="E424">
        <v>15.175582</v>
      </c>
      <c r="F424" s="1" t="s">
        <v>1508</v>
      </c>
      <c r="G424" s="1" t="s">
        <v>1507</v>
      </c>
    </row>
    <row r="425" spans="1:7" x14ac:dyDescent="0.25">
      <c r="A425" s="1" t="s">
        <v>1659</v>
      </c>
      <c r="B425" s="1" t="s">
        <v>1464</v>
      </c>
      <c r="C425" s="1" t="s">
        <v>44</v>
      </c>
      <c r="D425">
        <v>-7.5641280000000002</v>
      </c>
      <c r="E425">
        <v>18.129529999999999</v>
      </c>
      <c r="F425" s="1" t="s">
        <v>1508</v>
      </c>
      <c r="G425" s="1" t="s">
        <v>1507</v>
      </c>
    </row>
    <row r="426" spans="1:7" x14ac:dyDescent="0.25">
      <c r="A426" s="1" t="s">
        <v>1659</v>
      </c>
      <c r="B426" s="1" t="s">
        <v>837</v>
      </c>
      <c r="C426" s="1" t="s">
        <v>37</v>
      </c>
      <c r="D426">
        <v>-2.4662510000000002</v>
      </c>
      <c r="E426">
        <v>18.007998000000001</v>
      </c>
      <c r="F426" s="1" t="s">
        <v>1503</v>
      </c>
      <c r="G426" s="1" t="s">
        <v>1504</v>
      </c>
    </row>
    <row r="427" spans="1:7" x14ac:dyDescent="0.25">
      <c r="A427" s="1" t="s">
        <v>1659</v>
      </c>
      <c r="B427" s="1" t="s">
        <v>1670</v>
      </c>
      <c r="C427" s="1" t="s">
        <v>10</v>
      </c>
      <c r="D427">
        <v>-4.1061909999999999</v>
      </c>
      <c r="E427">
        <v>28.054902999999999</v>
      </c>
      <c r="F427" s="1" t="s">
        <v>1508</v>
      </c>
      <c r="G427" s="1" t="s">
        <v>1507</v>
      </c>
    </row>
    <row r="428" spans="1:7" x14ac:dyDescent="0.25">
      <c r="A428" s="1" t="s">
        <v>1659</v>
      </c>
      <c r="B428" s="1" t="s">
        <v>1096</v>
      </c>
      <c r="C428" s="1" t="s">
        <v>21</v>
      </c>
      <c r="D428">
        <v>0.31740800000000002</v>
      </c>
      <c r="E428">
        <v>27.197666999999999</v>
      </c>
      <c r="F428" s="1" t="s">
        <v>1503</v>
      </c>
      <c r="G428" s="1" t="s">
        <v>1516</v>
      </c>
    </row>
    <row r="429" spans="1:7" x14ac:dyDescent="0.25">
      <c r="A429" s="1" t="s">
        <v>1659</v>
      </c>
      <c r="B429" s="1" t="s">
        <v>1352</v>
      </c>
      <c r="C429" s="1" t="s">
        <v>131</v>
      </c>
      <c r="D429">
        <v>-8.9586360000000003</v>
      </c>
      <c r="E429">
        <v>17.157720000000001</v>
      </c>
      <c r="F429" s="1" t="s">
        <v>1508</v>
      </c>
      <c r="G429" s="1" t="s">
        <v>1516</v>
      </c>
    </row>
    <row r="430" spans="1:7" x14ac:dyDescent="0.25">
      <c r="A430" s="1" t="s">
        <v>1659</v>
      </c>
      <c r="B430" s="1" t="s">
        <v>1083</v>
      </c>
      <c r="C430" s="1" t="s">
        <v>21</v>
      </c>
      <c r="D430">
        <v>1.2419519999999999</v>
      </c>
      <c r="E430">
        <v>25.261382999999999</v>
      </c>
      <c r="F430" s="1" t="s">
        <v>1506</v>
      </c>
      <c r="G430" s="1" t="s">
        <v>1507</v>
      </c>
    </row>
    <row r="431" spans="1:7" x14ac:dyDescent="0.25">
      <c r="A431" s="1" t="s">
        <v>1659</v>
      </c>
      <c r="B431" s="1" t="s">
        <v>1371</v>
      </c>
      <c r="C431" s="1" t="s">
        <v>64</v>
      </c>
      <c r="D431">
        <v>-10.227569000000001</v>
      </c>
      <c r="E431">
        <v>18.887930999999998</v>
      </c>
      <c r="F431" s="1" t="s">
        <v>1508</v>
      </c>
      <c r="G431" s="1" t="s">
        <v>1509</v>
      </c>
    </row>
    <row r="432" spans="1:7" x14ac:dyDescent="0.25">
      <c r="A432" s="1" t="s">
        <v>1659</v>
      </c>
      <c r="B432" s="1" t="s">
        <v>1043</v>
      </c>
      <c r="C432" s="1" t="s">
        <v>35</v>
      </c>
      <c r="D432">
        <v>-7.5969509999999998</v>
      </c>
      <c r="E432">
        <v>22.153986</v>
      </c>
      <c r="F432" s="1" t="s">
        <v>1508</v>
      </c>
      <c r="G432" s="1" t="s">
        <v>1504</v>
      </c>
    </row>
    <row r="433" spans="1:7" x14ac:dyDescent="0.25">
      <c r="A433" s="1" t="s">
        <v>1659</v>
      </c>
      <c r="B433" s="1" t="s">
        <v>1360</v>
      </c>
      <c r="C433" s="1" t="s">
        <v>21</v>
      </c>
      <c r="D433">
        <v>-1.4700059999999999</v>
      </c>
      <c r="E433">
        <v>18.680958</v>
      </c>
      <c r="F433" s="1" t="s">
        <v>1508</v>
      </c>
      <c r="G433" s="1" t="s">
        <v>1507</v>
      </c>
    </row>
    <row r="434" spans="1:7" x14ac:dyDescent="0.25">
      <c r="A434" s="1" t="s">
        <v>1659</v>
      </c>
      <c r="B434" s="1" t="s">
        <v>1073</v>
      </c>
      <c r="C434" s="1" t="s">
        <v>21</v>
      </c>
      <c r="D434">
        <v>-1.5419050000000001</v>
      </c>
      <c r="E434">
        <v>14.730632999999999</v>
      </c>
      <c r="F434" s="1" t="s">
        <v>1508</v>
      </c>
      <c r="G434" s="1" t="s">
        <v>1509</v>
      </c>
    </row>
    <row r="435" spans="1:7" x14ac:dyDescent="0.25">
      <c r="A435" s="1" t="s">
        <v>1659</v>
      </c>
      <c r="B435" s="1" t="s">
        <v>1483</v>
      </c>
      <c r="C435" s="1" t="s">
        <v>35</v>
      </c>
      <c r="D435">
        <v>-10.764815</v>
      </c>
      <c r="E435">
        <v>14.602039</v>
      </c>
      <c r="F435" s="1" t="s">
        <v>1506</v>
      </c>
      <c r="G435" s="1" t="s">
        <v>1516</v>
      </c>
    </row>
    <row r="436" spans="1:7" x14ac:dyDescent="0.25">
      <c r="A436" s="1" t="s">
        <v>1659</v>
      </c>
      <c r="B436" s="1" t="s">
        <v>1113</v>
      </c>
      <c r="C436" s="1" t="s">
        <v>127</v>
      </c>
      <c r="D436">
        <v>-1.013558</v>
      </c>
      <c r="E436">
        <v>17.346937</v>
      </c>
      <c r="F436" s="1" t="s">
        <v>1503</v>
      </c>
      <c r="G436" s="1" t="s">
        <v>1507</v>
      </c>
    </row>
    <row r="437" spans="1:7" x14ac:dyDescent="0.25">
      <c r="A437" s="1" t="s">
        <v>1659</v>
      </c>
      <c r="B437" s="1" t="s">
        <v>1480</v>
      </c>
      <c r="C437" s="1" t="s">
        <v>60</v>
      </c>
      <c r="D437">
        <v>-7.8215969999999997</v>
      </c>
      <c r="E437">
        <v>26.797349000000001</v>
      </c>
      <c r="F437" s="1" t="s">
        <v>1508</v>
      </c>
      <c r="G437" s="1" t="s">
        <v>1504</v>
      </c>
    </row>
    <row r="438" spans="1:7" x14ac:dyDescent="0.25">
      <c r="A438" s="1" t="s">
        <v>1659</v>
      </c>
      <c r="B438" s="1" t="s">
        <v>885</v>
      </c>
      <c r="C438" s="1" t="s">
        <v>40</v>
      </c>
      <c r="D438">
        <v>-9.7712979999999998</v>
      </c>
      <c r="E438">
        <v>19.827895999999999</v>
      </c>
      <c r="F438" s="1" t="s">
        <v>1508</v>
      </c>
      <c r="G438" s="1" t="s">
        <v>1509</v>
      </c>
    </row>
    <row r="439" spans="1:7" x14ac:dyDescent="0.25">
      <c r="A439" s="1" t="s">
        <v>1659</v>
      </c>
      <c r="B439" s="1" t="s">
        <v>1671</v>
      </c>
      <c r="C439" s="1" t="s">
        <v>33</v>
      </c>
      <c r="D439">
        <v>3.3222779999999998</v>
      </c>
      <c r="E439">
        <v>29.497240000000001</v>
      </c>
      <c r="F439" s="1" t="s">
        <v>1508</v>
      </c>
      <c r="G439" s="1" t="s">
        <v>1509</v>
      </c>
    </row>
    <row r="440" spans="1:7" x14ac:dyDescent="0.25">
      <c r="A440" s="1" t="s">
        <v>1659</v>
      </c>
      <c r="B440" s="1" t="s">
        <v>1348</v>
      </c>
      <c r="C440" s="1" t="s">
        <v>18</v>
      </c>
      <c r="D440">
        <v>-1.3938550000000001</v>
      </c>
      <c r="E440">
        <v>15.097554000000001</v>
      </c>
      <c r="F440" s="1" t="s">
        <v>1506</v>
      </c>
      <c r="G440" s="1" t="s">
        <v>1507</v>
      </c>
    </row>
    <row r="441" spans="1:7" x14ac:dyDescent="0.25">
      <c r="A441" s="1" t="s">
        <v>1659</v>
      </c>
      <c r="B441" s="1" t="s">
        <v>1252</v>
      </c>
      <c r="C441" s="1" t="s">
        <v>127</v>
      </c>
      <c r="D441">
        <v>-12.488033</v>
      </c>
      <c r="E441">
        <v>16.139648000000001</v>
      </c>
      <c r="F441" s="1" t="s">
        <v>1506</v>
      </c>
      <c r="G441" s="1" t="s">
        <v>1507</v>
      </c>
    </row>
    <row r="442" spans="1:7" x14ac:dyDescent="0.25">
      <c r="A442" s="1" t="s">
        <v>1659</v>
      </c>
      <c r="B442" s="1" t="s">
        <v>1672</v>
      </c>
      <c r="C442" s="1" t="s">
        <v>18</v>
      </c>
      <c r="D442">
        <v>0.76493</v>
      </c>
      <c r="E442">
        <v>21.564274999999999</v>
      </c>
      <c r="F442" s="1" t="s">
        <v>1508</v>
      </c>
      <c r="G442" s="1" t="s">
        <v>1509</v>
      </c>
    </row>
    <row r="443" spans="1:7" x14ac:dyDescent="0.25">
      <c r="A443" s="1" t="s">
        <v>1659</v>
      </c>
      <c r="B443" s="1" t="s">
        <v>1103</v>
      </c>
      <c r="C443" s="1" t="s">
        <v>10</v>
      </c>
      <c r="D443">
        <v>-4.1250960000000001</v>
      </c>
      <c r="E443">
        <v>27.799897999999999</v>
      </c>
      <c r="F443" s="1" t="s">
        <v>1508</v>
      </c>
      <c r="G443" s="1" t="s">
        <v>1516</v>
      </c>
    </row>
    <row r="444" spans="1:7" x14ac:dyDescent="0.25">
      <c r="A444" s="1" t="s">
        <v>1659</v>
      </c>
      <c r="B444" s="1" t="s">
        <v>881</v>
      </c>
      <c r="C444" s="1" t="s">
        <v>24</v>
      </c>
      <c r="D444">
        <v>4.4712560000000003</v>
      </c>
      <c r="E444">
        <v>27.107028</v>
      </c>
      <c r="F444" s="1" t="s">
        <v>1508</v>
      </c>
      <c r="G444" s="1" t="s">
        <v>1504</v>
      </c>
    </row>
    <row r="445" spans="1:7" x14ac:dyDescent="0.25">
      <c r="A445" s="1" t="s">
        <v>1659</v>
      </c>
      <c r="B445" s="1" t="s">
        <v>1402</v>
      </c>
      <c r="C445" s="1" t="s">
        <v>127</v>
      </c>
      <c r="D445">
        <v>-2.2199559999999998</v>
      </c>
      <c r="E445">
        <v>22.614449</v>
      </c>
      <c r="F445" s="1" t="s">
        <v>1508</v>
      </c>
      <c r="G445" s="1" t="s">
        <v>1516</v>
      </c>
    </row>
    <row r="446" spans="1:7" x14ac:dyDescent="0.25">
      <c r="A446" s="1" t="s">
        <v>1659</v>
      </c>
      <c r="B446" s="1" t="s">
        <v>1172</v>
      </c>
      <c r="C446" s="1" t="s">
        <v>35</v>
      </c>
      <c r="D446">
        <v>-6.4883290000000002</v>
      </c>
      <c r="E446">
        <v>25.103404000000001</v>
      </c>
      <c r="F446" s="1" t="s">
        <v>1503</v>
      </c>
      <c r="G446" s="1" t="s">
        <v>1509</v>
      </c>
    </row>
    <row r="447" spans="1:7" x14ac:dyDescent="0.25">
      <c r="A447" s="1" t="s">
        <v>1659</v>
      </c>
      <c r="B447" s="1" t="s">
        <v>1006</v>
      </c>
      <c r="C447" s="1" t="s">
        <v>29</v>
      </c>
      <c r="D447">
        <v>-4.351254</v>
      </c>
      <c r="E447">
        <v>30.097408999999999</v>
      </c>
      <c r="F447" s="1" t="s">
        <v>1503</v>
      </c>
      <c r="G447" s="1" t="s">
        <v>1516</v>
      </c>
    </row>
    <row r="448" spans="1:7" x14ac:dyDescent="0.25">
      <c r="A448" s="1" t="s">
        <v>1659</v>
      </c>
      <c r="B448" s="1" t="s">
        <v>1462</v>
      </c>
      <c r="C448" s="1" t="s">
        <v>24</v>
      </c>
      <c r="D448">
        <v>-5.1507670000000001</v>
      </c>
      <c r="E448">
        <v>28.075324999999999</v>
      </c>
      <c r="F448" s="1" t="s">
        <v>1503</v>
      </c>
      <c r="G448" s="1" t="s">
        <v>1507</v>
      </c>
    </row>
    <row r="449" spans="1:7" x14ac:dyDescent="0.25">
      <c r="A449" s="1" t="s">
        <v>1659</v>
      </c>
      <c r="B449" s="1" t="s">
        <v>1673</v>
      </c>
      <c r="C449" s="1" t="s">
        <v>18</v>
      </c>
      <c r="D449">
        <v>-8.3575920000000004</v>
      </c>
      <c r="E449">
        <v>25.538395000000001</v>
      </c>
      <c r="F449" s="1" t="s">
        <v>1508</v>
      </c>
      <c r="G449" s="1" t="s">
        <v>1509</v>
      </c>
    </row>
    <row r="450" spans="1:7" x14ac:dyDescent="0.25">
      <c r="A450" s="1" t="s">
        <v>1659</v>
      </c>
      <c r="B450" s="1" t="s">
        <v>1674</v>
      </c>
      <c r="C450" s="1" t="s">
        <v>10</v>
      </c>
      <c r="D450">
        <v>-0.65356899999999996</v>
      </c>
      <c r="E450">
        <v>25.343032999999998</v>
      </c>
      <c r="F450" s="1" t="s">
        <v>1506</v>
      </c>
      <c r="G450" s="1" t="s">
        <v>1504</v>
      </c>
    </row>
    <row r="451" spans="1:7" x14ac:dyDescent="0.25">
      <c r="A451" s="1" t="s">
        <v>1675</v>
      </c>
      <c r="B451" s="1" t="s">
        <v>1676</v>
      </c>
      <c r="C451" s="1" t="s">
        <v>62</v>
      </c>
      <c r="D451">
        <v>-2.290705</v>
      </c>
      <c r="E451">
        <v>19.150395</v>
      </c>
      <c r="F451" s="1" t="s">
        <v>1503</v>
      </c>
      <c r="G451" s="1" t="s">
        <v>1504</v>
      </c>
    </row>
    <row r="452" spans="1:7" x14ac:dyDescent="0.25">
      <c r="A452" s="1" t="s">
        <v>1675</v>
      </c>
      <c r="B452" s="1" t="s">
        <v>820</v>
      </c>
      <c r="C452" s="1" t="s">
        <v>40</v>
      </c>
      <c r="D452">
        <v>4.8319039999999998</v>
      </c>
      <c r="E452">
        <v>20.733468999999999</v>
      </c>
      <c r="F452" s="1" t="s">
        <v>1503</v>
      </c>
      <c r="G452" s="1" t="s">
        <v>1504</v>
      </c>
    </row>
    <row r="453" spans="1:7" x14ac:dyDescent="0.25">
      <c r="A453" s="1" t="s">
        <v>1675</v>
      </c>
      <c r="B453" s="1" t="s">
        <v>1677</v>
      </c>
      <c r="C453" s="1" t="s">
        <v>78</v>
      </c>
      <c r="D453">
        <v>-10.790281</v>
      </c>
      <c r="E453">
        <v>12.624336</v>
      </c>
      <c r="F453" s="1" t="s">
        <v>1506</v>
      </c>
      <c r="G453" s="1" t="s">
        <v>1516</v>
      </c>
    </row>
    <row r="454" spans="1:7" x14ac:dyDescent="0.25">
      <c r="A454" s="1" t="s">
        <v>1675</v>
      </c>
      <c r="B454" s="1" t="s">
        <v>1678</v>
      </c>
      <c r="C454" s="1" t="s">
        <v>26</v>
      </c>
      <c r="D454">
        <v>2.0859640000000002</v>
      </c>
      <c r="E454">
        <v>22.576664000000001</v>
      </c>
      <c r="F454" s="1" t="s">
        <v>1506</v>
      </c>
      <c r="G454" s="1" t="s">
        <v>1509</v>
      </c>
    </row>
    <row r="455" spans="1:7" x14ac:dyDescent="0.25">
      <c r="A455" s="1" t="s">
        <v>1675</v>
      </c>
      <c r="B455" s="1" t="s">
        <v>1260</v>
      </c>
      <c r="C455" s="1" t="s">
        <v>51</v>
      </c>
      <c r="D455">
        <v>5.3608999999999997E-2</v>
      </c>
      <c r="E455">
        <v>28.346852999999999</v>
      </c>
      <c r="F455" s="1" t="s">
        <v>1508</v>
      </c>
      <c r="G455" s="1" t="s">
        <v>1509</v>
      </c>
    </row>
    <row r="456" spans="1:7" x14ac:dyDescent="0.25">
      <c r="A456" s="1" t="s">
        <v>1675</v>
      </c>
      <c r="B456" s="1" t="s">
        <v>1312</v>
      </c>
      <c r="C456" s="1" t="s">
        <v>131</v>
      </c>
      <c r="D456">
        <v>-7.9866700000000002</v>
      </c>
      <c r="E456">
        <v>17.757847000000002</v>
      </c>
      <c r="F456" s="1" t="s">
        <v>1503</v>
      </c>
      <c r="G456" s="1" t="s">
        <v>1507</v>
      </c>
    </row>
    <row r="457" spans="1:7" x14ac:dyDescent="0.25">
      <c r="A457" s="1" t="s">
        <v>1675</v>
      </c>
      <c r="B457" s="1" t="s">
        <v>1387</v>
      </c>
      <c r="C457" s="1" t="s">
        <v>35</v>
      </c>
      <c r="D457">
        <v>-0.157111</v>
      </c>
      <c r="E457">
        <v>25.415125</v>
      </c>
      <c r="F457" s="1" t="s">
        <v>1506</v>
      </c>
      <c r="G457" s="1" t="s">
        <v>1504</v>
      </c>
    </row>
    <row r="458" spans="1:7" x14ac:dyDescent="0.25">
      <c r="A458" s="1" t="s">
        <v>1675</v>
      </c>
      <c r="B458" s="1" t="s">
        <v>1679</v>
      </c>
      <c r="C458" s="1" t="s">
        <v>127</v>
      </c>
      <c r="D458">
        <v>-2.5254650000000001</v>
      </c>
      <c r="E458">
        <v>21.338113</v>
      </c>
      <c r="F458" s="1" t="s">
        <v>1503</v>
      </c>
      <c r="G458" s="1" t="s">
        <v>1516</v>
      </c>
    </row>
    <row r="459" spans="1:7" x14ac:dyDescent="0.25">
      <c r="A459" s="1" t="s">
        <v>1675</v>
      </c>
      <c r="B459" s="1" t="s">
        <v>1180</v>
      </c>
      <c r="C459" s="1" t="s">
        <v>31</v>
      </c>
      <c r="D459">
        <v>-8.0864899999999995</v>
      </c>
      <c r="E459">
        <v>14.555277</v>
      </c>
      <c r="F459" s="1" t="s">
        <v>1508</v>
      </c>
      <c r="G459" s="1" t="s">
        <v>1504</v>
      </c>
    </row>
    <row r="460" spans="1:7" x14ac:dyDescent="0.25">
      <c r="A460" s="1" t="s">
        <v>1675</v>
      </c>
      <c r="B460" s="1" t="s">
        <v>999</v>
      </c>
      <c r="C460" s="1" t="s">
        <v>18</v>
      </c>
      <c r="D460">
        <v>1.210869</v>
      </c>
      <c r="E460">
        <v>25.598741</v>
      </c>
      <c r="F460" s="1" t="s">
        <v>1506</v>
      </c>
      <c r="G460" s="1" t="s">
        <v>1504</v>
      </c>
    </row>
    <row r="461" spans="1:7" x14ac:dyDescent="0.25">
      <c r="A461" s="1" t="s">
        <v>1675</v>
      </c>
      <c r="B461" s="1" t="s">
        <v>1118</v>
      </c>
      <c r="C461" s="1" t="s">
        <v>35</v>
      </c>
      <c r="D461">
        <v>-1.4110389999999999</v>
      </c>
      <c r="E461">
        <v>21.261644</v>
      </c>
      <c r="F461" s="1" t="s">
        <v>1506</v>
      </c>
      <c r="G461" s="1" t="s">
        <v>1509</v>
      </c>
    </row>
    <row r="462" spans="1:7" x14ac:dyDescent="0.25">
      <c r="A462" s="1" t="s">
        <v>1675</v>
      </c>
      <c r="B462" s="1" t="s">
        <v>1495</v>
      </c>
      <c r="C462" s="1" t="s">
        <v>13</v>
      </c>
      <c r="D462">
        <v>-5.7957599999999996</v>
      </c>
      <c r="E462">
        <v>14.078258</v>
      </c>
      <c r="F462" s="1" t="s">
        <v>1503</v>
      </c>
      <c r="G462" s="1" t="s">
        <v>1504</v>
      </c>
    </row>
    <row r="463" spans="1:7" x14ac:dyDescent="0.25">
      <c r="A463" s="1" t="s">
        <v>1675</v>
      </c>
      <c r="B463" s="1" t="s">
        <v>949</v>
      </c>
      <c r="C463" s="1" t="s">
        <v>127</v>
      </c>
      <c r="D463">
        <v>-4.4351269999999996</v>
      </c>
      <c r="E463">
        <v>24.825467</v>
      </c>
      <c r="F463" s="1" t="s">
        <v>1506</v>
      </c>
      <c r="G463" s="1" t="s">
        <v>1507</v>
      </c>
    </row>
    <row r="464" spans="1:7" x14ac:dyDescent="0.25">
      <c r="A464" s="1" t="s">
        <v>1675</v>
      </c>
      <c r="B464" s="1" t="s">
        <v>1680</v>
      </c>
      <c r="C464" s="1" t="s">
        <v>57</v>
      </c>
      <c r="D464">
        <v>-2.1430220000000002</v>
      </c>
      <c r="E464">
        <v>24.541492999999999</v>
      </c>
      <c r="F464" s="1" t="s">
        <v>1506</v>
      </c>
      <c r="G464" s="1" t="s">
        <v>1509</v>
      </c>
    </row>
    <row r="465" spans="1:7" x14ac:dyDescent="0.25">
      <c r="A465" s="1" t="s">
        <v>1675</v>
      </c>
      <c r="B465" s="1" t="s">
        <v>1202</v>
      </c>
      <c r="C465" s="1" t="s">
        <v>60</v>
      </c>
      <c r="D465">
        <v>-5.7200150000000001</v>
      </c>
      <c r="E465">
        <v>25.022109</v>
      </c>
      <c r="F465" s="1" t="s">
        <v>1503</v>
      </c>
      <c r="G465" s="1" t="s">
        <v>1509</v>
      </c>
    </row>
    <row r="466" spans="1:7" x14ac:dyDescent="0.25">
      <c r="A466" s="1" t="s">
        <v>1675</v>
      </c>
      <c r="B466" s="1" t="s">
        <v>1681</v>
      </c>
      <c r="C466" s="1" t="s">
        <v>10</v>
      </c>
      <c r="D466">
        <v>-4.2784089999999999</v>
      </c>
      <c r="E466">
        <v>22.871994000000001</v>
      </c>
      <c r="F466" s="1" t="s">
        <v>1508</v>
      </c>
      <c r="G466" s="1" t="s">
        <v>1504</v>
      </c>
    </row>
    <row r="467" spans="1:7" x14ac:dyDescent="0.25">
      <c r="A467" s="1" t="s">
        <v>1675</v>
      </c>
      <c r="B467" s="1" t="s">
        <v>1682</v>
      </c>
      <c r="C467" s="1" t="s">
        <v>35</v>
      </c>
      <c r="D467">
        <v>-7.9799689999999996</v>
      </c>
      <c r="E467">
        <v>21.042310000000001</v>
      </c>
      <c r="F467" s="1" t="s">
        <v>1506</v>
      </c>
      <c r="G467" s="1" t="s">
        <v>1509</v>
      </c>
    </row>
    <row r="468" spans="1:7" x14ac:dyDescent="0.25">
      <c r="A468" s="1" t="s">
        <v>1675</v>
      </c>
      <c r="B468" s="1" t="s">
        <v>1683</v>
      </c>
      <c r="C468" s="1" t="s">
        <v>10</v>
      </c>
      <c r="D468">
        <v>0.82399199999999995</v>
      </c>
      <c r="E468">
        <v>28.232678</v>
      </c>
      <c r="F468" s="1" t="s">
        <v>1508</v>
      </c>
      <c r="G468" s="1" t="s">
        <v>1507</v>
      </c>
    </row>
    <row r="469" spans="1:7" x14ac:dyDescent="0.25">
      <c r="A469" s="1" t="s">
        <v>1675</v>
      </c>
      <c r="B469" s="1" t="s">
        <v>1684</v>
      </c>
      <c r="C469" s="1" t="s">
        <v>33</v>
      </c>
      <c r="D469">
        <v>-11.055339999999999</v>
      </c>
      <c r="E469">
        <v>21.627016000000001</v>
      </c>
      <c r="F469" s="1" t="s">
        <v>1503</v>
      </c>
      <c r="G469" s="1" t="s">
        <v>1516</v>
      </c>
    </row>
    <row r="470" spans="1:7" x14ac:dyDescent="0.25">
      <c r="A470" s="1" t="s">
        <v>1675</v>
      </c>
      <c r="B470" s="1" t="s">
        <v>1685</v>
      </c>
      <c r="C470" s="1" t="s">
        <v>24</v>
      </c>
      <c r="D470">
        <v>-4.0490719999999998</v>
      </c>
      <c r="E470">
        <v>21.399131000000001</v>
      </c>
      <c r="F470" s="1" t="s">
        <v>1508</v>
      </c>
      <c r="G470" s="1" t="s">
        <v>1509</v>
      </c>
    </row>
    <row r="471" spans="1:7" x14ac:dyDescent="0.25">
      <c r="A471" s="1" t="s">
        <v>1675</v>
      </c>
      <c r="B471" s="1" t="s">
        <v>1463</v>
      </c>
      <c r="C471" s="1" t="s">
        <v>26</v>
      </c>
      <c r="D471">
        <v>-1.6893210000000001</v>
      </c>
      <c r="E471">
        <v>30.446543999999999</v>
      </c>
      <c r="F471" s="1" t="s">
        <v>1506</v>
      </c>
      <c r="G471" s="1" t="s">
        <v>1507</v>
      </c>
    </row>
    <row r="472" spans="1:7" x14ac:dyDescent="0.25">
      <c r="A472" s="1" t="s">
        <v>1675</v>
      </c>
      <c r="B472" s="1" t="s">
        <v>1093</v>
      </c>
      <c r="C472" s="1" t="s">
        <v>13</v>
      </c>
      <c r="D472">
        <v>-10.577049000000001</v>
      </c>
      <c r="E472">
        <v>23.721854</v>
      </c>
      <c r="F472" s="1" t="s">
        <v>1506</v>
      </c>
      <c r="G472" s="1" t="s">
        <v>1509</v>
      </c>
    </row>
    <row r="473" spans="1:7" x14ac:dyDescent="0.25">
      <c r="A473" s="1" t="s">
        <v>1675</v>
      </c>
      <c r="B473" s="1" t="s">
        <v>1379</v>
      </c>
      <c r="C473" s="1" t="s">
        <v>21</v>
      </c>
      <c r="D473">
        <v>-11.207139</v>
      </c>
      <c r="E473">
        <v>18.702511999999999</v>
      </c>
      <c r="F473" s="1" t="s">
        <v>1503</v>
      </c>
      <c r="G473" s="1" t="s">
        <v>1504</v>
      </c>
    </row>
    <row r="474" spans="1:7" x14ac:dyDescent="0.25">
      <c r="A474" s="1" t="s">
        <v>1675</v>
      </c>
      <c r="B474" s="1" t="s">
        <v>1686</v>
      </c>
      <c r="C474" s="1" t="s">
        <v>29</v>
      </c>
      <c r="D474">
        <v>-12.048655999999999</v>
      </c>
      <c r="E474">
        <v>30.577876</v>
      </c>
      <c r="F474" s="1" t="s">
        <v>1503</v>
      </c>
      <c r="G474" s="1" t="s">
        <v>1509</v>
      </c>
    </row>
    <row r="475" spans="1:7" x14ac:dyDescent="0.25">
      <c r="A475" s="1" t="s">
        <v>1675</v>
      </c>
      <c r="B475" s="1" t="s">
        <v>1687</v>
      </c>
      <c r="C475" s="1" t="s">
        <v>64</v>
      </c>
      <c r="D475">
        <v>-11.771884</v>
      </c>
      <c r="E475">
        <v>18.089172999999999</v>
      </c>
      <c r="F475" s="1" t="s">
        <v>1506</v>
      </c>
      <c r="G475" s="1" t="s">
        <v>1516</v>
      </c>
    </row>
    <row r="476" spans="1:7" x14ac:dyDescent="0.25">
      <c r="A476" s="1" t="s">
        <v>1675</v>
      </c>
      <c r="B476" s="1" t="s">
        <v>968</v>
      </c>
      <c r="C476" s="1" t="s">
        <v>13</v>
      </c>
      <c r="D476">
        <v>-0.79406600000000005</v>
      </c>
      <c r="E476">
        <v>12.534793000000001</v>
      </c>
      <c r="F476" s="1" t="s">
        <v>1508</v>
      </c>
      <c r="G476" s="1" t="s">
        <v>1507</v>
      </c>
    </row>
    <row r="477" spans="1:7" x14ac:dyDescent="0.25">
      <c r="A477" s="1" t="s">
        <v>1675</v>
      </c>
      <c r="B477" s="1" t="s">
        <v>1126</v>
      </c>
      <c r="C477" s="1" t="s">
        <v>26</v>
      </c>
      <c r="D477">
        <v>4.497306</v>
      </c>
      <c r="E477">
        <v>12.857251</v>
      </c>
      <c r="F477" s="1" t="s">
        <v>1503</v>
      </c>
      <c r="G477" s="1" t="s">
        <v>1504</v>
      </c>
    </row>
    <row r="478" spans="1:7" x14ac:dyDescent="0.25">
      <c r="A478" s="1" t="s">
        <v>1675</v>
      </c>
      <c r="B478" s="1" t="s">
        <v>1688</v>
      </c>
      <c r="C478" s="1" t="s">
        <v>13</v>
      </c>
      <c r="D478">
        <v>-6.1126060000000004</v>
      </c>
      <c r="E478">
        <v>27.901748999999999</v>
      </c>
      <c r="F478" s="1" t="s">
        <v>1506</v>
      </c>
      <c r="G478" s="1" t="s">
        <v>1509</v>
      </c>
    </row>
    <row r="479" spans="1:7" x14ac:dyDescent="0.25">
      <c r="A479" s="1" t="s">
        <v>1675</v>
      </c>
      <c r="B479" s="1" t="s">
        <v>844</v>
      </c>
      <c r="C479" s="1" t="s">
        <v>51</v>
      </c>
      <c r="D479">
        <v>-0.77432100000000004</v>
      </c>
      <c r="E479">
        <v>18.628658999999999</v>
      </c>
      <c r="F479" s="1" t="s">
        <v>1506</v>
      </c>
      <c r="G479" s="1" t="s">
        <v>1507</v>
      </c>
    </row>
    <row r="480" spans="1:7" x14ac:dyDescent="0.25">
      <c r="A480" s="1" t="s">
        <v>1675</v>
      </c>
      <c r="B480" s="1" t="s">
        <v>932</v>
      </c>
      <c r="C480" s="1" t="s">
        <v>131</v>
      </c>
      <c r="D480">
        <v>-10.25074</v>
      </c>
      <c r="E480">
        <v>26.099086</v>
      </c>
      <c r="F480" s="1" t="s">
        <v>1506</v>
      </c>
      <c r="G480" s="1" t="s">
        <v>1507</v>
      </c>
    </row>
    <row r="481" spans="1:7" x14ac:dyDescent="0.25">
      <c r="A481" s="1" t="s">
        <v>1675</v>
      </c>
      <c r="B481" s="1" t="s">
        <v>957</v>
      </c>
      <c r="C481" s="1" t="s">
        <v>127</v>
      </c>
      <c r="D481">
        <v>-1.8045979999999999</v>
      </c>
      <c r="E481">
        <v>12.511096999999999</v>
      </c>
      <c r="F481" s="1" t="s">
        <v>1508</v>
      </c>
      <c r="G481" s="1" t="s">
        <v>1507</v>
      </c>
    </row>
    <row r="482" spans="1:7" x14ac:dyDescent="0.25">
      <c r="A482" s="1" t="s">
        <v>1675</v>
      </c>
      <c r="B482" s="1" t="s">
        <v>1291</v>
      </c>
      <c r="C482" s="1" t="s">
        <v>73</v>
      </c>
      <c r="D482">
        <v>-11.265995</v>
      </c>
      <c r="E482">
        <v>28.935514999999999</v>
      </c>
      <c r="F482" s="1" t="s">
        <v>1506</v>
      </c>
      <c r="G482" s="1" t="s">
        <v>1504</v>
      </c>
    </row>
    <row r="483" spans="1:7" x14ac:dyDescent="0.25">
      <c r="A483" s="1" t="s">
        <v>1675</v>
      </c>
      <c r="B483" s="1" t="s">
        <v>938</v>
      </c>
      <c r="C483" s="1" t="s">
        <v>13</v>
      </c>
      <c r="D483">
        <v>-11.622688999999999</v>
      </c>
      <c r="E483">
        <v>18.483874</v>
      </c>
      <c r="F483" s="1" t="s">
        <v>1503</v>
      </c>
      <c r="G483" s="1" t="s">
        <v>1509</v>
      </c>
    </row>
    <row r="484" spans="1:7" x14ac:dyDescent="0.25">
      <c r="A484" s="1" t="s">
        <v>1675</v>
      </c>
      <c r="B484" s="1" t="s">
        <v>988</v>
      </c>
      <c r="C484" s="1" t="s">
        <v>13</v>
      </c>
      <c r="D484">
        <v>0.52897499999999997</v>
      </c>
      <c r="E484">
        <v>13.849651</v>
      </c>
      <c r="F484" s="1" t="s">
        <v>1508</v>
      </c>
      <c r="G484" s="1" t="s">
        <v>1509</v>
      </c>
    </row>
    <row r="485" spans="1:7" x14ac:dyDescent="0.25">
      <c r="A485" s="1" t="s">
        <v>1675</v>
      </c>
      <c r="B485" s="1" t="s">
        <v>1689</v>
      </c>
      <c r="C485" s="1" t="s">
        <v>40</v>
      </c>
      <c r="D485">
        <v>0.81629799999999997</v>
      </c>
      <c r="E485">
        <v>18.557718000000001</v>
      </c>
      <c r="F485" s="1" t="s">
        <v>1503</v>
      </c>
      <c r="G485" s="1" t="s">
        <v>1504</v>
      </c>
    </row>
    <row r="486" spans="1:7" x14ac:dyDescent="0.25">
      <c r="A486" s="1" t="s">
        <v>1675</v>
      </c>
      <c r="B486" s="1" t="s">
        <v>1494</v>
      </c>
      <c r="C486" s="1" t="s">
        <v>51</v>
      </c>
      <c r="D486">
        <v>1.2691650000000001</v>
      </c>
      <c r="E486">
        <v>18.789956</v>
      </c>
      <c r="F486" s="1" t="s">
        <v>1508</v>
      </c>
      <c r="G486" s="1" t="s">
        <v>1516</v>
      </c>
    </row>
    <row r="487" spans="1:7" x14ac:dyDescent="0.25">
      <c r="A487" s="1" t="s">
        <v>1675</v>
      </c>
      <c r="B487" s="1" t="s">
        <v>993</v>
      </c>
      <c r="C487" s="1" t="s">
        <v>44</v>
      </c>
      <c r="D487">
        <v>-9.3652280000000001</v>
      </c>
      <c r="E487">
        <v>18.674116000000001</v>
      </c>
      <c r="F487" s="1" t="s">
        <v>1506</v>
      </c>
      <c r="G487" s="1" t="s">
        <v>1507</v>
      </c>
    </row>
    <row r="488" spans="1:7" x14ac:dyDescent="0.25">
      <c r="A488" s="1" t="s">
        <v>1675</v>
      </c>
      <c r="B488" s="1" t="s">
        <v>1690</v>
      </c>
      <c r="C488" s="1" t="s">
        <v>131</v>
      </c>
      <c r="D488">
        <v>-1.082322</v>
      </c>
      <c r="E488">
        <v>24.563559999999999</v>
      </c>
      <c r="F488" s="1" t="s">
        <v>1506</v>
      </c>
      <c r="G488" s="1" t="s">
        <v>1509</v>
      </c>
    </row>
    <row r="489" spans="1:7" x14ac:dyDescent="0.25">
      <c r="A489" s="1" t="s">
        <v>1675</v>
      </c>
      <c r="B489" s="1" t="s">
        <v>1071</v>
      </c>
      <c r="C489" s="1" t="s">
        <v>131</v>
      </c>
      <c r="D489">
        <v>-4.1754939999999996</v>
      </c>
      <c r="E489">
        <v>16.704664999999999</v>
      </c>
      <c r="F489" s="1" t="s">
        <v>1508</v>
      </c>
      <c r="G489" s="1" t="s">
        <v>1504</v>
      </c>
    </row>
    <row r="490" spans="1:7" x14ac:dyDescent="0.25">
      <c r="A490" s="1" t="s">
        <v>1675</v>
      </c>
      <c r="B490" s="1" t="s">
        <v>1691</v>
      </c>
      <c r="C490" s="1" t="s">
        <v>37</v>
      </c>
      <c r="D490">
        <v>-8.290025</v>
      </c>
      <c r="E490">
        <v>24.313573999999999</v>
      </c>
      <c r="F490" s="1" t="s">
        <v>1506</v>
      </c>
      <c r="G490" s="1" t="s">
        <v>1504</v>
      </c>
    </row>
    <row r="491" spans="1:7" x14ac:dyDescent="0.25">
      <c r="A491" s="1" t="s">
        <v>1675</v>
      </c>
      <c r="B491" s="1" t="s">
        <v>1436</v>
      </c>
      <c r="C491" s="1" t="s">
        <v>89</v>
      </c>
      <c r="D491">
        <v>-6.8149179999999996</v>
      </c>
      <c r="E491">
        <v>23.258102000000001</v>
      </c>
      <c r="F491" s="1" t="s">
        <v>1503</v>
      </c>
      <c r="G491" s="1" t="s">
        <v>1507</v>
      </c>
    </row>
    <row r="492" spans="1:7" x14ac:dyDescent="0.25">
      <c r="A492" s="1" t="s">
        <v>1675</v>
      </c>
      <c r="B492" s="1" t="s">
        <v>923</v>
      </c>
      <c r="C492" s="1" t="s">
        <v>51</v>
      </c>
      <c r="D492">
        <v>2.4741019999999998</v>
      </c>
      <c r="E492">
        <v>29.297391000000001</v>
      </c>
      <c r="F492" s="1" t="s">
        <v>1506</v>
      </c>
      <c r="G492" s="1" t="s">
        <v>1504</v>
      </c>
    </row>
    <row r="493" spans="1:7" x14ac:dyDescent="0.25">
      <c r="A493" s="1" t="s">
        <v>1675</v>
      </c>
      <c r="B493" s="1" t="s">
        <v>1403</v>
      </c>
      <c r="C493" s="1" t="s">
        <v>18</v>
      </c>
      <c r="D493">
        <v>-3.1608390000000002</v>
      </c>
      <c r="E493">
        <v>13.244503999999999</v>
      </c>
      <c r="F493" s="1" t="s">
        <v>1508</v>
      </c>
      <c r="G493" s="1" t="s">
        <v>1507</v>
      </c>
    </row>
    <row r="494" spans="1:7" x14ac:dyDescent="0.25">
      <c r="A494" s="1" t="s">
        <v>1675</v>
      </c>
      <c r="B494" s="1" t="s">
        <v>1692</v>
      </c>
      <c r="C494" s="1" t="s">
        <v>29</v>
      </c>
      <c r="D494">
        <v>4.1464489999999996</v>
      </c>
      <c r="E494">
        <v>17.793337000000001</v>
      </c>
      <c r="F494" s="1" t="s">
        <v>1503</v>
      </c>
      <c r="G494" s="1" t="s">
        <v>1509</v>
      </c>
    </row>
    <row r="495" spans="1:7" x14ac:dyDescent="0.25">
      <c r="A495" s="1" t="s">
        <v>1675</v>
      </c>
      <c r="B495" s="1" t="s">
        <v>1052</v>
      </c>
      <c r="C495" s="1" t="s">
        <v>40</v>
      </c>
      <c r="D495">
        <v>-12.431227</v>
      </c>
      <c r="E495">
        <v>18.414290999999999</v>
      </c>
      <c r="F495" s="1" t="s">
        <v>1503</v>
      </c>
      <c r="G495" s="1" t="s">
        <v>1507</v>
      </c>
    </row>
    <row r="496" spans="1:7" x14ac:dyDescent="0.25">
      <c r="A496" s="1" t="s">
        <v>1675</v>
      </c>
      <c r="B496" s="1" t="s">
        <v>895</v>
      </c>
      <c r="C496" s="1" t="s">
        <v>21</v>
      </c>
      <c r="D496">
        <v>-5.2526849999999996</v>
      </c>
      <c r="E496">
        <v>12.374528</v>
      </c>
      <c r="F496" s="1" t="s">
        <v>1508</v>
      </c>
      <c r="G496" s="1" t="s">
        <v>1516</v>
      </c>
    </row>
    <row r="497" spans="1:7" x14ac:dyDescent="0.25">
      <c r="A497" s="1" t="s">
        <v>1675</v>
      </c>
      <c r="B497" s="1" t="s">
        <v>1693</v>
      </c>
      <c r="C497" s="1" t="s">
        <v>33</v>
      </c>
      <c r="D497">
        <v>3.4689049999999999</v>
      </c>
      <c r="E497">
        <v>18.19622</v>
      </c>
      <c r="F497" s="1" t="s">
        <v>1503</v>
      </c>
      <c r="G497" s="1" t="s">
        <v>1507</v>
      </c>
    </row>
    <row r="498" spans="1:7" x14ac:dyDescent="0.25">
      <c r="A498" s="1" t="s">
        <v>1675</v>
      </c>
      <c r="B498" s="1" t="s">
        <v>1694</v>
      </c>
      <c r="C498" s="1" t="s">
        <v>78</v>
      </c>
      <c r="D498">
        <v>-6.0946619999999996</v>
      </c>
      <c r="E498">
        <v>20.757277999999999</v>
      </c>
      <c r="F498" s="1" t="s">
        <v>1503</v>
      </c>
      <c r="G498" s="1" t="s">
        <v>1507</v>
      </c>
    </row>
    <row r="499" spans="1:7" x14ac:dyDescent="0.25">
      <c r="A499" s="1" t="s">
        <v>1675</v>
      </c>
      <c r="B499" s="1" t="s">
        <v>1317</v>
      </c>
      <c r="C499" s="1" t="s">
        <v>33</v>
      </c>
      <c r="D499">
        <v>-7.3379339999999997</v>
      </c>
      <c r="E499">
        <v>28.404001999999998</v>
      </c>
      <c r="F499" s="1" t="s">
        <v>1508</v>
      </c>
      <c r="G499" s="1" t="s">
        <v>1516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266F0-C51D-4067-B09D-33D61B4670BE}">
  <dimension ref="A1"/>
  <sheetViews>
    <sheetView workbookViewId="0">
      <selection activeCell="C6" sqref="C6"/>
    </sheetView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A19EC8-F1EF-4D59-8E54-60BA9BDC66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Somme_Total_Heures_Indispo</vt:lpstr>
      <vt:lpstr>Sous-categorisation</vt:lpstr>
      <vt:lpstr>Moyenne Nbr abonnes impact</vt:lpstr>
      <vt:lpstr>Total remise ou perte</vt:lpstr>
      <vt:lpstr>Master_Final</vt:lpstr>
      <vt:lpstr>Master_Logs_reseau_registre</vt:lpstr>
      <vt:lpstr>Registre_maintenance_clean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RAMSES</dc:creator>
  <cp:lastModifiedBy>RAMSES</cp:lastModifiedBy>
  <dcterms:created xsi:type="dcterms:W3CDTF">2026-03-31T19:14:11Z</dcterms:created>
  <dcterms:modified xsi:type="dcterms:W3CDTF">2026-03-31T21:37:24Z</dcterms:modified>
</cp:coreProperties>
</file>